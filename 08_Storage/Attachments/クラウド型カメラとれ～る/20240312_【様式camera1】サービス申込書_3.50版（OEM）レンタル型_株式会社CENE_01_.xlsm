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bf-cldstrg-001\30東海支店\1010名古屋中央第一・第二\04SE\平八重　貴裕\お客様情報\HT_CENE\20240312_受取資料_CENE_01_江場CA\"/>
    </mc:Choice>
  </mc:AlternateContent>
  <xr:revisionPtr revIDLastSave="0" documentId="13_ncr:1_{A0951374-57AB-4604-9167-88C1BAF5B76B}" xr6:coauthVersionLast="47" xr6:coauthVersionMax="47" xr10:uidLastSave="{00000000-0000-0000-0000-000000000000}"/>
  <workbookProtection workbookAlgorithmName="SHA-512" workbookHashValue="5+PCQJiTX+qqAClIDVJdKjyRsZm0VMzNsjhJOtf0JT/mLn+pe3OOrn3g3vYFCILztATIYZPVwzF/sqBcDmK7Zg==" workbookSaltValue="ArqQbarr7YOgeCrVX947GA==" workbookSpinCount="100000" lockStructure="1"/>
  <bookViews>
    <workbookView xWindow="-108" yWindow="-108" windowWidth="23256" windowHeight="12576" firstSheet="3" activeTab="3" xr2:uid="{00000000-000D-0000-FFFF-FFFF00000000}"/>
  </bookViews>
  <sheets>
    <sheet name="DATA別紙①" sheetId="21" state="hidden" r:id="rId1"/>
    <sheet name="DATA別紙②" sheetId="22" state="hidden" r:id="rId2"/>
    <sheet name="DATA別紙⑥" sheetId="28" state="hidden" r:id="rId3"/>
    <sheet name="本紙" sheetId="14" r:id="rId4"/>
    <sheet name="別紙①_カメラ申込書" sheetId="15" r:id="rId5"/>
    <sheet name="別紙②_カメラ設定" sheetId="16" r:id="rId6"/>
    <sheet name="別紙⑥_アンケート" sheetId="27" state="hidden" r:id="rId7"/>
    <sheet name="記載編⇒" sheetId="33" r:id="rId8"/>
    <sheet name="本紙 (記)" sheetId="29" r:id="rId9"/>
    <sheet name="別紙①_カメラ申込書 (記)" sheetId="30" r:id="rId10"/>
    <sheet name="別紙②_カメラ設定 (記)" sheetId="31" r:id="rId11"/>
    <sheet name="別紙⑥_アンケート (記)" sheetId="32" state="hidden" r:id="rId12"/>
    <sheet name="リスト" sheetId="20" state="hidden" r:id="rId13"/>
  </sheets>
  <functionGroups builtInGroupCount="19"/>
  <externalReferences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Fill" localSheetId="0" hidden="1">#REF!</definedName>
    <definedName name="_Fill" localSheetId="1" hidden="1">#REF!</definedName>
    <definedName name="_Fill" localSheetId="2" hidden="1">#REF!</definedName>
    <definedName name="_Fill" localSheetId="6" hidden="1">#REF!</definedName>
    <definedName name="_Fill" localSheetId="11" hidden="1">#REF!</definedName>
    <definedName name="_Fill" hidden="1">#REF!</definedName>
    <definedName name="_Order1" hidden="1">255</definedName>
    <definedName name="_Regression_Int">1</definedName>
    <definedName name="FormatFile">"WEB.HEAD.12.FMT"</definedName>
    <definedName name="HTML1_1" hidden="1">"[帳票管理資料.xls]集計表!$A$1:$R$32"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"帳票管理資料.xls"</definedName>
    <definedName name="HTML1_4" hidden="1">"集計表"</definedName>
    <definedName name="HTML1_5" hidden="1">""</definedName>
    <definedName name="HTML1_6" hidden="1">-4146</definedName>
    <definedName name="HTML1_7" hidden="1">-4146</definedName>
    <definedName name="HTML1_8" hidden="1">"97/07/14"</definedName>
    <definedName name="HTML1_9" hidden="1">"お客様各位"</definedName>
    <definedName name="HTMLCount" hidden="1">1</definedName>
    <definedName name="_xlnm.Print_Area" localSheetId="4">別紙①_カメラ申込書!$A$1:$AZ$107</definedName>
    <definedName name="_xlnm.Print_Area" localSheetId="9">'別紙①_カメラ申込書 (記)'!$A$1:$AZ$108</definedName>
    <definedName name="_xlnm.Print_Area" localSheetId="5">別紙②_カメラ設定!$A$1:$G$107</definedName>
    <definedName name="_xlnm.Print_Area" localSheetId="10">'別紙②_カメラ設定 (記)'!$A$1:$G$107</definedName>
    <definedName name="_xlnm.Print_Area" localSheetId="6">別紙⑥_アンケート!$A$1:$BR$94</definedName>
    <definedName name="_xlnm.Print_Area" localSheetId="11">'別紙⑥_アンケート (記)'!$A$1:$BR$94</definedName>
    <definedName name="_xlnm.Print_Area" localSheetId="3">本紙!$A$1:$BL$29</definedName>
    <definedName name="_xlnm.Print_Area" localSheetId="8">'本紙 (記)'!$A$1:$BM$29</definedName>
    <definedName name="_xlnm.Print_Titles" localSheetId="5">別紙②_カメラ設定!$1:$7</definedName>
    <definedName name="_xlnm.Print_Titles" localSheetId="10">'別紙②_カメラ設定 (記)'!$1:$7</definedName>
    <definedName name="VER">"ver 2.04"</definedName>
    <definedName name="サービス業">リスト!$AJ$2:$AJ$10</definedName>
    <definedName name="医療・福祉">リスト!$AH$2:$AH$4</definedName>
    <definedName name="運輸業・郵便業">リスト!$Z$2:$Z$9</definedName>
    <definedName name="卸売業・小売業">リスト!$AA$2:$AA$13</definedName>
    <definedName name="学術研究・専門・技術サービス業">リスト!$AD$2:$AD$5</definedName>
    <definedName name="管理N" localSheetId="1" hidden="1">#REF!</definedName>
    <definedName name="管理N" localSheetId="2" hidden="1">#REF!</definedName>
    <definedName name="管理N" localSheetId="6" hidden="1">#REF!</definedName>
    <definedName name="管理N" localSheetId="11" hidden="1">#REF!</definedName>
    <definedName name="管理N" hidden="1">#REF!</definedName>
    <definedName name="拠点N" localSheetId="1" hidden="1">#REF!</definedName>
    <definedName name="拠点N" localSheetId="2" hidden="1">#REF!</definedName>
    <definedName name="拠点N" localSheetId="6" hidden="1">#REF!</definedName>
    <definedName name="拠点N" localSheetId="11" hidden="1">#REF!</definedName>
    <definedName name="拠点N" hidden="1">#REF!</definedName>
    <definedName name="漁業">リスト!$T$2:$T$3</definedName>
    <definedName name="教育・学習支援業">リスト!$AG$2:$AG$3</definedName>
    <definedName name="金融業・保険業">リスト!$AB$2:$AB$7</definedName>
    <definedName name="契約者N" localSheetId="1" hidden="1">#REF!</definedName>
    <definedName name="契約者N" localSheetId="2" hidden="1">#REF!</definedName>
    <definedName name="契約者N" localSheetId="6" hidden="1">#REF!</definedName>
    <definedName name="契約者N" localSheetId="11" hidden="1">#REF!</definedName>
    <definedName name="契約者N" hidden="1">#REF!</definedName>
    <definedName name="建設業">リスト!$V$2:$V$4</definedName>
    <definedName name="公務">リスト!$AK$2:$AK$3</definedName>
    <definedName name="鉱業・採石業・砂利採取業">リスト!$U$2:$U$4</definedName>
    <definedName name="産業" localSheetId="2">[1]リスト!$Q$1:$Q$21</definedName>
    <definedName name="産業" localSheetId="6">[1]リスト!$Q$1:$Q$21</definedName>
    <definedName name="産業" localSheetId="11">[1]リスト!$Q$1:$Q$21</definedName>
    <definedName name="産業">[2]リスト!$Q$1:$Q$21</definedName>
    <definedName name="産業をお選びください">リスト!$R$2</definedName>
    <definedName name="宿泊業・飲食サービス業">リスト!$AE$2:$AE$4</definedName>
    <definedName name="情報通信業">リスト!$Y$2:$Y$6</definedName>
    <definedName name="生活関連サービス業・娯楽業">リスト!$AF$2:$AF$4</definedName>
    <definedName name="製造業">リスト!$W$2:$W$25</definedName>
    <definedName name="電気・ガス・熱供給・水道業">リスト!$X$2:$X$7</definedName>
    <definedName name="農業・林業">リスト!$S$2:$S$3</definedName>
    <definedName name="不動産業・物品賃貸業">リスト!$AC$2:$AC$4</definedName>
    <definedName name="複合サービス事業">リスト!$AI$2:$AI$3</definedName>
    <definedName name="分類不能の産業">リスト!$AL$2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6" l="1"/>
  <c r="AT4" i="15"/>
  <c r="G2" i="16" l="1"/>
  <c r="AU4" i="15" l="1"/>
  <c r="AR6" i="29" l="1"/>
  <c r="BA20" i="14" l="1"/>
  <c r="BA19" i="14"/>
  <c r="BA18" i="14"/>
  <c r="BA16" i="14"/>
  <c r="BA15" i="14"/>
  <c r="BA14" i="14"/>
  <c r="BA13" i="14"/>
  <c r="BA12" i="14"/>
  <c r="G2" i="31" l="1"/>
  <c r="BK55" i="30"/>
  <c r="BR41" i="30"/>
  <c r="BK41" i="30"/>
  <c r="BD41" i="30"/>
  <c r="BR40" i="30"/>
  <c r="BK40" i="30"/>
  <c r="BD40" i="30"/>
  <c r="BK13" i="30"/>
  <c r="AT4" i="30"/>
  <c r="AR7" i="29"/>
  <c r="AR7" i="14" l="1"/>
  <c r="DJ4" i="21"/>
  <c r="GP4" i="21"/>
  <c r="CQ4" i="21"/>
  <c r="DU4" i="21"/>
  <c r="BD4" i="21"/>
  <c r="GX4" i="21"/>
  <c r="CE4" i="21"/>
  <c r="DI4" i="21"/>
  <c r="GT4" i="21"/>
  <c r="CI4" i="21"/>
  <c r="BF4" i="21"/>
  <c r="CT4" i="21"/>
  <c r="DC4" i="21"/>
  <c r="CX4" i="21"/>
  <c r="CC4" i="21"/>
  <c r="DF4" i="21"/>
  <c r="DX4" i="21"/>
  <c r="BE4" i="21"/>
  <c r="DG4" i="21"/>
  <c r="CO4" i="21"/>
  <c r="HB4" i="21"/>
  <c r="CS4" i="21"/>
  <c r="CB4" i="21"/>
  <c r="HE4" i="21"/>
  <c r="EX4" i="21"/>
  <c r="GZ4" i="21"/>
  <c r="EB4" i="21"/>
  <c r="CV4" i="21"/>
  <c r="CM4" i="21"/>
  <c r="HD4" i="21"/>
  <c r="CF4" i="21"/>
  <c r="BZ4" i="21"/>
  <c r="CA4" i="21"/>
  <c r="BY4" i="21"/>
  <c r="GS4" i="21"/>
  <c r="DY4" i="21"/>
  <c r="EA4" i="21"/>
  <c r="GR4" i="21"/>
  <c r="CR4" i="21"/>
  <c r="CJ4" i="21"/>
  <c r="CK4" i="21"/>
  <c r="CP4" i="21"/>
  <c r="DH4" i="21"/>
  <c r="GV4" i="21"/>
  <c r="DT4" i="21"/>
  <c r="DK4" i="21"/>
  <c r="GW4" i="21"/>
  <c r="HG4" i="21"/>
  <c r="CZ4" i="21"/>
  <c r="BB4" i="21"/>
  <c r="HC4" i="21"/>
  <c r="GU4" i="21"/>
  <c r="CN4" i="21"/>
  <c r="DR4" i="21"/>
  <c r="DO4" i="21"/>
  <c r="HF4" i="21"/>
  <c r="DA4" i="21"/>
  <c r="CW4" i="21"/>
  <c r="CU4" i="21"/>
  <c r="DD4" i="21"/>
  <c r="HA4" i="21"/>
  <c r="HH4" i="21"/>
  <c r="CD4" i="21"/>
  <c r="DL4" i="21"/>
  <c r="GY4" i="21"/>
  <c r="CG4" i="21"/>
  <c r="GQ4" i="21"/>
  <c r="DS4" i="21"/>
  <c r="CH4" i="21"/>
  <c r="DN4" i="21"/>
  <c r="DB4" i="21"/>
  <c r="CY4" i="21"/>
  <c r="BC4" i="21"/>
  <c r="DE4" i="21"/>
  <c r="CL4" i="21"/>
  <c r="DQ4" i="21"/>
  <c r="DP4" i="21"/>
  <c r="BA4" i="21"/>
  <c r="BK55" i="15" l="1"/>
  <c r="BR41" i="15"/>
  <c r="BK41" i="15"/>
  <c r="BD41" i="15"/>
  <c r="BR40" i="15"/>
  <c r="BK40" i="15"/>
  <c r="BD40" i="15"/>
  <c r="BK13" i="15"/>
  <c r="M4" i="21"/>
  <c r="G69" i="22"/>
  <c r="R17" i="22"/>
  <c r="DV4" i="21"/>
  <c r="J23" i="22"/>
  <c r="EZ4" i="21"/>
  <c r="AL4" i="21"/>
  <c r="J22" i="22"/>
  <c r="G30" i="22"/>
  <c r="G82" i="22"/>
  <c r="ET4" i="21"/>
  <c r="R4" i="21"/>
  <c r="BN4" i="28"/>
  <c r="E21" i="22"/>
  <c r="BK4" i="28"/>
  <c r="AG4" i="28"/>
  <c r="AX4" i="28"/>
  <c r="FQ4" i="21"/>
  <c r="BL4" i="28"/>
  <c r="Z4" i="28"/>
  <c r="G98" i="22"/>
  <c r="K81" i="22"/>
  <c r="S46" i="22"/>
  <c r="E54" i="22"/>
  <c r="S5" i="22"/>
  <c r="Q96" i="22"/>
  <c r="G45" i="22"/>
  <c r="R99" i="22"/>
  <c r="S75" i="22"/>
  <c r="R12" i="22"/>
  <c r="E83" i="22"/>
  <c r="K39" i="22"/>
  <c r="BR4" i="21"/>
  <c r="BL4" i="21"/>
  <c r="P4" i="21"/>
  <c r="Q34" i="22"/>
  <c r="R77" i="22"/>
  <c r="S63" i="22"/>
  <c r="R71" i="22"/>
  <c r="S8" i="22"/>
  <c r="G56" i="22"/>
  <c r="Q93" i="22"/>
  <c r="R48" i="22"/>
  <c r="E69" i="22"/>
  <c r="S25" i="22"/>
  <c r="K11" i="22"/>
  <c r="R80" i="22"/>
  <c r="K54" i="22"/>
  <c r="S55" i="22"/>
  <c r="AS4" i="21"/>
  <c r="S66" i="22"/>
  <c r="E92" i="22"/>
  <c r="J30" i="22"/>
  <c r="R43" i="22"/>
  <c r="BA4" i="28"/>
  <c r="J20" i="22"/>
  <c r="AQ4" i="28"/>
  <c r="BU4" i="28"/>
  <c r="K46" i="22"/>
  <c r="BI4" i="28"/>
  <c r="K41" i="22"/>
  <c r="G86" i="22"/>
  <c r="G66" i="22"/>
  <c r="R18" i="22"/>
  <c r="FR4" i="21"/>
  <c r="K84" i="22"/>
  <c r="S38" i="22"/>
  <c r="J85" i="22"/>
  <c r="K62" i="22"/>
  <c r="E89" i="22"/>
  <c r="K30" i="22"/>
  <c r="Q18" i="22"/>
  <c r="Q75" i="22"/>
  <c r="K22" i="22"/>
  <c r="J49" i="22"/>
  <c r="J82" i="22"/>
  <c r="FT4" i="21"/>
  <c r="S26" i="22"/>
  <c r="S40" i="22"/>
  <c r="L4" i="21"/>
  <c r="S68" i="22"/>
  <c r="AE4" i="28"/>
  <c r="K36" i="22"/>
  <c r="J91" i="22"/>
  <c r="GI4" i="21"/>
  <c r="Q88" i="22"/>
  <c r="E98" i="22"/>
  <c r="K28" i="22"/>
  <c r="K49" i="22"/>
  <c r="S45" i="22"/>
  <c r="S10" i="22"/>
  <c r="J40" i="22"/>
  <c r="K29" i="22"/>
  <c r="G60" i="22"/>
  <c r="S90" i="22"/>
  <c r="FU4" i="21"/>
  <c r="K10" i="22"/>
  <c r="BM4" i="28"/>
  <c r="EW4" i="21"/>
  <c r="GB4" i="21"/>
  <c r="R40" i="22"/>
  <c r="S49" i="22"/>
  <c r="J94" i="22"/>
  <c r="J38" i="22"/>
  <c r="R64" i="22"/>
  <c r="BS4" i="28"/>
  <c r="G18" i="22"/>
  <c r="G47" i="22"/>
  <c r="R53" i="22"/>
  <c r="E76" i="22"/>
  <c r="J74" i="22"/>
  <c r="E51" i="22"/>
  <c r="Q54" i="22"/>
  <c r="J56" i="22"/>
  <c r="S24" i="22"/>
  <c r="R31" i="22"/>
  <c r="Q59" i="22"/>
  <c r="E32" i="22"/>
  <c r="Q36" i="22"/>
  <c r="AN4" i="28"/>
  <c r="GJ4" i="21"/>
  <c r="E45" i="22"/>
  <c r="K27" i="22"/>
  <c r="R4" i="28"/>
  <c r="G67" i="22"/>
  <c r="J102" i="22"/>
  <c r="K53" i="22"/>
  <c r="E9" i="22"/>
  <c r="E41" i="22"/>
  <c r="G59" i="22"/>
  <c r="Q84" i="22"/>
  <c r="S82" i="22"/>
  <c r="I4" i="21"/>
  <c r="Q102" i="22"/>
  <c r="O4" i="21"/>
  <c r="K71" i="22"/>
  <c r="S12" i="22"/>
  <c r="R38" i="22"/>
  <c r="S41" i="22"/>
  <c r="BQ4" i="21"/>
  <c r="S87" i="22"/>
  <c r="S83" i="22"/>
  <c r="K69" i="22"/>
  <c r="S47" i="22"/>
  <c r="Q11" i="22"/>
  <c r="AB4" i="28"/>
  <c r="R36" i="22"/>
  <c r="Q44" i="22"/>
  <c r="E88" i="22"/>
  <c r="B4" i="28"/>
  <c r="J62" i="22"/>
  <c r="AI4" i="21"/>
  <c r="R27" i="22"/>
  <c r="E96" i="22"/>
  <c r="S32" i="22"/>
  <c r="J66" i="22"/>
  <c r="K23" i="22"/>
  <c r="ES4" i="21"/>
  <c r="J55" i="22"/>
  <c r="Y4" i="21"/>
  <c r="Q29" i="22"/>
  <c r="S80" i="22"/>
  <c r="R58" i="22"/>
  <c r="R93" i="22"/>
  <c r="Q87" i="22"/>
  <c r="K48" i="22"/>
  <c r="E25" i="22"/>
  <c r="FX4" i="21"/>
  <c r="S51" i="22"/>
  <c r="AG4" i="21"/>
  <c r="DM4" i="21"/>
  <c r="AU4" i="21"/>
  <c r="S81" i="22"/>
  <c r="Q60" i="22"/>
  <c r="J44" i="22"/>
  <c r="J61" i="22"/>
  <c r="BP4" i="28"/>
  <c r="S58" i="22"/>
  <c r="G92" i="22"/>
  <c r="Q80" i="22"/>
  <c r="K75" i="22"/>
  <c r="S9" i="22"/>
  <c r="G90" i="22"/>
  <c r="E22" i="22"/>
  <c r="BE4" i="28"/>
  <c r="J39" i="22"/>
  <c r="J58" i="22"/>
  <c r="J42" i="22"/>
  <c r="BK4" i="21"/>
  <c r="E16" i="22"/>
  <c r="R13" i="22"/>
  <c r="B4" i="21"/>
  <c r="EN4" i="21"/>
  <c r="K56" i="22"/>
  <c r="R55" i="22"/>
  <c r="EJ4" i="21"/>
  <c r="G51" i="22"/>
  <c r="FG4" i="21"/>
  <c r="E58" i="22"/>
  <c r="K5" i="22"/>
  <c r="R4" i="22"/>
  <c r="J7" i="22"/>
  <c r="EG4" i="21"/>
  <c r="Q49" i="22"/>
  <c r="Q26" i="22"/>
  <c r="K20" i="22"/>
  <c r="Q12" i="22"/>
  <c r="E4" i="21"/>
  <c r="R29" i="22"/>
  <c r="K89" i="22"/>
  <c r="K101" i="22"/>
  <c r="R94" i="22"/>
  <c r="E13" i="22"/>
  <c r="Q14" i="22"/>
  <c r="G9" i="22"/>
  <c r="E5" i="22"/>
  <c r="R35" i="22"/>
  <c r="J59" i="22"/>
  <c r="E77" i="22"/>
  <c r="R20" i="22"/>
  <c r="G85" i="22"/>
  <c r="K32" i="22"/>
  <c r="R10" i="22"/>
  <c r="BD4" i="28"/>
  <c r="S97" i="22"/>
  <c r="E8" i="22"/>
  <c r="Q19" i="22"/>
  <c r="J90" i="22"/>
  <c r="E94" i="22"/>
  <c r="BG4" i="28"/>
  <c r="K38" i="22"/>
  <c r="R102" i="22"/>
  <c r="E62" i="22"/>
  <c r="BH4" i="21"/>
  <c r="J97" i="22"/>
  <c r="Q83" i="22"/>
  <c r="AZ4" i="21"/>
  <c r="P4" i="28"/>
  <c r="R57" i="22"/>
  <c r="BH4" i="28"/>
  <c r="K79" i="22"/>
  <c r="E39" i="22"/>
  <c r="G89" i="22"/>
  <c r="S59" i="22"/>
  <c r="R63" i="22"/>
  <c r="G15" i="22"/>
  <c r="S44" i="22"/>
  <c r="J92" i="22"/>
  <c r="G73" i="22"/>
  <c r="R42" i="22"/>
  <c r="J69" i="22"/>
  <c r="EU4" i="21"/>
  <c r="Q47" i="22"/>
  <c r="E52" i="22"/>
  <c r="E27" i="22"/>
  <c r="G54" i="22"/>
  <c r="S22" i="22"/>
  <c r="R41" i="22"/>
  <c r="J11" i="22"/>
  <c r="S70" i="22"/>
  <c r="J43" i="22"/>
  <c r="Q52" i="22"/>
  <c r="J84" i="22"/>
  <c r="G40" i="22"/>
  <c r="AA4" i="21"/>
  <c r="R97" i="22"/>
  <c r="S48" i="22"/>
  <c r="K25" i="22"/>
  <c r="G97" i="22"/>
  <c r="J31" i="22"/>
  <c r="E23" i="22"/>
  <c r="AK4" i="28"/>
  <c r="Q78" i="22"/>
  <c r="Q46" i="22"/>
  <c r="G57" i="22"/>
  <c r="J72" i="22"/>
  <c r="S96" i="22"/>
  <c r="G5" i="22"/>
  <c r="S74" i="22"/>
  <c r="Q55" i="22"/>
  <c r="E50" i="22"/>
  <c r="S56" i="22"/>
  <c r="G72" i="22"/>
  <c r="R50" i="22"/>
  <c r="S11" i="22"/>
  <c r="S34" i="22"/>
  <c r="G101" i="22"/>
  <c r="S62" i="22"/>
  <c r="S16" i="22"/>
  <c r="BU4" i="21"/>
  <c r="K19" i="22"/>
  <c r="S54" i="22"/>
  <c r="Q61" i="22"/>
  <c r="J100" i="22"/>
  <c r="R32" i="22"/>
  <c r="J99" i="22"/>
  <c r="E64" i="22"/>
  <c r="E44" i="22"/>
  <c r="S61" i="22"/>
  <c r="Q20" i="22"/>
  <c r="E11" i="22"/>
  <c r="R21" i="22"/>
  <c r="AW4" i="21"/>
  <c r="G63" i="22"/>
  <c r="S65" i="22"/>
  <c r="K68" i="22"/>
  <c r="D4" i="22"/>
  <c r="R82" i="22"/>
  <c r="E18" i="22"/>
  <c r="E67" i="22"/>
  <c r="K83" i="22"/>
  <c r="K74" i="22"/>
  <c r="R65" i="22"/>
  <c r="AF4" i="21"/>
  <c r="EM4" i="21"/>
  <c r="K33" i="22"/>
  <c r="S84" i="22"/>
  <c r="K73" i="22"/>
  <c r="K59" i="22"/>
  <c r="S72" i="22"/>
  <c r="S95" i="22"/>
  <c r="AY4" i="21"/>
  <c r="Q50" i="22"/>
  <c r="E7" i="22"/>
  <c r="Q71" i="22"/>
  <c r="J45" i="22"/>
  <c r="Q5" i="22"/>
  <c r="AD4" i="21"/>
  <c r="E40" i="22"/>
  <c r="R73" i="22"/>
  <c r="S102" i="22"/>
  <c r="E84" i="22"/>
  <c r="BO4" i="28"/>
  <c r="R52" i="22"/>
  <c r="R15" i="22"/>
  <c r="Q48" i="22"/>
  <c r="DW4" i="21"/>
  <c r="E43" i="22"/>
  <c r="G68" i="22"/>
  <c r="K13" i="22"/>
  <c r="R19" i="22"/>
  <c r="G44" i="22"/>
  <c r="I4" i="28"/>
  <c r="EP4" i="21"/>
  <c r="N4" i="28"/>
  <c r="J48" i="22"/>
  <c r="E81" i="22"/>
  <c r="K55" i="22"/>
  <c r="E31" i="22"/>
  <c r="E90" i="22"/>
  <c r="G80" i="22"/>
  <c r="K51" i="22"/>
  <c r="R54" i="22"/>
  <c r="G37" i="22"/>
  <c r="EL4" i="21"/>
  <c r="AO4" i="28"/>
  <c r="V4" i="21"/>
  <c r="J83" i="22"/>
  <c r="G53" i="22"/>
  <c r="K92" i="22"/>
  <c r="BC4" i="28"/>
  <c r="Q31" i="22"/>
  <c r="J26" i="22"/>
  <c r="Q98" i="22"/>
  <c r="E73" i="22"/>
  <c r="R37" i="22"/>
  <c r="E61" i="22"/>
  <c r="D4" i="21"/>
  <c r="R101" i="22"/>
  <c r="K42" i="22"/>
  <c r="G49" i="22"/>
  <c r="BM4" i="21"/>
  <c r="G43" i="22"/>
  <c r="Q42" i="22"/>
  <c r="Q21" i="22"/>
  <c r="Q92" i="22"/>
  <c r="G64" i="22"/>
  <c r="E28" i="22"/>
  <c r="R39" i="22"/>
  <c r="Q82" i="22"/>
  <c r="BJ4" i="28"/>
  <c r="R46" i="22"/>
  <c r="R30" i="22"/>
  <c r="FA4" i="21"/>
  <c r="T4" i="28"/>
  <c r="S52" i="22"/>
  <c r="J50" i="22"/>
  <c r="J88" i="22"/>
  <c r="R25" i="22"/>
  <c r="EI4" i="21"/>
  <c r="J32" i="22"/>
  <c r="K66" i="22"/>
  <c r="S4" i="28"/>
  <c r="G26" i="22"/>
  <c r="J60" i="22"/>
  <c r="EQ4" i="21"/>
  <c r="Q15" i="22"/>
  <c r="Q45" i="22"/>
  <c r="C4" i="22"/>
  <c r="K102" i="22"/>
  <c r="G7" i="22"/>
  <c r="E55" i="22"/>
  <c r="S73" i="22"/>
  <c r="E26" i="22"/>
  <c r="G87" i="22"/>
  <c r="E30" i="22"/>
  <c r="J96" i="22"/>
  <c r="R22" i="22"/>
  <c r="R59" i="22"/>
  <c r="R66" i="22"/>
  <c r="S14" i="22"/>
  <c r="Q53" i="22"/>
  <c r="R74" i="22"/>
  <c r="AV4" i="21"/>
  <c r="E80" i="22"/>
  <c r="J24" i="22"/>
  <c r="ED4" i="21"/>
  <c r="J46" i="22"/>
  <c r="GN4" i="21"/>
  <c r="K4" i="28"/>
  <c r="E19" i="22"/>
  <c r="GH4" i="21"/>
  <c r="E101" i="22"/>
  <c r="J4" i="22"/>
  <c r="G31" i="22"/>
  <c r="J64" i="22"/>
  <c r="FM4" i="21"/>
  <c r="S43" i="22"/>
  <c r="W4" i="21"/>
  <c r="E95" i="22"/>
  <c r="G38" i="22"/>
  <c r="Q16" i="22"/>
  <c r="Q37" i="22"/>
  <c r="G4" i="21"/>
  <c r="R45" i="22"/>
  <c r="Q32" i="22"/>
  <c r="S29" i="22"/>
  <c r="S31" i="22"/>
  <c r="K6" i="22"/>
  <c r="J13" i="22"/>
  <c r="E15" i="22"/>
  <c r="G48" i="22"/>
  <c r="R95" i="22"/>
  <c r="Q85" i="22"/>
  <c r="AS4" i="28"/>
  <c r="E79" i="22"/>
  <c r="S77" i="22"/>
  <c r="S30" i="22"/>
  <c r="J28" i="22"/>
  <c r="EO4" i="21"/>
  <c r="J51" i="22"/>
  <c r="FN4" i="21"/>
  <c r="FW4" i="21"/>
  <c r="E42" i="22"/>
  <c r="Q69" i="22"/>
  <c r="J6" i="22"/>
  <c r="J36" i="22"/>
  <c r="S35" i="22"/>
  <c r="S85" i="22"/>
  <c r="E97" i="22"/>
  <c r="BQ4" i="28"/>
  <c r="Q4" i="21"/>
  <c r="E38" i="22"/>
  <c r="R61" i="22"/>
  <c r="Q90" i="22"/>
  <c r="G88" i="22"/>
  <c r="BP4" i="21"/>
  <c r="G61" i="22"/>
  <c r="R56" i="22"/>
  <c r="E4" i="22"/>
  <c r="AD4" i="28"/>
  <c r="J9" i="22"/>
  <c r="G58" i="22"/>
  <c r="G100" i="22"/>
  <c r="R51" i="22"/>
  <c r="E91" i="22"/>
  <c r="Q25" i="22"/>
  <c r="R69" i="22"/>
  <c r="E75" i="22"/>
  <c r="R87" i="22"/>
  <c r="Q68" i="22"/>
  <c r="S7" i="22"/>
  <c r="S15" i="22"/>
  <c r="G16" i="22"/>
  <c r="R75" i="22"/>
  <c r="J21" i="22"/>
  <c r="Q94" i="22"/>
  <c r="C4" i="28"/>
  <c r="G79" i="22"/>
  <c r="R88" i="22"/>
  <c r="E10" i="22"/>
  <c r="G52" i="22"/>
  <c r="E72" i="22"/>
  <c r="R16" i="22"/>
  <c r="AK4" i="21"/>
  <c r="ER4" i="21"/>
  <c r="J93" i="22"/>
  <c r="G4" i="28"/>
  <c r="K26" i="22"/>
  <c r="E63" i="22"/>
  <c r="K4" i="22"/>
  <c r="AU4" i="28"/>
  <c r="M4" i="28"/>
  <c r="G19" i="22"/>
  <c r="S91" i="22"/>
  <c r="S42" i="22"/>
  <c r="G11" i="22"/>
  <c r="J95" i="22"/>
  <c r="G34" i="22"/>
  <c r="GO4" i="21"/>
  <c r="AM4" i="28"/>
  <c r="S4" i="22"/>
  <c r="K4" i="21"/>
  <c r="R84" i="22"/>
  <c r="GM4" i="21"/>
  <c r="Q13" i="22"/>
  <c r="R44" i="22"/>
  <c r="EC4" i="21"/>
  <c r="J89" i="22"/>
  <c r="K82" i="22"/>
  <c r="G23" i="22"/>
  <c r="E56" i="22"/>
  <c r="E53" i="22"/>
  <c r="Q10" i="22"/>
  <c r="R72" i="22"/>
  <c r="FB4" i="21"/>
  <c r="R78" i="22"/>
  <c r="J27" i="22"/>
  <c r="G39" i="22"/>
  <c r="R89" i="22"/>
  <c r="J19" i="22"/>
  <c r="AP4" i="28"/>
  <c r="G102" i="22"/>
  <c r="Q38" i="22"/>
  <c r="G95" i="22"/>
  <c r="FJ4" i="21"/>
  <c r="Q8" i="22"/>
  <c r="G42" i="22"/>
  <c r="K100" i="22"/>
  <c r="Q73" i="22"/>
  <c r="K78" i="22"/>
  <c r="G81" i="22"/>
  <c r="EK4" i="21"/>
  <c r="K91" i="22"/>
  <c r="S19" i="22"/>
  <c r="S37" i="22"/>
  <c r="G93" i="22"/>
  <c r="K94" i="22"/>
  <c r="R70" i="22"/>
  <c r="J81" i="22"/>
  <c r="K44" i="22"/>
  <c r="E35" i="22"/>
  <c r="AQ4" i="21"/>
  <c r="E70" i="22"/>
  <c r="Q6" i="22"/>
  <c r="Q51" i="22"/>
  <c r="EF4" i="21"/>
  <c r="AW4" i="28"/>
  <c r="Q30" i="22"/>
  <c r="FS4" i="21"/>
  <c r="Q95" i="22"/>
  <c r="E66" i="22"/>
  <c r="Q99" i="22"/>
  <c r="S93" i="22"/>
  <c r="S86" i="22"/>
  <c r="J86" i="22"/>
  <c r="Y4" i="28"/>
  <c r="BR4" i="28"/>
  <c r="S21" i="22"/>
  <c r="Q27" i="22"/>
  <c r="K47" i="22"/>
  <c r="G22" i="22"/>
  <c r="J67" i="22"/>
  <c r="J8" i="22"/>
  <c r="S13" i="22"/>
  <c r="R85" i="22"/>
  <c r="E82" i="22"/>
  <c r="FC4" i="21"/>
  <c r="R47" i="22"/>
  <c r="K35" i="22"/>
  <c r="G84" i="22"/>
  <c r="EE4" i="21"/>
  <c r="J75" i="22"/>
  <c r="E33" i="22"/>
  <c r="E60" i="22"/>
  <c r="R49" i="22"/>
  <c r="S101" i="22"/>
  <c r="K24" i="22"/>
  <c r="G33" i="22"/>
  <c r="E71" i="22"/>
  <c r="K85" i="22"/>
  <c r="BB4" i="28"/>
  <c r="K58" i="22"/>
  <c r="S76" i="22"/>
  <c r="AR4" i="28"/>
  <c r="R83" i="22"/>
  <c r="E59" i="22"/>
  <c r="J78" i="22"/>
  <c r="G20" i="22"/>
  <c r="GF4" i="21"/>
  <c r="S71" i="22"/>
  <c r="GD4" i="21"/>
  <c r="S39" i="22"/>
  <c r="K86" i="22"/>
  <c r="AV4" i="28"/>
  <c r="G46" i="22"/>
  <c r="E74" i="22"/>
  <c r="GA4" i="21"/>
  <c r="AT4" i="28"/>
  <c r="AN4" i="21"/>
  <c r="G8" i="22"/>
  <c r="AL4" i="28"/>
  <c r="J79" i="22"/>
  <c r="R62" i="22"/>
  <c r="G28" i="22"/>
  <c r="J70" i="22"/>
  <c r="FL4" i="21"/>
  <c r="K67" i="22"/>
  <c r="H4" i="28"/>
  <c r="R68" i="22"/>
  <c r="K18" i="22"/>
  <c r="Q9" i="22"/>
  <c r="N4" i="21"/>
  <c r="R86" i="22"/>
  <c r="E65" i="22"/>
  <c r="S98" i="22"/>
  <c r="K37" i="22"/>
  <c r="K95" i="22"/>
  <c r="BW4" i="21"/>
  <c r="R5" i="22"/>
  <c r="J76" i="22"/>
  <c r="J17" i="22"/>
  <c r="FY4" i="21"/>
  <c r="BT4" i="28"/>
  <c r="Q33" i="22"/>
  <c r="R24" i="22"/>
  <c r="R11" i="22"/>
  <c r="AH4" i="21"/>
  <c r="S57" i="22"/>
  <c r="K96" i="22"/>
  <c r="K76" i="22"/>
  <c r="E14" i="22"/>
  <c r="Q7" i="22"/>
  <c r="E34" i="22"/>
  <c r="J5" i="22"/>
  <c r="R67" i="22"/>
  <c r="GK4" i="21"/>
  <c r="R98" i="22"/>
  <c r="G35" i="22"/>
  <c r="G21" i="22"/>
  <c r="Q17" i="22"/>
  <c r="S36" i="22"/>
  <c r="Q64" i="22"/>
  <c r="G99" i="22"/>
  <c r="J52" i="22"/>
  <c r="G32" i="22"/>
  <c r="G77" i="22"/>
  <c r="K97" i="22"/>
  <c r="R96" i="22"/>
  <c r="W4" i="28"/>
  <c r="Q22" i="22"/>
  <c r="G70" i="22"/>
  <c r="J47" i="22"/>
  <c r="K98" i="22"/>
  <c r="E87" i="22"/>
  <c r="S60" i="22"/>
  <c r="O4" i="28"/>
  <c r="D4" i="28"/>
  <c r="EV4" i="21"/>
  <c r="R100" i="22"/>
  <c r="FE4" i="21"/>
  <c r="AR4" i="21"/>
  <c r="K45" i="22"/>
  <c r="J15" i="22"/>
  <c r="Q97" i="22"/>
  <c r="S89" i="22"/>
  <c r="J80" i="22"/>
  <c r="J65" i="22"/>
  <c r="K31" i="22"/>
  <c r="BS4" i="21"/>
  <c r="G91" i="22"/>
  <c r="E47" i="22"/>
  <c r="J34" i="22"/>
  <c r="FZ4" i="21"/>
  <c r="BX4" i="21"/>
  <c r="AO4" i="21"/>
  <c r="Q58" i="22"/>
  <c r="K70" i="22"/>
  <c r="S67" i="22"/>
  <c r="G10" i="22"/>
  <c r="K99" i="22"/>
  <c r="S99" i="22"/>
  <c r="S100" i="22"/>
  <c r="Q23" i="22"/>
  <c r="GC4" i="21"/>
  <c r="E57" i="22"/>
  <c r="J25" i="22"/>
  <c r="GL4" i="21"/>
  <c r="S17" i="22"/>
  <c r="G29" i="22"/>
  <c r="Q62" i="22"/>
  <c r="S78" i="22"/>
  <c r="J29" i="22"/>
  <c r="K88" i="22"/>
  <c r="G25" i="22"/>
  <c r="FF4" i="21"/>
  <c r="G71" i="22"/>
  <c r="U4" i="21"/>
  <c r="K77" i="22"/>
  <c r="G27" i="22"/>
  <c r="EH4" i="21"/>
  <c r="FD4" i="21"/>
  <c r="G74" i="22"/>
  <c r="Q100" i="22"/>
  <c r="J33" i="22"/>
  <c r="E99" i="22"/>
  <c r="S50" i="22"/>
  <c r="R81" i="22"/>
  <c r="BF4" i="28"/>
  <c r="S18" i="22"/>
  <c r="FK4" i="21"/>
  <c r="J4" i="28"/>
  <c r="K14" i="22"/>
  <c r="G41" i="22"/>
  <c r="K43" i="22"/>
  <c r="K15" i="22"/>
  <c r="Q39" i="22"/>
  <c r="G4" i="22"/>
  <c r="R91" i="22"/>
  <c r="R23" i="22"/>
  <c r="G13" i="22"/>
  <c r="J10" i="22"/>
  <c r="Q101" i="22"/>
  <c r="Q28" i="22"/>
  <c r="K9" i="22"/>
  <c r="EY4" i="21"/>
  <c r="BG4" i="21"/>
  <c r="AY4" i="28"/>
  <c r="BT4" i="21"/>
  <c r="J101" i="22"/>
  <c r="R9" i="22"/>
  <c r="AB4" i="21"/>
  <c r="AP4" i="21"/>
  <c r="R26" i="22"/>
  <c r="G55" i="22"/>
  <c r="E49" i="22"/>
  <c r="K57" i="22"/>
  <c r="J18" i="22"/>
  <c r="X4" i="28"/>
  <c r="Q79" i="22"/>
  <c r="K12" i="22"/>
  <c r="R6" i="22"/>
  <c r="K93" i="22"/>
  <c r="J14" i="22"/>
  <c r="S20" i="22"/>
  <c r="E48" i="22"/>
  <c r="AC4" i="28"/>
  <c r="BI4" i="21"/>
  <c r="G65" i="22"/>
  <c r="R76" i="22"/>
  <c r="X4" i="21"/>
  <c r="Q77" i="22"/>
  <c r="K72" i="22"/>
  <c r="G62" i="22"/>
  <c r="Q70" i="22"/>
  <c r="E68" i="22"/>
  <c r="J4" i="21"/>
  <c r="Q56" i="22"/>
  <c r="K63" i="22"/>
  <c r="K8" i="22"/>
  <c r="Q76" i="22"/>
  <c r="FP4" i="21"/>
  <c r="G96" i="22"/>
  <c r="C4" i="21"/>
  <c r="J16" i="22"/>
  <c r="Z4" i="21"/>
  <c r="AC4" i="21"/>
  <c r="G12" i="22"/>
  <c r="BN4" i="21"/>
  <c r="Q63" i="22"/>
  <c r="E36" i="22"/>
  <c r="T4" i="21"/>
  <c r="S27" i="22"/>
  <c r="S92" i="22"/>
  <c r="AE4" i="21"/>
  <c r="FH4" i="21"/>
  <c r="B4" i="22"/>
  <c r="S94" i="22"/>
  <c r="S53" i="22"/>
  <c r="Q72" i="22"/>
  <c r="S23" i="22"/>
  <c r="K17" i="22"/>
  <c r="AI4" i="28"/>
  <c r="E20" i="22"/>
  <c r="J63" i="22"/>
  <c r="K34" i="22"/>
  <c r="Q67" i="22"/>
  <c r="G36" i="22"/>
  <c r="E17" i="22"/>
  <c r="GE4" i="21"/>
  <c r="AX4" i="21"/>
  <c r="R92" i="22"/>
  <c r="R28" i="22"/>
  <c r="J35" i="22"/>
  <c r="FO4" i="21"/>
  <c r="AJ4" i="28"/>
  <c r="AH4" i="28"/>
  <c r="BJ4" i="21"/>
  <c r="R7" i="22"/>
  <c r="Q4" i="28"/>
  <c r="K80" i="22"/>
  <c r="AA4" i="28"/>
  <c r="E29" i="22"/>
  <c r="E85" i="22"/>
  <c r="R14" i="22"/>
  <c r="Q24" i="22"/>
  <c r="V4" i="28"/>
  <c r="E100" i="22"/>
  <c r="K90" i="22"/>
  <c r="K65" i="22"/>
  <c r="G17" i="22"/>
  <c r="AF4" i="28"/>
  <c r="S64" i="22"/>
  <c r="R90" i="22"/>
  <c r="J12" i="22"/>
  <c r="E86" i="22"/>
  <c r="K16" i="22"/>
  <c r="E12" i="22"/>
  <c r="AZ4" i="28"/>
  <c r="G24" i="22"/>
  <c r="S28" i="22"/>
  <c r="AM4" i="21"/>
  <c r="Q89" i="22"/>
  <c r="K64" i="22"/>
  <c r="K50" i="22"/>
  <c r="J71" i="22"/>
  <c r="K52" i="22"/>
  <c r="Q66" i="22"/>
  <c r="E4" i="28"/>
  <c r="S33" i="22"/>
  <c r="R79" i="22"/>
  <c r="Q86" i="22"/>
  <c r="J87" i="22"/>
  <c r="Q81" i="22"/>
  <c r="J68" i="22"/>
  <c r="E24" i="22"/>
  <c r="Q4" i="22"/>
  <c r="K40" i="22"/>
  <c r="Q35" i="22"/>
  <c r="S88" i="22"/>
  <c r="K21" i="22"/>
  <c r="FI4" i="21"/>
  <c r="G75" i="22"/>
  <c r="G78" i="22"/>
  <c r="S79" i="22"/>
  <c r="Q40" i="22"/>
  <c r="E102" i="22"/>
  <c r="E37" i="22"/>
  <c r="R33" i="22"/>
  <c r="U4" i="28"/>
  <c r="Q57" i="22"/>
  <c r="BO4" i="21"/>
  <c r="K60" i="22"/>
  <c r="S4" i="21"/>
  <c r="G14" i="22"/>
  <c r="R8" i="22"/>
  <c r="Q43" i="22"/>
  <c r="J37" i="22"/>
  <c r="G94" i="22"/>
  <c r="Q41" i="22"/>
  <c r="K87" i="22"/>
  <c r="J77" i="22"/>
  <c r="J98" i="22"/>
  <c r="L4" i="28"/>
  <c r="K7" i="22"/>
  <c r="E78" i="22"/>
  <c r="Q65" i="22"/>
  <c r="AJ4" i="21"/>
  <c r="J53" i="22"/>
  <c r="AT4" i="21"/>
  <c r="E6" i="22"/>
  <c r="E93" i="22"/>
  <c r="GG4" i="21"/>
  <c r="G76" i="22"/>
  <c r="R34" i="22"/>
  <c r="J54" i="22"/>
  <c r="Q74" i="22"/>
  <c r="J73" i="22"/>
  <c r="E46" i="22"/>
  <c r="S6" i="22"/>
  <c r="J41" i="22"/>
  <c r="G6" i="22"/>
  <c r="DZ4" i="21"/>
  <c r="K61" i="22"/>
  <c r="R60" i="22"/>
  <c r="G50" i="22"/>
  <c r="BV4" i="21"/>
  <c r="S69" i="22"/>
  <c r="G83" i="22"/>
  <c r="FV4" i="21"/>
  <c r="J57" i="22"/>
  <c r="Q91" i="22"/>
  <c r="C83" i="22" l="1"/>
  <c r="A83" i="22"/>
  <c r="B83" i="22"/>
  <c r="D83" i="22"/>
  <c r="A50" i="22"/>
  <c r="D50" i="22"/>
  <c r="B50" i="22"/>
  <c r="C50" i="22"/>
  <c r="D6" i="22"/>
  <c r="A6" i="22"/>
  <c r="C6" i="22"/>
  <c r="B6" i="22"/>
  <c r="B76" i="22"/>
  <c r="C76" i="22"/>
  <c r="A76" i="22"/>
  <c r="D76" i="22"/>
  <c r="B94" i="22"/>
  <c r="C94" i="22"/>
  <c r="A94" i="22"/>
  <c r="D94" i="22"/>
  <c r="B14" i="22"/>
  <c r="C14" i="22"/>
  <c r="A14" i="22"/>
  <c r="D14" i="22"/>
  <c r="B78" i="22"/>
  <c r="C78" i="22"/>
  <c r="D78" i="22"/>
  <c r="A78" i="22"/>
  <c r="A75" i="22"/>
  <c r="C75" i="22"/>
  <c r="D75" i="22"/>
  <c r="B75" i="22"/>
  <c r="D24" i="22"/>
  <c r="A24" i="22"/>
  <c r="C24" i="22"/>
  <c r="B24" i="22"/>
  <c r="D17" i="22"/>
  <c r="A17" i="22"/>
  <c r="C17" i="22"/>
  <c r="B17" i="22"/>
  <c r="A36" i="22"/>
  <c r="D36" i="22"/>
  <c r="C36" i="22"/>
  <c r="B36" i="22"/>
  <c r="B12" i="22"/>
  <c r="C12" i="22"/>
  <c r="D12" i="22"/>
  <c r="A12" i="22"/>
  <c r="B96" i="22"/>
  <c r="A96" i="22"/>
  <c r="D96" i="22"/>
  <c r="C96" i="22"/>
  <c r="B62" i="22"/>
  <c r="C62" i="22"/>
  <c r="A62" i="22"/>
  <c r="D62" i="22"/>
  <c r="C65" i="22"/>
  <c r="B65" i="22"/>
  <c r="D65" i="22"/>
  <c r="A65" i="22"/>
  <c r="A55" i="22"/>
  <c r="C55" i="22"/>
  <c r="D55" i="22"/>
  <c r="B55" i="22"/>
  <c r="A13" i="22"/>
  <c r="B13" i="22"/>
  <c r="C13" i="22"/>
  <c r="D13" i="22"/>
  <c r="A4" i="22"/>
  <c r="C41" i="22"/>
  <c r="B41" i="22"/>
  <c r="D41" i="22"/>
  <c r="A41" i="22"/>
  <c r="C74" i="22"/>
  <c r="B74" i="22"/>
  <c r="D74" i="22"/>
  <c r="A74" i="22"/>
  <c r="A27" i="22"/>
  <c r="D27" i="22"/>
  <c r="B27" i="22"/>
  <c r="C27" i="22"/>
  <c r="D71" i="22"/>
  <c r="A71" i="22"/>
  <c r="C71" i="22"/>
  <c r="B71" i="22"/>
  <c r="B25" i="22"/>
  <c r="C25" i="22"/>
  <c r="A25" i="22"/>
  <c r="D25" i="22"/>
  <c r="C29" i="22"/>
  <c r="A29" i="22"/>
  <c r="D29" i="22"/>
  <c r="B29" i="22"/>
  <c r="D10" i="22"/>
  <c r="A10" i="22"/>
  <c r="B10" i="22"/>
  <c r="C10" i="22"/>
  <c r="B91" i="22"/>
  <c r="C91" i="22"/>
  <c r="A91" i="22"/>
  <c r="D91" i="22"/>
  <c r="B70" i="22"/>
  <c r="C70" i="22"/>
  <c r="A70" i="22"/>
  <c r="D70" i="22"/>
  <c r="A77" i="22"/>
  <c r="C77" i="22"/>
  <c r="D77" i="22"/>
  <c r="B77" i="22"/>
  <c r="C32" i="22"/>
  <c r="D32" i="22"/>
  <c r="A32" i="22"/>
  <c r="B32" i="22"/>
  <c r="B99" i="22"/>
  <c r="D99" i="22"/>
  <c r="A99" i="22"/>
  <c r="C99" i="22"/>
  <c r="D21" i="22"/>
  <c r="C21" i="22"/>
  <c r="A21" i="22"/>
  <c r="B21" i="22"/>
  <c r="D35" i="22"/>
  <c r="C35" i="22"/>
  <c r="A35" i="22"/>
  <c r="B35" i="22"/>
  <c r="B28" i="22"/>
  <c r="A28" i="22"/>
  <c r="C28" i="22"/>
  <c r="D28" i="22"/>
  <c r="C8" i="22"/>
  <c r="D8" i="22"/>
  <c r="B8" i="22"/>
  <c r="A8" i="22"/>
  <c r="A46" i="22"/>
  <c r="C46" i="22"/>
  <c r="D46" i="22"/>
  <c r="B46" i="22"/>
  <c r="B20" i="22"/>
  <c r="C20" i="22"/>
  <c r="D20" i="22"/>
  <c r="A20" i="22"/>
  <c r="C33" i="22"/>
  <c r="D33" i="22"/>
  <c r="A33" i="22"/>
  <c r="B33" i="22"/>
  <c r="C84" i="22"/>
  <c r="A84" i="22"/>
  <c r="D84" i="22"/>
  <c r="B84" i="22"/>
  <c r="A22" i="22"/>
  <c r="D22" i="22"/>
  <c r="C22" i="22"/>
  <c r="B22" i="22"/>
  <c r="B93" i="22"/>
  <c r="C93" i="22"/>
  <c r="D93" i="22"/>
  <c r="A93" i="22"/>
  <c r="B81" i="22"/>
  <c r="D81" i="22"/>
  <c r="A81" i="22"/>
  <c r="C81" i="22"/>
  <c r="B42" i="22"/>
  <c r="A42" i="22"/>
  <c r="C42" i="22"/>
  <c r="D42" i="22"/>
  <c r="A95" i="22"/>
  <c r="C95" i="22"/>
  <c r="B95" i="22"/>
  <c r="D95" i="22"/>
  <c r="A102" i="22"/>
  <c r="B102" i="22"/>
  <c r="C102" i="22"/>
  <c r="D102" i="22"/>
  <c r="C39" i="22"/>
  <c r="A39" i="22"/>
  <c r="D39" i="22"/>
  <c r="B39" i="22"/>
  <c r="D23" i="22"/>
  <c r="B23" i="22"/>
  <c r="A23" i="22"/>
  <c r="C23" i="22"/>
  <c r="B34" i="22"/>
  <c r="A34" i="22"/>
  <c r="C34" i="22"/>
  <c r="D34" i="22"/>
  <c r="A11" i="22"/>
  <c r="C11" i="22"/>
  <c r="D11" i="22"/>
  <c r="B11" i="22"/>
  <c r="A19" i="22"/>
  <c r="B19" i="22"/>
  <c r="C19" i="22"/>
  <c r="D19" i="22"/>
  <c r="D52" i="22"/>
  <c r="B52" i="22"/>
  <c r="C52" i="22"/>
  <c r="A52" i="22"/>
  <c r="A79" i="22"/>
  <c r="B79" i="22"/>
  <c r="C79" i="22"/>
  <c r="D79" i="22"/>
  <c r="D16" i="22"/>
  <c r="C16" i="22"/>
  <c r="A16" i="22"/>
  <c r="B16" i="22"/>
  <c r="D100" i="22"/>
  <c r="A100" i="22"/>
  <c r="B100" i="22"/>
  <c r="C100" i="22"/>
  <c r="B58" i="22"/>
  <c r="A58" i="22"/>
  <c r="C58" i="22"/>
  <c r="D58" i="22"/>
  <c r="C61" i="22"/>
  <c r="B61" i="22"/>
  <c r="A61" i="22"/>
  <c r="D61" i="22"/>
  <c r="A88" i="22"/>
  <c r="D88" i="22"/>
  <c r="B88" i="22"/>
  <c r="C88" i="22"/>
  <c r="B48" i="22"/>
  <c r="D48" i="22"/>
  <c r="C48" i="22"/>
  <c r="A48" i="22"/>
  <c r="B38" i="22"/>
  <c r="D38" i="22"/>
  <c r="A38" i="22"/>
  <c r="C38" i="22"/>
  <c r="A31" i="22"/>
  <c r="C31" i="22"/>
  <c r="D31" i="22"/>
  <c r="B31" i="22"/>
  <c r="B87" i="22"/>
  <c r="A87" i="22"/>
  <c r="C87" i="22"/>
  <c r="D87" i="22"/>
  <c r="D7" i="22"/>
  <c r="C7" i="22"/>
  <c r="A7" i="22"/>
  <c r="B7" i="22"/>
  <c r="B26" i="22"/>
  <c r="A26" i="22"/>
  <c r="C26" i="22"/>
  <c r="D26" i="22"/>
  <c r="A64" i="22"/>
  <c r="C64" i="22"/>
  <c r="B64" i="22"/>
  <c r="D64" i="22"/>
  <c r="A43" i="22"/>
  <c r="B43" i="22"/>
  <c r="C43" i="22"/>
  <c r="D43" i="22"/>
  <c r="A49" i="22"/>
  <c r="B49" i="22"/>
  <c r="C49" i="22"/>
  <c r="D49" i="22"/>
  <c r="C53" i="22"/>
  <c r="D53" i="22"/>
  <c r="A53" i="22"/>
  <c r="B53" i="22"/>
  <c r="D37" i="22"/>
  <c r="B37" i="22"/>
  <c r="A37" i="22"/>
  <c r="C37" i="22"/>
  <c r="D80" i="22"/>
  <c r="A80" i="22"/>
  <c r="C80" i="22"/>
  <c r="B80" i="22"/>
  <c r="B44" i="22"/>
  <c r="C44" i="22"/>
  <c r="A44" i="22"/>
  <c r="D44" i="22"/>
  <c r="D68" i="22"/>
  <c r="B68" i="22"/>
  <c r="A68" i="22"/>
  <c r="C68" i="22"/>
  <c r="C63" i="22"/>
  <c r="A63" i="22"/>
  <c r="D63" i="22"/>
  <c r="B63" i="22"/>
  <c r="D101" i="22"/>
  <c r="B101" i="22"/>
  <c r="A101" i="22"/>
  <c r="C101" i="22"/>
  <c r="A72" i="22"/>
  <c r="C72" i="22"/>
  <c r="D72" i="22"/>
  <c r="B72" i="22"/>
  <c r="A5" i="22"/>
  <c r="C5" i="22"/>
  <c r="D5" i="22"/>
  <c r="B5" i="22"/>
  <c r="B57" i="22"/>
  <c r="A57" i="22"/>
  <c r="C57" i="22"/>
  <c r="D57" i="22"/>
  <c r="C97" i="22"/>
  <c r="B97" i="22"/>
  <c r="D97" i="22"/>
  <c r="A97" i="22"/>
  <c r="B40" i="22"/>
  <c r="C40" i="22"/>
  <c r="D40" i="22"/>
  <c r="A40" i="22"/>
  <c r="D54" i="22"/>
  <c r="B54" i="22"/>
  <c r="C54" i="22"/>
  <c r="A54" i="22"/>
  <c r="B73" i="22"/>
  <c r="A73" i="22"/>
  <c r="D73" i="22"/>
  <c r="C73" i="22"/>
  <c r="A15" i="22"/>
  <c r="B15" i="22"/>
  <c r="D15" i="22"/>
  <c r="C15" i="22"/>
  <c r="B89" i="22"/>
  <c r="C89" i="22"/>
  <c r="A89" i="22"/>
  <c r="D89" i="22"/>
  <c r="C85" i="22"/>
  <c r="D85" i="22"/>
  <c r="B85" i="22"/>
  <c r="A85" i="22"/>
  <c r="B9" i="22"/>
  <c r="C9" i="22"/>
  <c r="D9" i="22"/>
  <c r="A9" i="22"/>
  <c r="C51" i="22"/>
  <c r="D51" i="22"/>
  <c r="B51" i="22"/>
  <c r="A51" i="22"/>
  <c r="A90" i="22"/>
  <c r="D90" i="22"/>
  <c r="C90" i="22"/>
  <c r="B90" i="22"/>
  <c r="A92" i="22"/>
  <c r="C92" i="22"/>
  <c r="D92" i="22"/>
  <c r="B92" i="22"/>
  <c r="C59" i="22"/>
  <c r="B59" i="22"/>
  <c r="A59" i="22"/>
  <c r="D59" i="22"/>
  <c r="C67" i="22"/>
  <c r="B67" i="22"/>
  <c r="D67" i="22"/>
  <c r="A67" i="22"/>
  <c r="A47" i="22"/>
  <c r="C47" i="22"/>
  <c r="D47" i="22"/>
  <c r="B47" i="22"/>
  <c r="D18" i="22"/>
  <c r="C18" i="22"/>
  <c r="B18" i="22"/>
  <c r="A18" i="22"/>
  <c r="A60" i="22"/>
  <c r="B60" i="22"/>
  <c r="D60" i="22"/>
  <c r="C60" i="22"/>
  <c r="B66" i="22"/>
  <c r="A66" i="22"/>
  <c r="D66" i="22"/>
  <c r="C66" i="22"/>
  <c r="A86" i="22"/>
  <c r="D86" i="22"/>
  <c r="B86" i="22"/>
  <c r="C86" i="22"/>
  <c r="A56" i="22"/>
  <c r="B56" i="22"/>
  <c r="D56" i="22"/>
  <c r="C56" i="22"/>
  <c r="A45" i="22"/>
  <c r="B45" i="22"/>
  <c r="D45" i="22"/>
  <c r="C45" i="22"/>
  <c r="D98" i="22"/>
  <c r="C98" i="22"/>
  <c r="B98" i="22"/>
  <c r="A98" i="22"/>
  <c r="A82" i="22"/>
  <c r="D82" i="22"/>
  <c r="C82" i="22"/>
  <c r="B82" i="22"/>
  <c r="C30" i="22"/>
  <c r="A30" i="22"/>
  <c r="D30" i="22"/>
  <c r="B30" i="22"/>
  <c r="D69" i="22"/>
  <c r="A69" i="22"/>
  <c r="C69" i="22"/>
  <c r="B69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HNJ13088</author>
  </authors>
  <commentList>
    <comment ref="Q2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赤いセル：</t>
        </r>
        <r>
          <rPr>
            <sz val="9"/>
            <color indexed="81"/>
            <rFont val="MS P ゴシック"/>
            <family val="3"/>
            <charset val="128"/>
          </rPr>
          <t>端末セットプランのみ有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HNJ14981</author>
  </authors>
  <commentList>
    <comment ref="C11" authorId="0" shapeId="0" xr:uid="{00000000-0006-0000-0800-000001000000}">
      <text>
        <r>
          <rPr>
            <b/>
            <sz val="10"/>
            <color indexed="10"/>
            <rFont val="Meiryo UI"/>
            <family val="3"/>
            <charset val="128"/>
          </rPr>
          <t>オンサイト工事オプション利用希望の
有無を選択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HNJ14981</author>
  </authors>
  <commentList>
    <comment ref="B6" authorId="0" shapeId="0" xr:uid="{00000000-0006-0000-0900-000001000000}">
      <text>
        <r>
          <rPr>
            <b/>
            <sz val="10"/>
            <color indexed="10"/>
            <rFont val="Meiryo UI"/>
            <family val="3"/>
            <charset val="128"/>
          </rPr>
          <t>申込年月日を記入</t>
        </r>
      </text>
    </comment>
    <comment ref="B7" authorId="0" shapeId="0" xr:uid="{00000000-0006-0000-0900-000002000000}">
      <text>
        <r>
          <rPr>
            <b/>
            <sz val="10"/>
            <color indexed="10"/>
            <rFont val="Meiryo UI"/>
            <family val="3"/>
            <charset val="128"/>
          </rPr>
          <t>フレッツのオプションサービスのため、回線名義と同じとします</t>
        </r>
      </text>
    </comment>
    <comment ref="B10" authorId="0" shapeId="0" xr:uid="{00000000-0006-0000-0900-000003000000}">
      <text>
        <r>
          <rPr>
            <b/>
            <sz val="10"/>
            <color indexed="10"/>
            <rFont val="Meiryo UI"/>
            <family val="3"/>
            <charset val="128"/>
          </rPr>
          <t>契約者様住所を記入
・島嶼部の場合は該当チェックボックスにチェック</t>
        </r>
      </text>
    </comment>
    <comment ref="B14" authorId="0" shapeId="0" xr:uid="{00000000-0006-0000-0900-000004000000}">
      <text>
        <r>
          <rPr>
            <b/>
            <sz val="10"/>
            <color indexed="10"/>
            <rFont val="Meiryo UI"/>
            <family val="3"/>
            <charset val="128"/>
          </rPr>
          <t>開通案内送付先住所を記入
・契約者様住所と同一の場合は該当チェックボックスにチェック
・島嶼部の場合は該当チェックボックスにチェック</t>
        </r>
      </text>
    </comment>
    <comment ref="B19" authorId="0" shapeId="0" xr:uid="{00000000-0006-0000-0900-000005000000}">
      <text>
        <r>
          <rPr>
            <b/>
            <sz val="10"/>
            <color indexed="10"/>
            <rFont val="Meiryo UI"/>
            <family val="3"/>
            <charset val="128"/>
          </rPr>
          <t>課金用CAF回線番号を記入</t>
        </r>
      </text>
    </comment>
    <comment ref="B20" authorId="0" shapeId="0" xr:uid="{00000000-0006-0000-0900-000006000000}">
      <text>
        <r>
          <rPr>
            <b/>
            <sz val="10"/>
            <color indexed="10"/>
            <rFont val="Meiryo UI"/>
            <family val="3"/>
            <charset val="128"/>
          </rPr>
          <t>サポート等でご連絡する担当者名、電話番号、
メールアドレスを記入</t>
        </r>
      </text>
    </comment>
    <comment ref="M32" authorId="0" shapeId="0" xr:uid="{00000000-0006-0000-0900-000007000000}">
      <text>
        <r>
          <rPr>
            <b/>
            <sz val="10"/>
            <color indexed="10"/>
            <rFont val="Meiryo UI"/>
            <family val="3"/>
            <charset val="128"/>
          </rPr>
          <t>オンサイト工事オプション利用の有無を選択</t>
        </r>
      </text>
    </comment>
    <comment ref="B35" authorId="0" shapeId="0" xr:uid="{00000000-0006-0000-0900-000008000000}">
      <text>
        <r>
          <rPr>
            <b/>
            <sz val="10"/>
            <color indexed="10"/>
            <rFont val="Meiryo UI"/>
            <family val="3"/>
            <charset val="128"/>
          </rPr>
          <t>お申込みプランにチェックを入れ、申込台数を記入</t>
        </r>
      </text>
    </comment>
    <comment ref="B38" authorId="0" shapeId="0" xr:uid="{00000000-0006-0000-0900-000009000000}">
      <text>
        <r>
          <rPr>
            <b/>
            <sz val="10"/>
            <color indexed="10"/>
            <rFont val="Meiryo UI"/>
            <family val="3"/>
            <charset val="128"/>
          </rPr>
          <t>お申込みオプションにチェックを入れ、申込台数を記入</t>
        </r>
      </text>
    </comment>
    <comment ref="B40" authorId="0" shapeId="0" xr:uid="{00000000-0006-0000-0900-00000A000000}">
      <text>
        <r>
          <rPr>
            <b/>
            <sz val="10"/>
            <color indexed="10"/>
            <rFont val="Meiryo UI"/>
            <family val="3"/>
            <charset val="128"/>
          </rPr>
          <t>機器配送希望日を記入</t>
        </r>
      </text>
    </comment>
    <comment ref="B41" authorId="0" shapeId="0" xr:uid="{00000000-0006-0000-0900-00000B000000}">
      <text>
        <r>
          <rPr>
            <b/>
            <sz val="10"/>
            <color indexed="10"/>
            <rFont val="Meiryo UI"/>
            <family val="3"/>
            <charset val="128"/>
          </rPr>
          <t>開通希望日を記入</t>
        </r>
      </text>
    </comment>
    <comment ref="B43" authorId="0" shapeId="0" xr:uid="{00000000-0006-0000-0900-00000C000000}">
      <text>
        <r>
          <rPr>
            <b/>
            <sz val="10"/>
            <color indexed="10"/>
            <rFont val="Meiryo UI"/>
            <family val="3"/>
            <charset val="128"/>
          </rPr>
          <t>機器設置場所住所を記入
・契約者様住所と同一の場合は該当チェックボックスにチェック
・島嶼部の場合は該当チェックボックスにチェック</t>
        </r>
      </text>
    </comment>
    <comment ref="B48" authorId="0" shapeId="0" xr:uid="{00000000-0006-0000-0900-00000D000000}">
      <text>
        <r>
          <rPr>
            <b/>
            <sz val="10"/>
            <color indexed="10"/>
            <rFont val="Meiryo UI"/>
            <family val="3"/>
            <charset val="128"/>
          </rPr>
          <t>機器配送場所住所を記入
・契約者様住所と同一の場合は該当チェックボックスにチェック
・島嶼部の場合は該当チェックボックスにチェック</t>
        </r>
      </text>
    </comment>
    <comment ref="B64" authorId="0" shapeId="0" xr:uid="{00000000-0006-0000-0900-00000E000000}">
      <text>
        <r>
          <rPr>
            <b/>
            <sz val="10"/>
            <color indexed="39"/>
            <rFont val="Meiryo UI"/>
            <family val="3"/>
            <charset val="128"/>
          </rPr>
          <t>サービス側で記入の為、記入不要</t>
        </r>
      </text>
    </comment>
    <comment ref="B65" authorId="0" shapeId="0" xr:uid="{00000000-0006-0000-0900-00000F000000}">
      <text>
        <r>
          <rPr>
            <b/>
            <sz val="10"/>
            <color indexed="10"/>
            <rFont val="Meiryo UI"/>
            <family val="3"/>
            <charset val="128"/>
          </rPr>
          <t>該当する項目にチェック</t>
        </r>
      </text>
    </comment>
    <comment ref="B71" authorId="0" shapeId="0" xr:uid="{00000000-0006-0000-0900-000010000000}">
      <text>
        <r>
          <rPr>
            <b/>
            <sz val="10"/>
            <color indexed="10"/>
            <rFont val="Meiryo UI"/>
            <family val="3"/>
            <charset val="128"/>
          </rPr>
          <t>販売担当者情報を記入</t>
        </r>
      </text>
    </comment>
    <comment ref="B81" authorId="0" shapeId="0" xr:uid="{00000000-0006-0000-0900-000011000000}">
      <text>
        <r>
          <rPr>
            <b/>
            <sz val="10"/>
            <color indexed="10"/>
            <rFont val="Meiryo UI"/>
            <family val="3"/>
            <charset val="128"/>
          </rPr>
          <t>工事調整担当者情報を記入
・販売担当者と同一の場合は該当チェックボックスにチェック</t>
        </r>
      </text>
    </comment>
    <comment ref="B91" authorId="0" shapeId="0" xr:uid="{00000000-0006-0000-0900-000012000000}">
      <text>
        <r>
          <rPr>
            <b/>
            <sz val="10"/>
            <color indexed="10"/>
            <rFont val="Meiryo UI"/>
            <family val="3"/>
            <charset val="128"/>
          </rPr>
          <t>設計担当者情報を記入
・工事調整担当者と同一の場合は該当チェックボックスにチェック</t>
        </r>
      </text>
    </comment>
    <comment ref="B101" authorId="0" shapeId="0" xr:uid="{00000000-0006-0000-0900-000013000000}">
      <text>
        <r>
          <rPr>
            <b/>
            <sz val="10"/>
            <color indexed="10"/>
            <rFont val="Meiryo UI"/>
            <family val="3"/>
            <charset val="128"/>
          </rPr>
          <t>申込内容確認・納期回答メールを希望される担当者（事務処理担当者等）を記入
・販売担当者と同一の場合は該当チェックボックスにチェック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HNJ14981</author>
  </authors>
  <commentList>
    <comment ref="B4" authorId="0" shapeId="0" xr:uid="{00000000-0006-0000-0A00-000001000000}">
      <text>
        <r>
          <rPr>
            <b/>
            <sz val="10"/>
            <color indexed="10"/>
            <rFont val="Meiryo UI"/>
            <family val="3"/>
            <charset val="128"/>
          </rPr>
          <t>利用するプランを選択</t>
        </r>
      </text>
    </comment>
    <comment ref="D4" authorId="0" shapeId="0" xr:uid="{00000000-0006-0000-0A00-000002000000}">
      <text>
        <r>
          <rPr>
            <b/>
            <sz val="10"/>
            <color indexed="10"/>
            <rFont val="Meiryo UI"/>
            <family val="3"/>
            <charset val="128"/>
          </rPr>
          <t>利用するオプションを選択</t>
        </r>
      </text>
    </comment>
    <comment ref="E4" authorId="0" shapeId="0" xr:uid="{00000000-0006-0000-0A00-000003000000}">
      <text>
        <r>
          <rPr>
            <b/>
            <sz val="10"/>
            <color indexed="39"/>
            <rFont val="Meiryo UI"/>
            <family val="3"/>
            <charset val="128"/>
          </rPr>
          <t>サービス側で記入の為、記入不要</t>
        </r>
      </text>
    </comment>
    <comment ref="F4" authorId="0" shapeId="0" xr:uid="{00000000-0006-0000-0A00-000004000000}">
      <text>
        <r>
          <rPr>
            <b/>
            <sz val="10"/>
            <color indexed="39"/>
            <rFont val="Meiryo UI"/>
            <family val="3"/>
            <charset val="128"/>
          </rPr>
          <t>サービス側で記入の為、記入不要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HNJ14981</author>
  </authors>
  <commentList>
    <comment ref="B12" authorId="0" shapeId="0" xr:uid="{00000000-0006-0000-0B00-000001000000}">
      <text>
        <r>
          <rPr>
            <b/>
            <sz val="10"/>
            <color indexed="10"/>
            <rFont val="Meiryo UI"/>
            <family val="3"/>
            <charset val="128"/>
          </rPr>
          <t>産業・業種・設置場所を記入下さい</t>
        </r>
      </text>
    </comment>
    <comment ref="B18" authorId="0" shapeId="0" xr:uid="{00000000-0006-0000-0B00-000002000000}">
      <text>
        <r>
          <rPr>
            <b/>
            <sz val="10"/>
            <color indexed="10"/>
            <rFont val="Meiryo UI"/>
            <family val="3"/>
            <charset val="128"/>
          </rPr>
          <t>導入済みサービスを入力下さい</t>
        </r>
      </text>
    </comment>
    <comment ref="B34" authorId="0" shapeId="0" xr:uid="{00000000-0006-0000-0B00-000003000000}">
      <text>
        <r>
          <rPr>
            <b/>
            <sz val="10"/>
            <color indexed="10"/>
            <rFont val="Meiryo UI"/>
            <family val="3"/>
            <charset val="128"/>
          </rPr>
          <t>同時導入サービスを入力下さい</t>
        </r>
      </text>
    </comment>
    <comment ref="B50" authorId="0" shapeId="0" xr:uid="{00000000-0006-0000-0B00-000004000000}">
      <text>
        <r>
          <rPr>
            <b/>
            <sz val="10"/>
            <color indexed="10"/>
            <rFont val="Meiryo UI"/>
            <family val="3"/>
            <charset val="128"/>
          </rPr>
          <t>新規orリプレースを選択下さい</t>
        </r>
      </text>
    </comment>
    <comment ref="B55" authorId="0" shapeId="0" xr:uid="{00000000-0006-0000-0B00-000005000000}">
      <text>
        <r>
          <rPr>
            <b/>
            <sz val="10"/>
            <color indexed="10"/>
            <rFont val="Meiryo UI"/>
            <family val="3"/>
            <charset val="128"/>
          </rPr>
          <t>導入の目的を記入下さい</t>
        </r>
      </text>
    </comment>
    <comment ref="B66" authorId="0" shapeId="0" xr:uid="{00000000-0006-0000-0B00-000006000000}">
      <text>
        <r>
          <rPr>
            <b/>
            <sz val="10"/>
            <color indexed="10"/>
            <rFont val="Meiryo UI"/>
            <family val="3"/>
            <charset val="128"/>
          </rPr>
          <t>他製品との比較について記入下さい</t>
        </r>
      </text>
    </comment>
    <comment ref="B71" authorId="0" shapeId="0" xr:uid="{00000000-0006-0000-0B00-000007000000}">
      <text>
        <r>
          <rPr>
            <b/>
            <sz val="10"/>
            <color indexed="10"/>
            <rFont val="Meiryo UI"/>
            <family val="3"/>
            <charset val="128"/>
          </rPr>
          <t>購入の決め手を選択下さい</t>
        </r>
      </text>
    </comment>
    <comment ref="B84" authorId="0" shapeId="0" xr:uid="{00000000-0006-0000-0B00-000008000000}">
      <text>
        <r>
          <rPr>
            <b/>
            <sz val="10"/>
            <color indexed="10"/>
            <rFont val="Meiryo UI"/>
            <family val="3"/>
            <charset val="128"/>
          </rPr>
          <t>興味のある映像分析サービスを選択下さい</t>
        </r>
      </text>
    </comment>
  </commentList>
</comments>
</file>

<file path=xl/sharedStrings.xml><?xml version="1.0" encoding="utf-8"?>
<sst xmlns="http://schemas.openxmlformats.org/spreadsheetml/2006/main" count="1791" uniqueCount="1103">
  <si>
    <t>No</t>
    <phoneticPr fontId="17"/>
  </si>
  <si>
    <t>担当者名</t>
    <rPh sb="0" eb="3">
      <t>タントウシャ</t>
    </rPh>
    <rPh sb="3" eb="4">
      <t>メイ</t>
    </rPh>
    <phoneticPr fontId="17"/>
  </si>
  <si>
    <t>農業・林業</t>
    <rPh sb="0" eb="2">
      <t>ノウギョウ</t>
    </rPh>
    <rPh sb="3" eb="5">
      <t>リンギョウ</t>
    </rPh>
    <phoneticPr fontId="18"/>
  </si>
  <si>
    <t>農業</t>
    <rPh sb="0" eb="2">
      <t>ノウギョウ</t>
    </rPh>
    <phoneticPr fontId="18"/>
  </si>
  <si>
    <t>林業</t>
    <rPh sb="0" eb="2">
      <t>リンギョウ</t>
    </rPh>
    <phoneticPr fontId="18"/>
  </si>
  <si>
    <t>生産用機械器具製造業</t>
  </si>
  <si>
    <t>電気機械器具製造業</t>
  </si>
  <si>
    <t>情報通信機械器具製造業</t>
  </si>
  <si>
    <t>無店舗小売業</t>
  </si>
  <si>
    <t>広告業</t>
    <phoneticPr fontId="18"/>
  </si>
  <si>
    <t>技術サービス業（他に分類されないもの）</t>
    <phoneticPr fontId="18"/>
  </si>
  <si>
    <t>宿泊業・飲食サービス業</t>
    <phoneticPr fontId="18"/>
  </si>
  <si>
    <t>宿泊業</t>
    <phoneticPr fontId="18"/>
  </si>
  <si>
    <t>飲食店</t>
    <phoneticPr fontId="18"/>
  </si>
  <si>
    <t>持ち帰り・配達飲食サービス業</t>
    <phoneticPr fontId="18"/>
  </si>
  <si>
    <t>生活関連サービス業・娯楽業</t>
    <phoneticPr fontId="18"/>
  </si>
  <si>
    <t>洗濯・理容・美容・浴場業</t>
    <phoneticPr fontId="18"/>
  </si>
  <si>
    <t>その他の生活関連サービス業</t>
    <phoneticPr fontId="18"/>
  </si>
  <si>
    <t>娯楽業</t>
    <phoneticPr fontId="18"/>
  </si>
  <si>
    <t>学校教育</t>
    <phoneticPr fontId="18"/>
  </si>
  <si>
    <t>医療・福祉</t>
    <phoneticPr fontId="18"/>
  </si>
  <si>
    <t>保健衛生</t>
    <phoneticPr fontId="18"/>
  </si>
  <si>
    <t>社会保険・社会福祉・介護事業</t>
    <phoneticPr fontId="18"/>
  </si>
  <si>
    <t>複合サービス事業</t>
    <phoneticPr fontId="18"/>
  </si>
  <si>
    <t>協同組合（他に分類されないもの）</t>
    <phoneticPr fontId="18"/>
  </si>
  <si>
    <t>廃棄物処理業</t>
    <phoneticPr fontId="18"/>
  </si>
  <si>
    <t>自動車整備業</t>
    <phoneticPr fontId="18"/>
  </si>
  <si>
    <t>機械等修理業（別掲を除く）</t>
    <phoneticPr fontId="18"/>
  </si>
  <si>
    <t>職業紹介・労働者派遣業</t>
    <phoneticPr fontId="18"/>
  </si>
  <si>
    <t>その他の事業サービス業</t>
    <phoneticPr fontId="18"/>
  </si>
  <si>
    <t>政治・経済・文化団体</t>
    <phoneticPr fontId="18"/>
  </si>
  <si>
    <t>宗教</t>
    <phoneticPr fontId="18"/>
  </si>
  <si>
    <t>その他のサービス業</t>
    <phoneticPr fontId="18"/>
  </si>
  <si>
    <t>外国公務</t>
    <phoneticPr fontId="18"/>
  </si>
  <si>
    <t>国家公務</t>
    <phoneticPr fontId="18"/>
  </si>
  <si>
    <t>地方公務</t>
    <phoneticPr fontId="18"/>
  </si>
  <si>
    <t>分類不能の産業</t>
    <phoneticPr fontId="18"/>
  </si>
  <si>
    <t>従業員数</t>
    <rPh sb="0" eb="3">
      <t>ジュウギョウイン</t>
    </rPh>
    <rPh sb="3" eb="4">
      <t>スウ</t>
    </rPh>
    <phoneticPr fontId="18"/>
  </si>
  <si>
    <t>産業をお選びください</t>
    <rPh sb="0" eb="2">
      <t>サンギョウ</t>
    </rPh>
    <rPh sb="4" eb="5">
      <t>エラ</t>
    </rPh>
    <phoneticPr fontId="18"/>
  </si>
  <si>
    <t>産業</t>
    <rPh sb="0" eb="2">
      <t>サンギョウ</t>
    </rPh>
    <phoneticPr fontId="18"/>
  </si>
  <si>
    <t>■選択して下さい■</t>
    <rPh sb="1" eb="3">
      <t>センタク</t>
    </rPh>
    <rPh sb="5" eb="6">
      <t>クダ</t>
    </rPh>
    <phoneticPr fontId="22"/>
  </si>
  <si>
    <t>注文内容</t>
    <rPh sb="2" eb="4">
      <t>ナイヨウ</t>
    </rPh>
    <phoneticPr fontId="22"/>
  </si>
  <si>
    <t>記入が必要な別紙</t>
    <rPh sb="0" eb="2">
      <t>キニュウ</t>
    </rPh>
    <rPh sb="3" eb="5">
      <t>ヒツヨウ</t>
    </rPh>
    <rPh sb="6" eb="8">
      <t>ベッシ</t>
    </rPh>
    <phoneticPr fontId="22"/>
  </si>
  <si>
    <t>送付先</t>
    <rPh sb="0" eb="3">
      <t>ソウフサキ</t>
    </rPh>
    <phoneticPr fontId="22"/>
  </si>
  <si>
    <t>新規・追加・減少・廃止・タイプ変更申込</t>
    <rPh sb="0" eb="2">
      <t>シンキ</t>
    </rPh>
    <rPh sb="3" eb="5">
      <t>ツイカ</t>
    </rPh>
    <rPh sb="6" eb="8">
      <t>ゲンショウ</t>
    </rPh>
    <rPh sb="9" eb="11">
      <t>ハイシ</t>
    </rPh>
    <rPh sb="15" eb="17">
      <t>ヘンコウ</t>
    </rPh>
    <rPh sb="17" eb="19">
      <t>モウシコミ</t>
    </rPh>
    <phoneticPr fontId="22"/>
  </si>
  <si>
    <t>別紙①</t>
    <rPh sb="0" eb="2">
      <t>ベッシ</t>
    </rPh>
    <phoneticPr fontId="22"/>
  </si>
  <si>
    <t>別紙②</t>
    <rPh sb="0" eb="2">
      <t>ベッシ</t>
    </rPh>
    <phoneticPr fontId="22"/>
  </si>
  <si>
    <t>アンケート</t>
    <phoneticPr fontId="22"/>
  </si>
  <si>
    <t>別紙⑥</t>
    <rPh sb="0" eb="2">
      <t>ベッシ</t>
    </rPh>
    <phoneticPr fontId="22"/>
  </si>
  <si>
    <r>
      <rPr>
        <b/>
        <sz val="16"/>
        <rFont val="HGP創英角ｺﾞｼｯｸUB"/>
        <family val="3"/>
        <charset val="128"/>
      </rPr>
      <t>別紙①_カメラ</t>
    </r>
    <r>
      <rPr>
        <sz val="16"/>
        <rFont val="HGP創英角ｺﾞｼｯｸUB"/>
        <family val="3"/>
        <charset val="128"/>
      </rPr>
      <t>申込書</t>
    </r>
    <rPh sb="0" eb="2">
      <t>ベッシ</t>
    </rPh>
    <rPh sb="7" eb="10">
      <t>モウシコミショ</t>
    </rPh>
    <phoneticPr fontId="17"/>
  </si>
  <si>
    <t>申込日</t>
    <rPh sb="0" eb="1">
      <t>モウ</t>
    </rPh>
    <rPh sb="1" eb="2">
      <t>コ</t>
    </rPh>
    <rPh sb="2" eb="3">
      <t>ヒ</t>
    </rPh>
    <phoneticPr fontId="17"/>
  </si>
  <si>
    <t>西暦</t>
    <rPh sb="0" eb="2">
      <t>セイレキ</t>
    </rPh>
    <phoneticPr fontId="22"/>
  </si>
  <si>
    <t>年</t>
    <rPh sb="0" eb="1">
      <t>ネン</t>
    </rPh>
    <phoneticPr fontId="22"/>
  </si>
  <si>
    <t>月</t>
    <rPh sb="0" eb="1">
      <t>ツキ</t>
    </rPh>
    <phoneticPr fontId="22"/>
  </si>
  <si>
    <t>日</t>
    <rPh sb="0" eb="1">
      <t>ニチ</t>
    </rPh>
    <phoneticPr fontId="22"/>
  </si>
  <si>
    <t>フリガナ</t>
    <phoneticPr fontId="17"/>
  </si>
  <si>
    <t>〒</t>
    <phoneticPr fontId="17"/>
  </si>
  <si>
    <t>〒</t>
    <phoneticPr fontId="17"/>
  </si>
  <si>
    <t>-</t>
    <phoneticPr fontId="22"/>
  </si>
  <si>
    <t>フリガナ</t>
    <phoneticPr fontId="17"/>
  </si>
  <si>
    <t>フリガナ</t>
    <phoneticPr fontId="17"/>
  </si>
  <si>
    <t>＋１</t>
    <phoneticPr fontId="22"/>
  </si>
  <si>
    <t>都道府県</t>
    <rPh sb="0" eb="4">
      <t>トドウフケン</t>
    </rPh>
    <phoneticPr fontId="17"/>
  </si>
  <si>
    <t>市区町村</t>
    <rPh sb="0" eb="2">
      <t>シク</t>
    </rPh>
    <rPh sb="2" eb="4">
      <t>チョウソン</t>
    </rPh>
    <phoneticPr fontId="17"/>
  </si>
  <si>
    <t>住所
(続き)</t>
    <phoneticPr fontId="17"/>
  </si>
  <si>
    <t>住所
(続き)</t>
    <phoneticPr fontId="17"/>
  </si>
  <si>
    <t>＋２</t>
    <phoneticPr fontId="22"/>
  </si>
  <si>
    <t>＋３</t>
    <phoneticPr fontId="22"/>
  </si>
  <si>
    <t>□</t>
  </si>
  <si>
    <t>島嶼部の場合はチェック</t>
    <phoneticPr fontId="22"/>
  </si>
  <si>
    <t>（建物名）　　　　　　　　　　　　　　　　　　　　　　　　　　　　　　　　　　　　　　　</t>
    <rPh sb="1" eb="3">
      <t>タテモノ</t>
    </rPh>
    <rPh sb="3" eb="4">
      <t>メイ</t>
    </rPh>
    <phoneticPr fontId="17"/>
  </si>
  <si>
    <t>3ヵ月後</t>
    <rPh sb="2" eb="4">
      <t>ゲツゴ</t>
    </rPh>
    <phoneticPr fontId="22"/>
  </si>
  <si>
    <t>開通案内送付先住所</t>
    <rPh sb="0" eb="2">
      <t>カイツウ</t>
    </rPh>
    <rPh sb="2" eb="4">
      <t>アンナイ</t>
    </rPh>
    <rPh sb="4" eb="7">
      <t>ソウフサキ</t>
    </rPh>
    <rPh sb="7" eb="9">
      <t>ジュウショ</t>
    </rPh>
    <phoneticPr fontId="22"/>
  </si>
  <si>
    <t>-</t>
    <phoneticPr fontId="22"/>
  </si>
  <si>
    <t>島嶼部の場合はチェック</t>
    <phoneticPr fontId="22"/>
  </si>
  <si>
    <t>契約アクセス回線</t>
    <rPh sb="0" eb="2">
      <t>ケイヤク</t>
    </rPh>
    <rPh sb="6" eb="8">
      <t>カイセン</t>
    </rPh>
    <phoneticPr fontId="22"/>
  </si>
  <si>
    <t>CAF</t>
    <phoneticPr fontId="22"/>
  </si>
  <si>
    <t>東日本エリアや他社回線拠点でご利用の場合でも、西日本エリアの料金課金先アクセス回線を記載願います。</t>
    <rPh sb="0" eb="1">
      <t>ヒガシ</t>
    </rPh>
    <rPh sb="1" eb="3">
      <t>ニホン</t>
    </rPh>
    <rPh sb="7" eb="9">
      <t>タシャ</t>
    </rPh>
    <rPh sb="9" eb="11">
      <t>カイセン</t>
    </rPh>
    <rPh sb="11" eb="13">
      <t>キョテン</t>
    </rPh>
    <rPh sb="15" eb="17">
      <t>リヨウ</t>
    </rPh>
    <rPh sb="18" eb="20">
      <t>バアイ</t>
    </rPh>
    <rPh sb="23" eb="24">
      <t>ニシ</t>
    </rPh>
    <rPh sb="24" eb="26">
      <t>ニホン</t>
    </rPh>
    <rPh sb="30" eb="32">
      <t>リョウキン</t>
    </rPh>
    <rPh sb="32" eb="34">
      <t>カキン</t>
    </rPh>
    <rPh sb="34" eb="35">
      <t>サキ</t>
    </rPh>
    <rPh sb="39" eb="41">
      <t>カイセン</t>
    </rPh>
    <rPh sb="42" eb="44">
      <t>キサイ</t>
    </rPh>
    <rPh sb="44" eb="45">
      <t>ネガ</t>
    </rPh>
    <phoneticPr fontId="22"/>
  </si>
  <si>
    <t>担当部署名</t>
    <phoneticPr fontId="22"/>
  </si>
  <si>
    <t>電話番号1</t>
    <rPh sb="0" eb="4">
      <t>デンワバンゴウ</t>
    </rPh>
    <phoneticPr fontId="22"/>
  </si>
  <si>
    <t>（</t>
  </si>
  <si>
    <t>）</t>
  </si>
  <si>
    <t>－</t>
  </si>
  <si>
    <t>電話番号2
(緊急時)</t>
    <rPh sb="0" eb="4">
      <t>デンワバンゴウ</t>
    </rPh>
    <rPh sb="7" eb="10">
      <t>キンキュウジ</t>
    </rPh>
    <phoneticPr fontId="22"/>
  </si>
  <si>
    <t>メールアドレス</t>
    <phoneticPr fontId="22"/>
  </si>
  <si>
    <t>＠</t>
    <phoneticPr fontId="22"/>
  </si>
  <si>
    <t>■必須記載欄</t>
    <phoneticPr fontId="22"/>
  </si>
  <si>
    <t>※お申し込みはプラン毎に実施いただく必要がございます。</t>
    <rPh sb="2" eb="3">
      <t>モウ</t>
    </rPh>
    <rPh sb="4" eb="5">
      <t>コ</t>
    </rPh>
    <rPh sb="10" eb="11">
      <t>ゴト</t>
    </rPh>
    <rPh sb="12" eb="14">
      <t>ジッシ</t>
    </rPh>
    <rPh sb="18" eb="20">
      <t>ヒツヨウ</t>
    </rPh>
    <phoneticPr fontId="22"/>
  </si>
  <si>
    <t>契約内容</t>
    <rPh sb="0" eb="2">
      <t>ケイヤク</t>
    </rPh>
    <rPh sb="2" eb="4">
      <t>ナイヨウ</t>
    </rPh>
    <phoneticPr fontId="17"/>
  </si>
  <si>
    <t>新規</t>
    <rPh sb="0" eb="2">
      <t>シンキ</t>
    </rPh>
    <phoneticPr fontId="17"/>
  </si>
  <si>
    <t>利用する</t>
    <phoneticPr fontId="22"/>
  </si>
  <si>
    <t>お申し込みタイプ・
台数</t>
    <rPh sb="1" eb="2">
      <t>モウ</t>
    </rPh>
    <rPh sb="3" eb="4">
      <t>コ</t>
    </rPh>
    <rPh sb="10" eb="12">
      <t>ダイスウ</t>
    </rPh>
    <phoneticPr fontId="17"/>
  </si>
  <si>
    <t>　７日タイプ</t>
    <phoneticPr fontId="22"/>
  </si>
  <si>
    <t>：</t>
    <phoneticPr fontId="22"/>
  </si>
  <si>
    <t>台</t>
    <rPh sb="0" eb="1">
      <t>ダイ</t>
    </rPh>
    <phoneticPr fontId="22"/>
  </si>
  <si>
    <t>　14日タイプ</t>
    <phoneticPr fontId="22"/>
  </si>
  <si>
    <t>：</t>
    <phoneticPr fontId="22"/>
  </si>
  <si>
    <t>　30日タイプ</t>
    <phoneticPr fontId="22"/>
  </si>
  <si>
    <t>：</t>
    <phoneticPr fontId="22"/>
  </si>
  <si>
    <t>　60日タイプ</t>
    <phoneticPr fontId="22"/>
  </si>
  <si>
    <t>　90日タイプ　</t>
    <phoneticPr fontId="22"/>
  </si>
  <si>
    <t>　180日タイプ</t>
    <phoneticPr fontId="22"/>
  </si>
  <si>
    <t>オプション</t>
    <phoneticPr fontId="22"/>
  </si>
  <si>
    <t>ＰOＳレジ連携オプション</t>
    <phoneticPr fontId="22"/>
  </si>
  <si>
    <t>機器配送希望日</t>
    <rPh sb="0" eb="2">
      <t>キキ</t>
    </rPh>
    <rPh sb="2" eb="4">
      <t>ハイソウ</t>
    </rPh>
    <rPh sb="4" eb="7">
      <t>キボウビ</t>
    </rPh>
    <phoneticPr fontId="17"/>
  </si>
  <si>
    <t>開通希望日</t>
    <rPh sb="0" eb="2">
      <t>カイツウ</t>
    </rPh>
    <rPh sb="2" eb="4">
      <t>キボウ</t>
    </rPh>
    <phoneticPr fontId="17"/>
  </si>
  <si>
    <t>機器設置場所住所</t>
    <phoneticPr fontId="22"/>
  </si>
  <si>
    <t>〒</t>
    <phoneticPr fontId="17"/>
  </si>
  <si>
    <t>-</t>
    <phoneticPr fontId="22"/>
  </si>
  <si>
    <t>フリガナ</t>
    <phoneticPr fontId="17"/>
  </si>
  <si>
    <t>市区町村</t>
    <rPh sb="0" eb="4">
      <t>シクチョウソン</t>
    </rPh>
    <phoneticPr fontId="17"/>
  </si>
  <si>
    <t>住所
(続き)</t>
    <rPh sb="0" eb="2">
      <t>ジュウショ</t>
    </rPh>
    <rPh sb="4" eb="5">
      <t>ツヅ</t>
    </rPh>
    <phoneticPr fontId="17"/>
  </si>
  <si>
    <t>島嶼部の場合はチェック</t>
    <phoneticPr fontId="22"/>
  </si>
  <si>
    <t>機器配送場所住所</t>
    <rPh sb="2" eb="4">
      <t>ハイソウ</t>
    </rPh>
    <phoneticPr fontId="22"/>
  </si>
  <si>
    <t>設置場所住所と同一の場合はチェック</t>
    <rPh sb="0" eb="2">
      <t>セッチ</t>
    </rPh>
    <rPh sb="2" eb="4">
      <t>バショ</t>
    </rPh>
    <phoneticPr fontId="22"/>
  </si>
  <si>
    <t>フリガナ</t>
    <phoneticPr fontId="17"/>
  </si>
  <si>
    <t>島嶼部の場合はチェック</t>
    <phoneticPr fontId="22"/>
  </si>
  <si>
    <t>お届け先
会社・部署名等</t>
    <rPh sb="1" eb="2">
      <t>トド</t>
    </rPh>
    <rPh sb="3" eb="4">
      <t>サキ</t>
    </rPh>
    <rPh sb="5" eb="7">
      <t>カイシャ</t>
    </rPh>
    <rPh sb="8" eb="11">
      <t>ブショメイ</t>
    </rPh>
    <rPh sb="11" eb="12">
      <t>トウ</t>
    </rPh>
    <phoneticPr fontId="17"/>
  </si>
  <si>
    <t>受取人名</t>
    <rPh sb="0" eb="3">
      <t>ウケトリニン</t>
    </rPh>
    <rPh sb="3" eb="4">
      <t>メイ</t>
    </rPh>
    <phoneticPr fontId="17"/>
  </si>
  <si>
    <t>4営業日後</t>
    <rPh sb="1" eb="4">
      <t>エイギョウビ</t>
    </rPh>
    <rPh sb="4" eb="5">
      <t>ゴ</t>
    </rPh>
    <phoneticPr fontId="22"/>
  </si>
  <si>
    <t>電話番号2</t>
    <rPh sb="0" eb="4">
      <t>デンワバンゴウ</t>
    </rPh>
    <phoneticPr fontId="22"/>
  </si>
  <si>
    <t>■任意記載欄</t>
    <rPh sb="1" eb="5">
      <t>ニンイキサイ</t>
    </rPh>
    <rPh sb="5" eb="6">
      <t>ラン</t>
    </rPh>
    <phoneticPr fontId="22"/>
  </si>
  <si>
    <t>事業者管理ID</t>
    <rPh sb="0" eb="3">
      <t>ジギョウシャ</t>
    </rPh>
    <rPh sb="3" eb="5">
      <t>カンリ</t>
    </rPh>
    <phoneticPr fontId="22"/>
  </si>
  <si>
    <t>LAN環境で右記に該当するものにチェック</t>
    <phoneticPr fontId="22"/>
  </si>
  <si>
    <t>固定IPアドレス利用</t>
    <rPh sb="0" eb="2">
      <t>コテイ</t>
    </rPh>
    <rPh sb="8" eb="10">
      <t>リヨウ</t>
    </rPh>
    <phoneticPr fontId="22"/>
  </si>
  <si>
    <t>ＷｉＦｉ接続利用</t>
    <rPh sb="4" eb="6">
      <t>セツゾク</t>
    </rPh>
    <rPh sb="6" eb="8">
      <t>リヨウ</t>
    </rPh>
    <phoneticPr fontId="22"/>
  </si>
  <si>
    <t>ファイアーウォール利用</t>
    <rPh sb="9" eb="11">
      <t>リヨウ</t>
    </rPh>
    <phoneticPr fontId="22"/>
  </si>
  <si>
    <t>記事欄</t>
    <rPh sb="0" eb="2">
      <t>キジ</t>
    </rPh>
    <rPh sb="2" eb="3">
      <t>ラン</t>
    </rPh>
    <phoneticPr fontId="22"/>
  </si>
  <si>
    <t>■販売担当者情報</t>
    <rPh sb="1" eb="3">
      <t>ハンバイ</t>
    </rPh>
    <rPh sb="3" eb="6">
      <t>タントウシャ</t>
    </rPh>
    <rPh sb="6" eb="8">
      <t>ジョウホウ</t>
    </rPh>
    <phoneticPr fontId="22"/>
  </si>
  <si>
    <t>会社名</t>
    <rPh sb="0" eb="3">
      <t>カイシャメイ</t>
    </rPh>
    <phoneticPr fontId="22"/>
  </si>
  <si>
    <t>販売代理店コード</t>
    <rPh sb="0" eb="2">
      <t>ハンバイ</t>
    </rPh>
    <rPh sb="2" eb="5">
      <t>ダイリテン</t>
    </rPh>
    <phoneticPr fontId="22"/>
  </si>
  <si>
    <t>支店名</t>
    <rPh sb="0" eb="3">
      <t>シテンメイ</t>
    </rPh>
    <phoneticPr fontId="22"/>
  </si>
  <si>
    <t>支店所在地</t>
    <rPh sb="0" eb="2">
      <t>シテン</t>
    </rPh>
    <rPh sb="2" eb="5">
      <t>ショザイチ</t>
    </rPh>
    <phoneticPr fontId="22"/>
  </si>
  <si>
    <t>部・部門・担当名</t>
    <rPh sb="0" eb="1">
      <t>ブ</t>
    </rPh>
    <rPh sb="2" eb="4">
      <t>ブモン</t>
    </rPh>
    <rPh sb="5" eb="7">
      <t>タントウ</t>
    </rPh>
    <rPh sb="7" eb="8">
      <t>メイ</t>
    </rPh>
    <phoneticPr fontId="22"/>
  </si>
  <si>
    <t>販売担当者</t>
    <rPh sb="0" eb="2">
      <t>ハンバイ</t>
    </rPh>
    <rPh sb="2" eb="5">
      <t>タントウシャ</t>
    </rPh>
    <phoneticPr fontId="22"/>
  </si>
  <si>
    <t>販売担当者社員コード</t>
    <rPh sb="0" eb="2">
      <t>ハンバイ</t>
    </rPh>
    <rPh sb="2" eb="5">
      <t>タントウシャ</t>
    </rPh>
    <rPh sb="5" eb="7">
      <t>シャイン</t>
    </rPh>
    <phoneticPr fontId="22"/>
  </si>
  <si>
    <t>販売担当者電話番号</t>
    <rPh sb="0" eb="2">
      <t>ハンバイ</t>
    </rPh>
    <rPh sb="2" eb="5">
      <t>タントウシャ</t>
    </rPh>
    <rPh sb="5" eb="7">
      <t>デンワ</t>
    </rPh>
    <rPh sb="7" eb="9">
      <t>バンゴウ</t>
    </rPh>
    <phoneticPr fontId="22"/>
  </si>
  <si>
    <t>販売担当者メールアドレス</t>
    <rPh sb="0" eb="2">
      <t>ハンバイ</t>
    </rPh>
    <rPh sb="2" eb="5">
      <t>タントウシャ</t>
    </rPh>
    <phoneticPr fontId="22"/>
  </si>
  <si>
    <t>■工事調整担当者</t>
    <rPh sb="1" eb="3">
      <t>コウジ</t>
    </rPh>
    <rPh sb="3" eb="5">
      <t>チョウセイ</t>
    </rPh>
    <rPh sb="5" eb="7">
      <t>タントウ</t>
    </rPh>
    <rPh sb="7" eb="8">
      <t>シャ</t>
    </rPh>
    <phoneticPr fontId="22"/>
  </si>
  <si>
    <t>販売担当者と同一の場合はチェック　販売担当者以外の方の場合は下記にご記入ください</t>
    <rPh sb="0" eb="2">
      <t>ハンバイ</t>
    </rPh>
    <rPh sb="2" eb="5">
      <t>タントウシャ</t>
    </rPh>
    <rPh sb="17" eb="19">
      <t>ハンバイ</t>
    </rPh>
    <rPh sb="19" eb="22">
      <t>タントウシャ</t>
    </rPh>
    <rPh sb="22" eb="24">
      <t>イガイ</t>
    </rPh>
    <rPh sb="25" eb="26">
      <t>カタ</t>
    </rPh>
    <rPh sb="27" eb="29">
      <t>バアイ</t>
    </rPh>
    <rPh sb="30" eb="32">
      <t>カキ</t>
    </rPh>
    <rPh sb="34" eb="36">
      <t>キニュウ</t>
    </rPh>
    <phoneticPr fontId="22"/>
  </si>
  <si>
    <t>工事調整担当者</t>
    <rPh sb="4" eb="7">
      <t>タントウシャ</t>
    </rPh>
    <phoneticPr fontId="22"/>
  </si>
  <si>
    <t>工事調整担当者社員コード</t>
    <rPh sb="0" eb="2">
      <t>コウジ</t>
    </rPh>
    <rPh sb="2" eb="4">
      <t>チョウセイ</t>
    </rPh>
    <rPh sb="4" eb="7">
      <t>タントウシャ</t>
    </rPh>
    <rPh sb="7" eb="9">
      <t>シャイン</t>
    </rPh>
    <phoneticPr fontId="22"/>
  </si>
  <si>
    <t>工事調整担当者電話番号</t>
    <rPh sb="4" eb="7">
      <t>タントウシャ</t>
    </rPh>
    <rPh sb="7" eb="9">
      <t>デンワ</t>
    </rPh>
    <rPh sb="9" eb="11">
      <t>バンゴウ</t>
    </rPh>
    <phoneticPr fontId="22"/>
  </si>
  <si>
    <t>工事調整担当者メールアドレス</t>
    <rPh sb="4" eb="7">
      <t>タントウシャ</t>
    </rPh>
    <phoneticPr fontId="22"/>
  </si>
  <si>
    <t>■設計担当者</t>
    <rPh sb="1" eb="3">
      <t>セッケイ</t>
    </rPh>
    <rPh sb="3" eb="6">
      <t>タントウシャ</t>
    </rPh>
    <phoneticPr fontId="22"/>
  </si>
  <si>
    <t>工事調整担当者と同一の場合はチェック　工事調整担当者以外の方の場合は下記にご記入ください</t>
    <rPh sb="0" eb="2">
      <t>コウジ</t>
    </rPh>
    <rPh sb="2" eb="4">
      <t>チョウセイ</t>
    </rPh>
    <rPh sb="4" eb="6">
      <t>タントウ</t>
    </rPh>
    <rPh sb="6" eb="7">
      <t>シャ</t>
    </rPh>
    <rPh sb="19" eb="21">
      <t>コウジ</t>
    </rPh>
    <rPh sb="21" eb="23">
      <t>チョウセイ</t>
    </rPh>
    <rPh sb="23" eb="25">
      <t>タントウ</t>
    </rPh>
    <rPh sb="25" eb="26">
      <t>シャ</t>
    </rPh>
    <rPh sb="26" eb="28">
      <t>イガイ</t>
    </rPh>
    <rPh sb="29" eb="30">
      <t>カタ</t>
    </rPh>
    <rPh sb="31" eb="33">
      <t>バアイ</t>
    </rPh>
    <rPh sb="34" eb="36">
      <t>カキ</t>
    </rPh>
    <rPh sb="38" eb="40">
      <t>キニュウ</t>
    </rPh>
    <phoneticPr fontId="22"/>
  </si>
  <si>
    <t>設計担当者</t>
    <phoneticPr fontId="22"/>
  </si>
  <si>
    <t>設計担当者社員コード</t>
    <rPh sb="5" eb="7">
      <t>シャイン</t>
    </rPh>
    <phoneticPr fontId="22"/>
  </si>
  <si>
    <t>設計担当者電話番号</t>
    <rPh sb="5" eb="7">
      <t>デンワ</t>
    </rPh>
    <rPh sb="7" eb="9">
      <t>バンゴウ</t>
    </rPh>
    <phoneticPr fontId="22"/>
  </si>
  <si>
    <t>設計担当者メールアドレス</t>
    <phoneticPr fontId="22"/>
  </si>
  <si>
    <t>■申込書内容確認担当者</t>
    <rPh sb="1" eb="4">
      <t>モウシコミショ</t>
    </rPh>
    <rPh sb="4" eb="6">
      <t>ナイヨウ</t>
    </rPh>
    <rPh sb="6" eb="8">
      <t>カクニン</t>
    </rPh>
    <rPh sb="8" eb="10">
      <t>タントウ</t>
    </rPh>
    <rPh sb="10" eb="11">
      <t>シャ</t>
    </rPh>
    <phoneticPr fontId="22"/>
  </si>
  <si>
    <t>確認担当者</t>
    <phoneticPr fontId="22"/>
  </si>
  <si>
    <t>確認担当者社員コード</t>
    <rPh sb="5" eb="7">
      <t>シャイン</t>
    </rPh>
    <phoneticPr fontId="22"/>
  </si>
  <si>
    <t>確認担当者電話番号</t>
    <rPh sb="5" eb="7">
      <t>デンワ</t>
    </rPh>
    <rPh sb="7" eb="9">
      <t>バンゴウ</t>
    </rPh>
    <phoneticPr fontId="22"/>
  </si>
  <si>
    <t>確認担当者メールアドレス</t>
    <phoneticPr fontId="22"/>
  </si>
  <si>
    <t>別紙②_カメラ設定</t>
    <rPh sb="0" eb="2">
      <t>ベッシ</t>
    </rPh>
    <rPh sb="7" eb="9">
      <t>セッテイ</t>
    </rPh>
    <phoneticPr fontId="22"/>
  </si>
  <si>
    <r>
      <t>記入必須項目</t>
    </r>
    <r>
      <rPr>
        <b/>
        <sz val="10"/>
        <color rgb="FFFF0000"/>
        <rFont val="ＭＳ Ｐゴシック"/>
        <family val="3"/>
        <charset val="128"/>
        <scheme val="minor"/>
      </rPr>
      <t/>
    </r>
    <rPh sb="0" eb="2">
      <t>キニュウ</t>
    </rPh>
    <rPh sb="2" eb="4">
      <t>ヒッス</t>
    </rPh>
    <rPh sb="4" eb="6">
      <t>コウモク</t>
    </rPh>
    <phoneticPr fontId="22"/>
  </si>
  <si>
    <t>オプション情報</t>
    <rPh sb="5" eb="7">
      <t>ジョウホウ</t>
    </rPh>
    <phoneticPr fontId="22"/>
  </si>
  <si>
    <t>弊社記入欄</t>
    <rPh sb="0" eb="2">
      <t>ヘイシャ</t>
    </rPh>
    <rPh sb="2" eb="4">
      <t>キニュウ</t>
    </rPh>
    <rPh sb="4" eb="5">
      <t>ラン</t>
    </rPh>
    <phoneticPr fontId="22"/>
  </si>
  <si>
    <t>サポートセンタ記入欄</t>
    <rPh sb="7" eb="9">
      <t>キニュウ</t>
    </rPh>
    <rPh sb="9" eb="10">
      <t>ラン</t>
    </rPh>
    <phoneticPr fontId="22"/>
  </si>
  <si>
    <t>プラン</t>
    <phoneticPr fontId="17"/>
  </si>
  <si>
    <t>契約ID</t>
    <rPh sb="0" eb="2">
      <t>ケイヤク</t>
    </rPh>
    <phoneticPr fontId="22"/>
  </si>
  <si>
    <t>カメラのシリアル番号</t>
    <rPh sb="8" eb="10">
      <t>バンゴウ</t>
    </rPh>
    <phoneticPr fontId="22"/>
  </si>
  <si>
    <t>備考</t>
    <rPh sb="0" eb="2">
      <t>ビコウ</t>
    </rPh>
    <phoneticPr fontId="17"/>
  </si>
  <si>
    <t>例</t>
    <rPh sb="0" eb="1">
      <t>レイ</t>
    </rPh>
    <phoneticPr fontId="22"/>
  </si>
  <si>
    <t>POSレジ連携</t>
    <rPh sb="5" eb="7">
      <t>レンケイ</t>
    </rPh>
    <phoneticPr fontId="22"/>
  </si>
  <si>
    <t>NCCxxxxxxxxxx</t>
    <phoneticPr fontId="22"/>
  </si>
  <si>
    <t>事務所</t>
    <rPh sb="0" eb="2">
      <t>ジム</t>
    </rPh>
    <rPh sb="2" eb="3">
      <t>ショ</t>
    </rPh>
    <phoneticPr fontId="22"/>
  </si>
  <si>
    <t>0-5名　</t>
    <phoneticPr fontId="22"/>
  </si>
  <si>
    <t>新規</t>
    <rPh sb="0" eb="2">
      <t>シンキ</t>
    </rPh>
    <phoneticPr fontId="22"/>
  </si>
  <si>
    <t>有</t>
    <rPh sb="0" eb="1">
      <t>ア</t>
    </rPh>
    <phoneticPr fontId="22"/>
  </si>
  <si>
    <t>工場</t>
    <rPh sb="0" eb="2">
      <t>コウジョウ</t>
    </rPh>
    <phoneticPr fontId="22"/>
  </si>
  <si>
    <t>5-9名　</t>
  </si>
  <si>
    <t>リプレース</t>
    <phoneticPr fontId="22"/>
  </si>
  <si>
    <t>無</t>
    <rPh sb="0" eb="1">
      <t>ナ</t>
    </rPh>
    <phoneticPr fontId="22"/>
  </si>
  <si>
    <t>ホテル</t>
    <phoneticPr fontId="22"/>
  </si>
  <si>
    <t>10-19名　</t>
  </si>
  <si>
    <t>公共施設</t>
    <rPh sb="0" eb="2">
      <t>コウキョウ</t>
    </rPh>
    <rPh sb="2" eb="4">
      <t>シセツ</t>
    </rPh>
    <phoneticPr fontId="22"/>
  </si>
  <si>
    <t>20-49名　</t>
  </si>
  <si>
    <t>屋外</t>
    <rPh sb="0" eb="2">
      <t>オクガイ</t>
    </rPh>
    <phoneticPr fontId="22"/>
  </si>
  <si>
    <t>50-99名</t>
  </si>
  <si>
    <t>100-200名</t>
  </si>
  <si>
    <t>200-300名</t>
  </si>
  <si>
    <t>300名以上</t>
  </si>
  <si>
    <t>■基本情報</t>
    <rPh sb="1" eb="3">
      <t>キホン</t>
    </rPh>
    <rPh sb="3" eb="5">
      <t>ジョウホウ</t>
    </rPh>
    <phoneticPr fontId="22"/>
  </si>
  <si>
    <t>業種</t>
    <rPh sb="0" eb="2">
      <t>ギョウシュ</t>
    </rPh>
    <phoneticPr fontId="22"/>
  </si>
  <si>
    <t>設置場所</t>
    <rPh sb="0" eb="2">
      <t>セッチ</t>
    </rPh>
    <rPh sb="2" eb="4">
      <t>バショ</t>
    </rPh>
    <phoneticPr fontId="22"/>
  </si>
  <si>
    <t>設置場所がその他の場合は左欄に記載願います</t>
    <rPh sb="0" eb="2">
      <t>セッチ</t>
    </rPh>
    <rPh sb="2" eb="4">
      <t>バショ</t>
    </rPh>
    <rPh sb="7" eb="8">
      <t>タ</t>
    </rPh>
    <rPh sb="9" eb="11">
      <t>バアイ</t>
    </rPh>
    <rPh sb="12" eb="13">
      <t>ヒダリ</t>
    </rPh>
    <rPh sb="13" eb="14">
      <t>ラン</t>
    </rPh>
    <rPh sb="15" eb="17">
      <t>キサイ</t>
    </rPh>
    <rPh sb="17" eb="18">
      <t>ネガ</t>
    </rPh>
    <phoneticPr fontId="22"/>
  </si>
  <si>
    <t>■導入済みサービス</t>
    <rPh sb="1" eb="3">
      <t>ドウニュウ</t>
    </rPh>
    <rPh sb="3" eb="4">
      <t>ズ</t>
    </rPh>
    <phoneticPr fontId="22"/>
  </si>
  <si>
    <t>※複数選択可</t>
    <rPh sb="1" eb="3">
      <t>フクスウ</t>
    </rPh>
    <rPh sb="3" eb="5">
      <t>センタク</t>
    </rPh>
    <rPh sb="5" eb="6">
      <t>カ</t>
    </rPh>
    <phoneticPr fontId="22"/>
  </si>
  <si>
    <t>【情報機器】</t>
  </si>
  <si>
    <t>【付加サービス】</t>
    <rPh sb="1" eb="3">
      <t>フカ</t>
    </rPh>
    <phoneticPr fontId="22"/>
  </si>
  <si>
    <t>【回線、電話系サービス】</t>
    <rPh sb="1" eb="3">
      <t>カイセン</t>
    </rPh>
    <rPh sb="4" eb="6">
      <t>デンワ</t>
    </rPh>
    <rPh sb="6" eb="7">
      <t>ケイ</t>
    </rPh>
    <phoneticPr fontId="22"/>
  </si>
  <si>
    <t>該当サービスなし</t>
    <rPh sb="0" eb="2">
      <t>ガイトウ</t>
    </rPh>
    <phoneticPr fontId="22"/>
  </si>
  <si>
    <t xml:space="preserve">■同時導入サービス
</t>
    <rPh sb="1" eb="3">
      <t>ドウジ</t>
    </rPh>
    <rPh sb="3" eb="5">
      <t>ドウニュウ</t>
    </rPh>
    <phoneticPr fontId="22"/>
  </si>
  <si>
    <t xml:space="preserve">■オンプレ型カメラ、クラウド型カメラサービスについて
</t>
    <rPh sb="5" eb="6">
      <t>ガタ</t>
    </rPh>
    <rPh sb="14" eb="15">
      <t>ガタ</t>
    </rPh>
    <phoneticPr fontId="22"/>
  </si>
  <si>
    <t>新規orリプレース</t>
    <rPh sb="0" eb="2">
      <t>シンキ</t>
    </rPh>
    <phoneticPr fontId="18"/>
  </si>
  <si>
    <t>リプレースの場合は左欄にサービス名もしくはカメラの型番を記載願います</t>
    <rPh sb="6" eb="8">
      <t>バアイ</t>
    </rPh>
    <rPh sb="9" eb="10">
      <t>ヒダリ</t>
    </rPh>
    <rPh sb="10" eb="11">
      <t>ラン</t>
    </rPh>
    <rPh sb="16" eb="17">
      <t>メイ</t>
    </rPh>
    <rPh sb="25" eb="27">
      <t>カタバン</t>
    </rPh>
    <rPh sb="28" eb="30">
      <t>キサイ</t>
    </rPh>
    <rPh sb="30" eb="31">
      <t>ネガ</t>
    </rPh>
    <phoneticPr fontId="22"/>
  </si>
  <si>
    <t xml:space="preserve">■導入の目的
</t>
    <rPh sb="1" eb="3">
      <t>ドウニュウ</t>
    </rPh>
    <rPh sb="4" eb="6">
      <t>モクテキ</t>
    </rPh>
    <phoneticPr fontId="22"/>
  </si>
  <si>
    <t>見守り</t>
    <rPh sb="0" eb="2">
      <t>ミマモ</t>
    </rPh>
    <phoneticPr fontId="22"/>
  </si>
  <si>
    <t>犯罪防止</t>
    <rPh sb="0" eb="2">
      <t>ハンザイ</t>
    </rPh>
    <rPh sb="2" eb="4">
      <t>ボウシ</t>
    </rPh>
    <phoneticPr fontId="22"/>
  </si>
  <si>
    <t>何か行った場合のためにログとして利用</t>
    <rPh sb="0" eb="1">
      <t>ナニ</t>
    </rPh>
    <rPh sb="2" eb="3">
      <t>オコナ</t>
    </rPh>
    <rPh sb="5" eb="7">
      <t>バアイ</t>
    </rPh>
    <rPh sb="16" eb="18">
      <t>リヨウ</t>
    </rPh>
    <phoneticPr fontId="22"/>
  </si>
  <si>
    <t>上記以外
自由記述</t>
    <rPh sb="0" eb="2">
      <t>ジョウキ</t>
    </rPh>
    <rPh sb="2" eb="4">
      <t>イガイ</t>
    </rPh>
    <rPh sb="5" eb="7">
      <t>ジユウ</t>
    </rPh>
    <rPh sb="7" eb="9">
      <t>キジュツ</t>
    </rPh>
    <phoneticPr fontId="22"/>
  </si>
  <si>
    <t xml:space="preserve">■他製品との比較について
</t>
    <rPh sb="1" eb="2">
      <t>ホカ</t>
    </rPh>
    <rPh sb="2" eb="4">
      <t>セイヒン</t>
    </rPh>
    <rPh sb="6" eb="8">
      <t>ヒカク</t>
    </rPh>
    <phoneticPr fontId="22"/>
  </si>
  <si>
    <t>比較の有無</t>
    <rPh sb="0" eb="2">
      <t>ヒカク</t>
    </rPh>
    <rPh sb="3" eb="5">
      <t>ウム</t>
    </rPh>
    <phoneticPr fontId="18"/>
  </si>
  <si>
    <t>有りの場合は左欄にサービス名もしくはカメラの型番を記載願います</t>
    <rPh sb="0" eb="1">
      <t>ア</t>
    </rPh>
    <rPh sb="3" eb="5">
      <t>バアイ</t>
    </rPh>
    <rPh sb="6" eb="7">
      <t>ヒダリ</t>
    </rPh>
    <rPh sb="7" eb="8">
      <t>ラン</t>
    </rPh>
    <rPh sb="13" eb="14">
      <t>メイ</t>
    </rPh>
    <rPh sb="22" eb="24">
      <t>カタバン</t>
    </rPh>
    <rPh sb="25" eb="27">
      <t>キサイ</t>
    </rPh>
    <rPh sb="27" eb="28">
      <t>ネガ</t>
    </rPh>
    <phoneticPr fontId="22"/>
  </si>
  <si>
    <t>■購入の決め手</t>
    <rPh sb="1" eb="3">
      <t>コウニュウ</t>
    </rPh>
    <rPh sb="4" eb="5">
      <t>キ</t>
    </rPh>
    <rPh sb="6" eb="7">
      <t>テ</t>
    </rPh>
    <phoneticPr fontId="22"/>
  </si>
  <si>
    <t>価格</t>
    <rPh sb="0" eb="2">
      <t>カカク</t>
    </rPh>
    <phoneticPr fontId="22"/>
  </si>
  <si>
    <t>機
能
面</t>
    <rPh sb="0" eb="1">
      <t>キ</t>
    </rPh>
    <rPh sb="2" eb="3">
      <t>ノウ</t>
    </rPh>
    <rPh sb="4" eb="5">
      <t>メン</t>
    </rPh>
    <phoneticPr fontId="22"/>
  </si>
  <si>
    <t>エリアアラート機能</t>
    <rPh sb="7" eb="9">
      <t>キノウ</t>
    </rPh>
    <phoneticPr fontId="22"/>
  </si>
  <si>
    <t>POSレジ機能</t>
    <rPh sb="5" eb="7">
      <t>キノウ</t>
    </rPh>
    <phoneticPr fontId="22"/>
  </si>
  <si>
    <t>モーションや音検知の検索しやすさ</t>
    <rPh sb="6" eb="7">
      <t>オト</t>
    </rPh>
    <rPh sb="7" eb="9">
      <t>ケンチ</t>
    </rPh>
    <rPh sb="10" eb="12">
      <t>ケンサク</t>
    </rPh>
    <phoneticPr fontId="22"/>
  </si>
  <si>
    <t>BCP対策</t>
    <rPh sb="3" eb="5">
      <t>タイサク</t>
    </rPh>
    <phoneticPr fontId="22"/>
  </si>
  <si>
    <t>保
守
面</t>
    <rPh sb="0" eb="1">
      <t>タモツ</t>
    </rPh>
    <rPh sb="2" eb="3">
      <t>マモル</t>
    </rPh>
    <rPh sb="4" eb="5">
      <t>メン</t>
    </rPh>
    <phoneticPr fontId="22"/>
  </si>
  <si>
    <t>営業に勧められたから</t>
    <rPh sb="0" eb="2">
      <t>エイギョウ</t>
    </rPh>
    <rPh sb="3" eb="4">
      <t>スス</t>
    </rPh>
    <phoneticPr fontId="22"/>
  </si>
  <si>
    <t>■興味のある映像分析サービス</t>
    <rPh sb="1" eb="3">
      <t>キョウミ</t>
    </rPh>
    <rPh sb="6" eb="8">
      <t>エイゾウ</t>
    </rPh>
    <rPh sb="8" eb="10">
      <t>ブンセキ</t>
    </rPh>
    <phoneticPr fontId="22"/>
  </si>
  <si>
    <t>動線分析</t>
    <rPh sb="0" eb="2">
      <t>ドウセン</t>
    </rPh>
    <rPh sb="2" eb="4">
      <t>ブンセキ</t>
    </rPh>
    <phoneticPr fontId="22"/>
  </si>
  <si>
    <t>顔認証</t>
    <rPh sb="0" eb="1">
      <t>カオ</t>
    </rPh>
    <rPh sb="1" eb="3">
      <t>ニンショウ</t>
    </rPh>
    <phoneticPr fontId="22"/>
  </si>
  <si>
    <t>不審者検知</t>
    <rPh sb="0" eb="3">
      <t>フシンシャ</t>
    </rPh>
    <rPh sb="3" eb="5">
      <t>ケンチ</t>
    </rPh>
    <phoneticPr fontId="22"/>
  </si>
  <si>
    <t>youtube連携</t>
    <rPh sb="7" eb="9">
      <t>レンケイ</t>
    </rPh>
    <phoneticPr fontId="22"/>
  </si>
  <si>
    <t>注文種別</t>
    <rPh sb="0" eb="4">
      <t>チュウモンシュベツ</t>
    </rPh>
    <phoneticPr fontId="22"/>
  </si>
  <si>
    <t>訪問オプション希望</t>
    <rPh sb="0" eb="2">
      <t>ホウモン</t>
    </rPh>
    <rPh sb="7" eb="9">
      <t>キボウ</t>
    </rPh>
    <phoneticPr fontId="22"/>
  </si>
  <si>
    <t>月</t>
    <rPh sb="0" eb="1">
      <t>ガツ</t>
    </rPh>
    <phoneticPr fontId="22"/>
  </si>
  <si>
    <t>有無</t>
    <rPh sb="0" eb="2">
      <t>ウム</t>
    </rPh>
    <phoneticPr fontId="22"/>
  </si>
  <si>
    <t>台数</t>
    <rPh sb="0" eb="2">
      <t>ダイスウ</t>
    </rPh>
    <phoneticPr fontId="22"/>
  </si>
  <si>
    <t>都道府県</t>
    <rPh sb="0" eb="4">
      <t>トドウフケン</t>
    </rPh>
    <phoneticPr fontId="22"/>
  </si>
  <si>
    <t>プラン</t>
    <phoneticPr fontId="22"/>
  </si>
  <si>
    <t>オプション</t>
    <phoneticPr fontId="22"/>
  </si>
  <si>
    <t>カメラ機能</t>
    <rPh sb="3" eb="5">
      <t>キノウ</t>
    </rPh>
    <phoneticPr fontId="22"/>
  </si>
  <si>
    <t>カメラ機種名</t>
    <rPh sb="3" eb="5">
      <t>キシュ</t>
    </rPh>
    <rPh sb="5" eb="6">
      <t>メイ</t>
    </rPh>
    <phoneticPr fontId="22"/>
  </si>
  <si>
    <t>プルダウン</t>
    <phoneticPr fontId="22"/>
  </si>
  <si>
    <t>北海道</t>
  </si>
  <si>
    <t>-</t>
    <phoneticPr fontId="22"/>
  </si>
  <si>
    <t>なし</t>
    <phoneticPr fontId="22"/>
  </si>
  <si>
    <t>AXIS M5054 PTZ(SF)</t>
  </si>
  <si>
    <t>□</t>
    <phoneticPr fontId="22"/>
  </si>
  <si>
    <t>青森県</t>
  </si>
  <si>
    <t>録音のみ</t>
    <rPh sb="0" eb="2">
      <t>ロクオン</t>
    </rPh>
    <phoneticPr fontId="22"/>
  </si>
  <si>
    <t>AXIS M5525-E PTZ(SF)</t>
  </si>
  <si>
    <t>■</t>
    <phoneticPr fontId="22"/>
  </si>
  <si>
    <t>移転・契約情報変更・設定変更申込</t>
    <rPh sb="0" eb="2">
      <t>イテン</t>
    </rPh>
    <rPh sb="3" eb="5">
      <t>ケイヤク</t>
    </rPh>
    <rPh sb="5" eb="7">
      <t>ジョウホウ</t>
    </rPh>
    <rPh sb="7" eb="9">
      <t>ヘンコウ</t>
    </rPh>
    <rPh sb="14" eb="16">
      <t>モウシコミ</t>
    </rPh>
    <phoneticPr fontId="22"/>
  </si>
  <si>
    <t>希望しない(本申込書のみ記載・送付してください)</t>
    <rPh sb="0" eb="2">
      <t>キボウ</t>
    </rPh>
    <rPh sb="6" eb="7">
      <t>ホン</t>
    </rPh>
    <rPh sb="7" eb="10">
      <t>モウシコミショ</t>
    </rPh>
    <rPh sb="12" eb="14">
      <t>キサイ</t>
    </rPh>
    <rPh sb="15" eb="17">
      <t>ソウフ</t>
    </rPh>
    <phoneticPr fontId="22"/>
  </si>
  <si>
    <t>岩手県</t>
  </si>
  <si>
    <t>30日タイプ</t>
    <phoneticPr fontId="57"/>
  </si>
  <si>
    <t>PTZのみ</t>
    <phoneticPr fontId="22"/>
  </si>
  <si>
    <t>AXIS M1065-LW(SF)</t>
  </si>
  <si>
    <t>申込内容変更申込</t>
    <phoneticPr fontId="22"/>
  </si>
  <si>
    <t>宮城県</t>
  </si>
  <si>
    <t>60日タイプ</t>
    <phoneticPr fontId="57"/>
  </si>
  <si>
    <t>録音PTZ</t>
    <rPh sb="0" eb="2">
      <t>ロクオン</t>
    </rPh>
    <phoneticPr fontId="22"/>
  </si>
  <si>
    <t>AXIS M1065-L(SF)</t>
  </si>
  <si>
    <t>秋田県</t>
  </si>
  <si>
    <t>90日タイプ</t>
    <phoneticPr fontId="57"/>
  </si>
  <si>
    <t>AXIS M2025-LE(SF)</t>
  </si>
  <si>
    <t>山形県</t>
  </si>
  <si>
    <t>180日タイプ</t>
    <phoneticPr fontId="57"/>
  </si>
  <si>
    <t>AXIS M3045–V</t>
  </si>
  <si>
    <t>福島県</t>
  </si>
  <si>
    <t>AXIS M3057-PLVE（SF）</t>
    <phoneticPr fontId="22"/>
  </si>
  <si>
    <t>東京都</t>
  </si>
  <si>
    <t>AXIS M3105-LVE（SF)</t>
    <phoneticPr fontId="22"/>
  </si>
  <si>
    <t>神奈川県</t>
  </si>
  <si>
    <t>ELMO QBIC CC-2L(SF)</t>
  </si>
  <si>
    <t>埼玉県</t>
  </si>
  <si>
    <t>Technexion TEK3-IMX6(SF)</t>
  </si>
  <si>
    <t>千葉県</t>
  </si>
  <si>
    <t>茨城県</t>
  </si>
  <si>
    <t>栃木県</t>
  </si>
  <si>
    <t>群馬県</t>
  </si>
  <si>
    <t>山梨県</t>
  </si>
  <si>
    <t>新潟県</t>
  </si>
  <si>
    <t>長野県</t>
  </si>
  <si>
    <t>富山県</t>
  </si>
  <si>
    <t>石川県</t>
  </si>
  <si>
    <t>福井県</t>
  </si>
  <si>
    <t>愛知県</t>
  </si>
  <si>
    <t>岐阜県</t>
  </si>
  <si>
    <t>静岡県</t>
  </si>
  <si>
    <t>三重県</t>
  </si>
  <si>
    <t>大阪府</t>
  </si>
  <si>
    <t>兵庫県</t>
  </si>
  <si>
    <t>京都府</t>
  </si>
  <si>
    <t>滋賀県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</si>
  <si>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</si>
  <si>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</si>
  <si>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</si>
  <si>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</si>
  <si>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</si>
  <si>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</si>
  <si>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</si>
  <si>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</si>
  <si>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</si>
  <si>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</si>
  <si>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</si>
  <si>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</si>
  <si>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</si>
  <si>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</si>
  <si>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</si>
  <si>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</si>
  <si>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</si>
  <si>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</si>
  <si>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</si>
  <si>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漁業</t>
    <phoneticPr fontId="18"/>
  </si>
  <si>
    <t>漁業（水産養殖業を除く）</t>
    <phoneticPr fontId="18"/>
  </si>
  <si>
    <t>水産養殖業</t>
    <phoneticPr fontId="18"/>
  </si>
  <si>
    <t>鉱業・採石業・砂利採取業</t>
    <phoneticPr fontId="18"/>
  </si>
  <si>
    <t>建設業</t>
    <phoneticPr fontId="18"/>
  </si>
  <si>
    <t>総合工事業</t>
    <phoneticPr fontId="18"/>
  </si>
  <si>
    <t>職別工事業(設備工事業を除く)</t>
    <phoneticPr fontId="18"/>
  </si>
  <si>
    <t>設備工事業</t>
    <phoneticPr fontId="18"/>
  </si>
  <si>
    <t>製造業</t>
    <phoneticPr fontId="18"/>
  </si>
  <si>
    <t>食料品製造業</t>
    <phoneticPr fontId="18"/>
  </si>
  <si>
    <t>飲料・たばこ・飼料製造業</t>
    <phoneticPr fontId="18"/>
  </si>
  <si>
    <t>繊維工業</t>
    <phoneticPr fontId="18"/>
  </si>
  <si>
    <t>木材・木製品製造業（家具を除く）</t>
    <phoneticPr fontId="18"/>
  </si>
  <si>
    <t>家具・装備品製造業</t>
    <phoneticPr fontId="18"/>
  </si>
  <si>
    <t>パルプ・紙・紙加工品製造業</t>
    <phoneticPr fontId="18"/>
  </si>
  <si>
    <t>印刷・同関連業</t>
    <phoneticPr fontId="18"/>
  </si>
  <si>
    <t>化学工業</t>
    <phoneticPr fontId="18"/>
  </si>
  <si>
    <t>石油製品・石炭製品製造業</t>
    <phoneticPr fontId="18"/>
  </si>
  <si>
    <t>プラスチック製品製造業（別掲を除く）</t>
    <phoneticPr fontId="18"/>
  </si>
  <si>
    <t>ゴム製品製造業</t>
    <phoneticPr fontId="18"/>
  </si>
  <si>
    <t>なめし革・同製品・毛皮製造業</t>
    <phoneticPr fontId="18"/>
  </si>
  <si>
    <t>窯業・土石製品製造業</t>
    <phoneticPr fontId="18"/>
  </si>
  <si>
    <t>鉄鋼業</t>
    <phoneticPr fontId="18"/>
  </si>
  <si>
    <t>非鉄金属製造業</t>
    <phoneticPr fontId="18"/>
  </si>
  <si>
    <t>金属製品製造業</t>
    <phoneticPr fontId="18"/>
  </si>
  <si>
    <t>はん用機械器具製造業</t>
    <phoneticPr fontId="18"/>
  </si>
  <si>
    <t>業務用機械器具製造業</t>
    <phoneticPr fontId="18"/>
  </si>
  <si>
    <t>電子部品・デバイス・電子回路製造業</t>
    <phoneticPr fontId="18"/>
  </si>
  <si>
    <t>輸送用機械器具製造業</t>
    <phoneticPr fontId="18"/>
  </si>
  <si>
    <t>その他の製造業</t>
    <phoneticPr fontId="18"/>
  </si>
  <si>
    <t>電気・ガス・熱供給・水道業</t>
    <phoneticPr fontId="18"/>
  </si>
  <si>
    <t>電気業</t>
    <phoneticPr fontId="18"/>
  </si>
  <si>
    <t>ガス業</t>
    <phoneticPr fontId="18"/>
  </si>
  <si>
    <t>熱供給業</t>
    <phoneticPr fontId="18"/>
  </si>
  <si>
    <t>水道業</t>
    <phoneticPr fontId="18"/>
  </si>
  <si>
    <t>情報通信業</t>
    <phoneticPr fontId="18"/>
  </si>
  <si>
    <t>通信業</t>
    <phoneticPr fontId="18"/>
  </si>
  <si>
    <t>放送業</t>
    <phoneticPr fontId="18"/>
  </si>
  <si>
    <t>情報サービス業</t>
    <phoneticPr fontId="18"/>
  </si>
  <si>
    <t>インターネット附随サービス業</t>
    <phoneticPr fontId="18"/>
  </si>
  <si>
    <t>映像・音声・文字情報制作業</t>
    <phoneticPr fontId="18"/>
  </si>
  <si>
    <t>運輸業・郵便業</t>
    <phoneticPr fontId="18"/>
  </si>
  <si>
    <t>鉄道業</t>
    <phoneticPr fontId="18"/>
  </si>
  <si>
    <t>道路旅客運送業</t>
    <phoneticPr fontId="18"/>
  </si>
  <si>
    <t>道路貨物運送業</t>
    <phoneticPr fontId="18"/>
  </si>
  <si>
    <t>水運業</t>
    <phoneticPr fontId="18"/>
  </si>
  <si>
    <t>航空運輸業</t>
    <phoneticPr fontId="18"/>
  </si>
  <si>
    <t>倉庫業</t>
    <phoneticPr fontId="18"/>
  </si>
  <si>
    <t>運輸に附帯するサービス業</t>
    <phoneticPr fontId="18"/>
  </si>
  <si>
    <t>郵便業（信書便事業を含む）</t>
    <phoneticPr fontId="18"/>
  </si>
  <si>
    <t>卸売業・小売業</t>
    <phoneticPr fontId="18"/>
  </si>
  <si>
    <t>各種商品卸売業</t>
    <phoneticPr fontId="18"/>
  </si>
  <si>
    <t>繊維・衣服等卸売業</t>
    <phoneticPr fontId="18"/>
  </si>
  <si>
    <t>飲食料品卸売業</t>
    <phoneticPr fontId="18"/>
  </si>
  <si>
    <t>建築材料，鉱物・金属材料等卸売業</t>
    <phoneticPr fontId="18"/>
  </si>
  <si>
    <t>機械器具卸売業</t>
    <phoneticPr fontId="18"/>
  </si>
  <si>
    <t>その他の卸売業</t>
    <phoneticPr fontId="18"/>
  </si>
  <si>
    <t>各種商品小売業</t>
    <phoneticPr fontId="18"/>
  </si>
  <si>
    <t>織物・衣服・身の回り品小売業</t>
    <phoneticPr fontId="18"/>
  </si>
  <si>
    <t>飲食料品小売業</t>
    <phoneticPr fontId="18"/>
  </si>
  <si>
    <t>機械器具小売業</t>
    <phoneticPr fontId="18"/>
  </si>
  <si>
    <t>その他の小売業</t>
    <phoneticPr fontId="18"/>
  </si>
  <si>
    <t>金融業・保険業</t>
    <phoneticPr fontId="18"/>
  </si>
  <si>
    <t>銀行業</t>
    <phoneticPr fontId="18"/>
  </si>
  <si>
    <t>協同組織金融業</t>
    <phoneticPr fontId="18"/>
  </si>
  <si>
    <t>貸金業，クレジットカード業等非預金信用機関</t>
    <phoneticPr fontId="18"/>
  </si>
  <si>
    <t>金融商品取引業，商品先物取引業</t>
    <phoneticPr fontId="18"/>
  </si>
  <si>
    <t>補助的金融業等</t>
    <phoneticPr fontId="18"/>
  </si>
  <si>
    <t>保険業（保険媒介代理業，保険サービス業を含む）</t>
    <phoneticPr fontId="18"/>
  </si>
  <si>
    <t>不動産業・物品賃貸業</t>
    <phoneticPr fontId="18"/>
  </si>
  <si>
    <t>不動産取引業</t>
    <phoneticPr fontId="18"/>
  </si>
  <si>
    <t>不動産賃貸業・管理業</t>
    <phoneticPr fontId="18"/>
  </si>
  <si>
    <t>物品賃貸業</t>
    <phoneticPr fontId="18"/>
  </si>
  <si>
    <t>学術研究・専門・技術サービス業</t>
    <phoneticPr fontId="18"/>
  </si>
  <si>
    <t>学術・開発研究機関</t>
    <phoneticPr fontId="18"/>
  </si>
  <si>
    <t>専門サービス業（他に分類されないもの）</t>
    <phoneticPr fontId="18"/>
  </si>
  <si>
    <t>教育・学習支援業</t>
    <phoneticPr fontId="18"/>
  </si>
  <si>
    <t>その他の教育，学習支援業</t>
    <phoneticPr fontId="18"/>
  </si>
  <si>
    <t>医療業</t>
    <phoneticPr fontId="18"/>
  </si>
  <si>
    <t>郵便局</t>
    <phoneticPr fontId="18"/>
  </si>
  <si>
    <t>漁業</t>
    <phoneticPr fontId="18"/>
  </si>
  <si>
    <t>採石業</t>
    <phoneticPr fontId="18"/>
  </si>
  <si>
    <t>砂利採取業</t>
    <phoneticPr fontId="18"/>
  </si>
  <si>
    <t>鉱業</t>
    <phoneticPr fontId="18"/>
  </si>
  <si>
    <t>鉱業・採石業・砂利採取業</t>
    <phoneticPr fontId="18"/>
  </si>
  <si>
    <t>建設業</t>
    <phoneticPr fontId="18"/>
  </si>
  <si>
    <t>製造業</t>
    <phoneticPr fontId="18"/>
  </si>
  <si>
    <t>電気・ガス・熱供給・水道業</t>
    <phoneticPr fontId="18"/>
  </si>
  <si>
    <t>卸売業・小売業</t>
    <phoneticPr fontId="18"/>
  </si>
  <si>
    <t>金融業・保険業</t>
    <phoneticPr fontId="18"/>
  </si>
  <si>
    <t>不動産業・物品賃貸業</t>
    <phoneticPr fontId="18"/>
  </si>
  <si>
    <t>学術研究・専門・技術サービス業</t>
    <phoneticPr fontId="18"/>
  </si>
  <si>
    <t>生活関連サービス業・娯楽業</t>
    <phoneticPr fontId="18"/>
  </si>
  <si>
    <t>教育・学習支援業</t>
    <phoneticPr fontId="18"/>
  </si>
  <si>
    <t>サービス業</t>
    <phoneticPr fontId="18"/>
  </si>
  <si>
    <t>公務</t>
    <phoneticPr fontId="18"/>
  </si>
  <si>
    <t>分類不能の産業</t>
    <phoneticPr fontId="18"/>
  </si>
  <si>
    <t>サービス業</t>
    <phoneticPr fontId="18"/>
  </si>
  <si>
    <t>公務</t>
    <phoneticPr fontId="18"/>
  </si>
  <si>
    <t>30日タイプ</t>
    <rPh sb="2" eb="3">
      <t>ニチ</t>
    </rPh>
    <phoneticPr fontId="22"/>
  </si>
  <si>
    <t>業種をお選びください</t>
    <rPh sb="0" eb="2">
      <t>ギョウシュ</t>
    </rPh>
    <phoneticPr fontId="18"/>
  </si>
  <si>
    <t>申込日</t>
    <rPh sb="0" eb="3">
      <t>モウシコミビ</t>
    </rPh>
    <phoneticPr fontId="22"/>
  </si>
  <si>
    <t>開通案内送付先住所</t>
    <rPh sb="0" eb="2">
      <t>カイツウ</t>
    </rPh>
    <rPh sb="2" eb="4">
      <t>アンナイ</t>
    </rPh>
    <rPh sb="4" eb="6">
      <t>ソウフ</t>
    </rPh>
    <rPh sb="6" eb="7">
      <t>サキ</t>
    </rPh>
    <rPh sb="7" eb="9">
      <t>ジュウショ</t>
    </rPh>
    <phoneticPr fontId="22"/>
  </si>
  <si>
    <t>ご担当者様連絡先</t>
    <rPh sb="1" eb="4">
      <t>タントウシャ</t>
    </rPh>
    <rPh sb="4" eb="5">
      <t>サマ</t>
    </rPh>
    <rPh sb="5" eb="8">
      <t>レンラクサキ</t>
    </rPh>
    <phoneticPr fontId="22"/>
  </si>
  <si>
    <t>契約内容</t>
    <rPh sb="0" eb="2">
      <t>ケイヤク</t>
    </rPh>
    <rPh sb="2" eb="4">
      <t>ナイヨウ</t>
    </rPh>
    <phoneticPr fontId="22"/>
  </si>
  <si>
    <t>お申込みタイプ・台数</t>
    <rPh sb="1" eb="3">
      <t>モウシコ</t>
    </rPh>
    <rPh sb="8" eb="10">
      <t>ダイスウ</t>
    </rPh>
    <phoneticPr fontId="22"/>
  </si>
  <si>
    <t>購入機器・台数（カメラ/GW）</t>
    <rPh sb="0" eb="2">
      <t>コウニュウ</t>
    </rPh>
    <rPh sb="2" eb="4">
      <t>キキ</t>
    </rPh>
    <rPh sb="5" eb="7">
      <t>ダイスウ</t>
    </rPh>
    <phoneticPr fontId="22"/>
  </si>
  <si>
    <t>購入機器・台数（PoE)</t>
    <rPh sb="0" eb="2">
      <t>コウニュウ</t>
    </rPh>
    <rPh sb="2" eb="4">
      <t>キキ</t>
    </rPh>
    <rPh sb="5" eb="7">
      <t>ダイスウ</t>
    </rPh>
    <phoneticPr fontId="22"/>
  </si>
  <si>
    <t>機器配送希望日</t>
    <rPh sb="0" eb="2">
      <t>キキ</t>
    </rPh>
    <rPh sb="2" eb="4">
      <t>ハイソウ</t>
    </rPh>
    <rPh sb="4" eb="7">
      <t>キボウビ</t>
    </rPh>
    <phoneticPr fontId="22"/>
  </si>
  <si>
    <t>開通希望日</t>
    <rPh sb="0" eb="2">
      <t>カイツウ</t>
    </rPh>
    <rPh sb="2" eb="4">
      <t>キボウ</t>
    </rPh>
    <rPh sb="4" eb="5">
      <t>ビ</t>
    </rPh>
    <phoneticPr fontId="22"/>
  </si>
  <si>
    <t>廃止・減少希望日</t>
    <rPh sb="0" eb="2">
      <t>ハイシ</t>
    </rPh>
    <rPh sb="3" eb="5">
      <t>ゲンショウ</t>
    </rPh>
    <rPh sb="5" eb="8">
      <t>キボウビ</t>
    </rPh>
    <phoneticPr fontId="22"/>
  </si>
  <si>
    <t>機器設置場所住所</t>
  </si>
  <si>
    <t>機器配送場所住所</t>
    <phoneticPr fontId="22"/>
  </si>
  <si>
    <t>任意記載欄</t>
    <rPh sb="0" eb="2">
      <t>ニンイ</t>
    </rPh>
    <rPh sb="2" eb="4">
      <t>キサイ</t>
    </rPh>
    <rPh sb="4" eb="5">
      <t>ラン</t>
    </rPh>
    <phoneticPr fontId="22"/>
  </si>
  <si>
    <t>販売担当者情報</t>
    <rPh sb="0" eb="2">
      <t>ハンバイ</t>
    </rPh>
    <rPh sb="2" eb="5">
      <t>タントウシャ</t>
    </rPh>
    <rPh sb="5" eb="7">
      <t>ジョウホウ</t>
    </rPh>
    <phoneticPr fontId="22"/>
  </si>
  <si>
    <t>工事調整担当者</t>
    <rPh sb="0" eb="2">
      <t>コウジ</t>
    </rPh>
    <rPh sb="2" eb="4">
      <t>チョウセイ</t>
    </rPh>
    <rPh sb="4" eb="7">
      <t>タントウシャ</t>
    </rPh>
    <phoneticPr fontId="22"/>
  </si>
  <si>
    <t>申込内容確認担当者</t>
    <rPh sb="0" eb="4">
      <t>モウシコミナイヨウ</t>
    </rPh>
    <rPh sb="4" eb="6">
      <t>カクニン</t>
    </rPh>
    <rPh sb="6" eb="9">
      <t>タントウシャ</t>
    </rPh>
    <phoneticPr fontId="22"/>
  </si>
  <si>
    <t>CAF（1）</t>
  </si>
  <si>
    <t>CAF（2）</t>
  </si>
  <si>
    <t>CAF（3）</t>
  </si>
  <si>
    <t>CAF（4）</t>
  </si>
  <si>
    <t>CAF（5）</t>
  </si>
  <si>
    <t>CAF（6）</t>
  </si>
  <si>
    <t>CAF（7）</t>
  </si>
  <si>
    <t>CAF（8）</t>
  </si>
  <si>
    <t>CAF（9）</t>
  </si>
  <si>
    <t>CAF（10）</t>
  </si>
  <si>
    <t>カメラ・GWID</t>
  </si>
  <si>
    <t>設計担当者</t>
    <rPh sb="0" eb="2">
      <t>セッケイ</t>
    </rPh>
    <rPh sb="2" eb="5">
      <t>タントウシャ</t>
    </rPh>
    <phoneticPr fontId="22"/>
  </si>
  <si>
    <t>本紙!</t>
    <phoneticPr fontId="22"/>
  </si>
  <si>
    <t>S8</t>
    <phoneticPr fontId="60"/>
  </si>
  <si>
    <t>別紙①_カメラ申込書!</t>
    <phoneticPr fontId="22"/>
  </si>
  <si>
    <t>H46</t>
    <phoneticPr fontId="22"/>
  </si>
  <si>
    <t>H47</t>
    <phoneticPr fontId="22"/>
  </si>
  <si>
    <t>L71</t>
    <phoneticPr fontId="22"/>
  </si>
  <si>
    <t>L72</t>
    <phoneticPr fontId="22"/>
  </si>
  <si>
    <t>L73</t>
    <phoneticPr fontId="22"/>
  </si>
  <si>
    <t>L85</t>
    <phoneticPr fontId="22"/>
  </si>
  <si>
    <t>L94</t>
    <phoneticPr fontId="22"/>
  </si>
  <si>
    <t>L95</t>
    <phoneticPr fontId="22"/>
  </si>
  <si>
    <t>記入必須項目</t>
    <rPh sb="0" eb="2">
      <t>キニュウ</t>
    </rPh>
    <rPh sb="2" eb="4">
      <t>ヒッス</t>
    </rPh>
    <rPh sb="4" eb="6">
      <t>コウモク</t>
    </rPh>
    <phoneticPr fontId="22"/>
  </si>
  <si>
    <t>GW配下のカメラ情報</t>
    <rPh sb="2" eb="4">
      <t>ハイカ</t>
    </rPh>
    <rPh sb="8" eb="10">
      <t>ジョウホウ</t>
    </rPh>
    <phoneticPr fontId="22"/>
  </si>
  <si>
    <t>No</t>
  </si>
  <si>
    <t>プラン</t>
  </si>
  <si>
    <t>オプション</t>
  </si>
  <si>
    <t>別紙②_カメラ設定!</t>
    <phoneticPr fontId="22"/>
  </si>
  <si>
    <t>A</t>
    <phoneticPr fontId="22"/>
  </si>
  <si>
    <t>B</t>
    <phoneticPr fontId="22"/>
  </si>
  <si>
    <t>D</t>
    <phoneticPr fontId="22"/>
  </si>
  <si>
    <t>E</t>
    <phoneticPr fontId="22"/>
  </si>
  <si>
    <t>F</t>
    <phoneticPr fontId="22"/>
  </si>
  <si>
    <t>G</t>
    <phoneticPr fontId="22"/>
  </si>
  <si>
    <t>I13</t>
    <phoneticPr fontId="22"/>
  </si>
  <si>
    <t>購入機器・台数（カメラ取付部材）</t>
    <rPh sb="11" eb="13">
      <t>トリツケ</t>
    </rPh>
    <rPh sb="13" eb="15">
      <t>ブザイ</t>
    </rPh>
    <phoneticPr fontId="18"/>
  </si>
  <si>
    <t>エンドユーザ様名（法人名）</t>
    <rPh sb="6" eb="7">
      <t>サマ</t>
    </rPh>
    <rPh sb="7" eb="8">
      <t>メイ</t>
    </rPh>
    <rPh sb="9" eb="11">
      <t>ホウジン</t>
    </rPh>
    <rPh sb="11" eb="12">
      <t>メイ</t>
    </rPh>
    <phoneticPr fontId="22"/>
  </si>
  <si>
    <t>エンドユーザ様住所</t>
    <rPh sb="6" eb="7">
      <t>サマ</t>
    </rPh>
    <rPh sb="7" eb="9">
      <t>ジュウショ</t>
    </rPh>
    <phoneticPr fontId="22"/>
  </si>
  <si>
    <t>導入済みサービス</t>
    <rPh sb="0" eb="2">
      <t>ドウニュウ</t>
    </rPh>
    <rPh sb="2" eb="3">
      <t>ズ</t>
    </rPh>
    <phoneticPr fontId="22"/>
  </si>
  <si>
    <t>同時導入サービス</t>
    <rPh sb="0" eb="2">
      <t>ドウジ</t>
    </rPh>
    <rPh sb="2" eb="4">
      <t>ドウニュウ</t>
    </rPh>
    <phoneticPr fontId="22"/>
  </si>
  <si>
    <t>目的</t>
    <rPh sb="0" eb="2">
      <t>モクテキ</t>
    </rPh>
    <phoneticPr fontId="22"/>
  </si>
  <si>
    <t>決め手</t>
    <rPh sb="0" eb="1">
      <t>キ</t>
    </rPh>
    <rPh sb="2" eb="3">
      <t>テ</t>
    </rPh>
    <phoneticPr fontId="22"/>
  </si>
  <si>
    <t>分析サービス</t>
    <rPh sb="0" eb="2">
      <t>ブンセキ</t>
    </rPh>
    <phoneticPr fontId="22"/>
  </si>
  <si>
    <t>その他</t>
    <rPh sb="2" eb="3">
      <t>タ</t>
    </rPh>
    <phoneticPr fontId="22"/>
  </si>
  <si>
    <t>マーケティング</t>
  </si>
  <si>
    <t>比較の有無</t>
  </si>
  <si>
    <t>どこからでもアクセスできるから</t>
  </si>
  <si>
    <t>保守サポート内容</t>
  </si>
  <si>
    <t>操作サポート</t>
  </si>
  <si>
    <t>２４・３６５保守</t>
  </si>
  <si>
    <t>ピープルカウント</t>
  </si>
  <si>
    <t>Y20</t>
  </si>
  <si>
    <t>Y22</t>
    <phoneticPr fontId="22"/>
  </si>
  <si>
    <t>Y23</t>
  </si>
  <si>
    <t>Y24</t>
  </si>
  <si>
    <t>Y25</t>
  </si>
  <si>
    <t>Y26</t>
  </si>
  <si>
    <t>Y27</t>
  </si>
  <si>
    <t>AV20</t>
    <phoneticPr fontId="22"/>
  </si>
  <si>
    <t>AV22</t>
  </si>
  <si>
    <t>AV23</t>
  </si>
  <si>
    <t>AV24</t>
  </si>
  <si>
    <t>AV25</t>
  </si>
  <si>
    <t>B37</t>
  </si>
  <si>
    <t>B43</t>
    <phoneticPr fontId="18"/>
  </si>
  <si>
    <t>Y36</t>
  </si>
  <si>
    <t>Y37</t>
  </si>
  <si>
    <t>Y38</t>
  </si>
  <si>
    <t>Y39</t>
  </si>
  <si>
    <t>Y40</t>
  </si>
  <si>
    <t>Y41</t>
  </si>
  <si>
    <t>Y42</t>
  </si>
  <si>
    <t>Y43</t>
  </si>
  <si>
    <t>AV37</t>
  </si>
  <si>
    <t>AV38</t>
  </si>
  <si>
    <t>AV39</t>
  </si>
  <si>
    <t>AV40</t>
  </si>
  <si>
    <t>AV41</t>
  </si>
  <si>
    <t>I51</t>
    <phoneticPr fontId="22"/>
  </si>
  <si>
    <t>I52</t>
  </si>
  <si>
    <t>B56</t>
    <phoneticPr fontId="22"/>
  </si>
  <si>
    <t>B57</t>
  </si>
  <si>
    <t>B58</t>
  </si>
  <si>
    <t>B59</t>
  </si>
  <si>
    <t>B60</t>
  </si>
  <si>
    <t>H60</t>
    <phoneticPr fontId="18"/>
  </si>
  <si>
    <t>I6７</t>
    <phoneticPr fontId="22"/>
  </si>
  <si>
    <t>I68</t>
  </si>
  <si>
    <t>B73</t>
  </si>
  <si>
    <t>B74</t>
  </si>
  <si>
    <t>B75</t>
  </si>
  <si>
    <t>B76</t>
  </si>
  <si>
    <t>B77</t>
  </si>
  <si>
    <t>B78</t>
  </si>
  <si>
    <t>B79</t>
  </si>
  <si>
    <t>B80</t>
  </si>
  <si>
    <t>B81</t>
  </si>
  <si>
    <t>B82</t>
  </si>
  <si>
    <t>B86</t>
  </si>
  <si>
    <t>B87</t>
  </si>
  <si>
    <t>B88</t>
  </si>
  <si>
    <t>B89</t>
  </si>
  <si>
    <t>B90</t>
  </si>
  <si>
    <t>H20</t>
  </si>
  <si>
    <t>I24</t>
  </si>
  <si>
    <t>I27</t>
  </si>
  <si>
    <t>H29</t>
  </si>
  <si>
    <t>M19</t>
  </si>
  <si>
    <t>H37</t>
  </si>
  <si>
    <t>M24</t>
  </si>
  <si>
    <t>U19</t>
  </si>
  <si>
    <t>R24</t>
  </si>
  <si>
    <t>M27</t>
  </si>
  <si>
    <t>R27</t>
  </si>
  <si>
    <t>AB29</t>
  </si>
  <si>
    <t>AＦ20</t>
  </si>
  <si>
    <t>AC21</t>
  </si>
  <si>
    <t>L19</t>
  </si>
  <si>
    <t>N19</t>
  </si>
  <si>
    <t>O19</t>
  </si>
  <si>
    <t>P19</t>
  </si>
  <si>
    <t>Q19</t>
  </si>
  <si>
    <t>R19</t>
  </si>
  <si>
    <t>S19</t>
  </si>
  <si>
    <t>T19</t>
  </si>
  <si>
    <t>H35</t>
  </si>
  <si>
    <t>W35</t>
  </si>
  <si>
    <t>AD35</t>
  </si>
  <si>
    <t>AR35</t>
  </si>
  <si>
    <t>H36</t>
  </si>
  <si>
    <t>W36</t>
  </si>
  <si>
    <t>AD36</t>
  </si>
  <si>
    <t>AR36</t>
  </si>
  <si>
    <t>W37</t>
  </si>
  <si>
    <t>AD37</t>
  </si>
  <si>
    <t>AR37</t>
  </si>
  <si>
    <t>H38</t>
  </si>
  <si>
    <t>W38</t>
  </si>
  <si>
    <t>AD38</t>
    <phoneticPr fontId="22"/>
  </si>
  <si>
    <t>AR38</t>
    <phoneticPr fontId="22"/>
  </si>
  <si>
    <t>O40</t>
    <phoneticPr fontId="22"/>
  </si>
  <si>
    <t>T40</t>
    <phoneticPr fontId="22"/>
  </si>
  <si>
    <t>T44</t>
    <phoneticPr fontId="22"/>
  </si>
  <si>
    <t>T46</t>
    <phoneticPr fontId="22"/>
  </si>
  <si>
    <t>T49</t>
    <phoneticPr fontId="22"/>
  </si>
  <si>
    <t>AR6</t>
    <phoneticPr fontId="18"/>
  </si>
  <si>
    <t>※30台以上の場合、左の「＋」ボタンをクリックすると行を追加できます。</t>
    <rPh sb="3" eb="4">
      <t>ダイ</t>
    </rPh>
    <rPh sb="4" eb="6">
      <t>イジョウ</t>
    </rPh>
    <rPh sb="7" eb="9">
      <t>バアイ</t>
    </rPh>
    <rPh sb="10" eb="11">
      <t>ヒダリ</t>
    </rPh>
    <rPh sb="26" eb="27">
      <t>ギョウ</t>
    </rPh>
    <rPh sb="28" eb="30">
      <t>ツイカ</t>
    </rPh>
    <phoneticPr fontId="20"/>
  </si>
  <si>
    <t>H5</t>
  </si>
  <si>
    <t>K6</t>
  </si>
  <si>
    <t>P6</t>
  </si>
  <si>
    <t>U6</t>
  </si>
  <si>
    <t>L7</t>
  </si>
  <si>
    <t>H8</t>
  </si>
  <si>
    <t>I10</t>
  </si>
  <si>
    <t>N10</t>
  </si>
  <si>
    <t>U10</t>
  </si>
  <si>
    <t>L11</t>
  </si>
  <si>
    <t>U11</t>
  </si>
  <si>
    <t>AF11</t>
  </si>
  <si>
    <t>H13</t>
  </si>
  <si>
    <t>H14</t>
  </si>
  <si>
    <t>I15</t>
  </si>
  <si>
    <t>N15</t>
  </si>
  <si>
    <t>U15</t>
  </si>
  <si>
    <t>L16</t>
  </si>
  <si>
    <t>U16</t>
  </si>
  <si>
    <t>AF16</t>
  </si>
  <si>
    <t>U18</t>
  </si>
  <si>
    <t>H18</t>
  </si>
  <si>
    <t>I32</t>
  </si>
  <si>
    <t>T13</t>
    <phoneticPr fontId="18"/>
  </si>
  <si>
    <t>□</t>
    <phoneticPr fontId="18"/>
  </si>
  <si>
    <t>AR7</t>
  </si>
  <si>
    <t>別紙⑥_アンケート</t>
    <phoneticPr fontId="22"/>
  </si>
  <si>
    <t>ビジネスフォン（αA1、NXⅡ等）</t>
    <phoneticPr fontId="22"/>
  </si>
  <si>
    <t>スマート光ビジネスWi-Fi</t>
    <phoneticPr fontId="22"/>
  </si>
  <si>
    <t>フレッツ・VPNワイド</t>
    <phoneticPr fontId="22"/>
  </si>
  <si>
    <t xml:space="preserve">その他情報機器（複合機、ルーター等）
</t>
    <phoneticPr fontId="22"/>
  </si>
  <si>
    <t>ルーターおまかせプラン</t>
    <phoneticPr fontId="22"/>
  </si>
  <si>
    <t>フレッツ・VPNプライオ</t>
    <phoneticPr fontId="22"/>
  </si>
  <si>
    <t>セキュリティおまかせプラン</t>
    <phoneticPr fontId="22"/>
  </si>
  <si>
    <t>ビジネスイーサワイド</t>
    <phoneticPr fontId="22"/>
  </si>
  <si>
    <t>おまかせAI　働き方みえ～る</t>
    <phoneticPr fontId="22"/>
  </si>
  <si>
    <t>ひかり電話（ホームタイプ）</t>
    <phoneticPr fontId="22"/>
  </si>
  <si>
    <t>パソコンおまかせプラン　</t>
    <phoneticPr fontId="22"/>
  </si>
  <si>
    <t>ひかり電話（オフィスタイプ）</t>
    <phoneticPr fontId="22"/>
  </si>
  <si>
    <t>安心パック（基本メニュー含む）</t>
    <phoneticPr fontId="22"/>
  </si>
  <si>
    <t>ひかり電話（オフィスA）</t>
    <phoneticPr fontId="22"/>
  </si>
  <si>
    <t>ビジネスフォンサポート</t>
    <phoneticPr fontId="22"/>
  </si>
  <si>
    <t>データ安心保管プラン（BizBoxServer含む）</t>
    <phoneticPr fontId="22"/>
  </si>
  <si>
    <t>マーケティング</t>
    <phoneticPr fontId="22"/>
  </si>
  <si>
    <t>どこからでもアクセスできるから</t>
    <phoneticPr fontId="22"/>
  </si>
  <si>
    <t>保守サポート内容</t>
    <phoneticPr fontId="22"/>
  </si>
  <si>
    <t xml:space="preserve">死活監視
死活監視
</t>
    <phoneticPr fontId="22"/>
  </si>
  <si>
    <t>操作サポート</t>
    <phoneticPr fontId="22"/>
  </si>
  <si>
    <t>２４・３６５保守</t>
    <phoneticPr fontId="22"/>
  </si>
  <si>
    <t>ピープルカウント</t>
    <phoneticPr fontId="22"/>
  </si>
  <si>
    <t>本紙!</t>
    <phoneticPr fontId="22"/>
  </si>
  <si>
    <t>S8</t>
    <phoneticPr fontId="60"/>
  </si>
  <si>
    <t>別紙⑥_アンケート!</t>
    <phoneticPr fontId="22"/>
  </si>
  <si>
    <t>Y13</t>
    <phoneticPr fontId="22"/>
  </si>
  <si>
    <t>I14</t>
    <phoneticPr fontId="18"/>
  </si>
  <si>
    <t>I15</t>
    <phoneticPr fontId="22"/>
  </si>
  <si>
    <t>I16</t>
    <phoneticPr fontId="22"/>
  </si>
  <si>
    <t>B20</t>
    <phoneticPr fontId="22"/>
  </si>
  <si>
    <t>B21</t>
    <phoneticPr fontId="22"/>
  </si>
  <si>
    <t>B27</t>
    <phoneticPr fontId="18"/>
  </si>
  <si>
    <t>Y21</t>
    <phoneticPr fontId="22"/>
  </si>
  <si>
    <t>AV21</t>
    <phoneticPr fontId="22"/>
  </si>
  <si>
    <t>B36</t>
    <phoneticPr fontId="22"/>
  </si>
  <si>
    <t>AV36</t>
    <phoneticPr fontId="22"/>
  </si>
  <si>
    <t>B72</t>
    <phoneticPr fontId="22"/>
  </si>
  <si>
    <t>B85</t>
    <phoneticPr fontId="22"/>
  </si>
  <si>
    <t>H90</t>
    <phoneticPr fontId="18"/>
  </si>
  <si>
    <t>バージョン</t>
  </si>
  <si>
    <t>NCC</t>
  </si>
  <si>
    <t>シート名</t>
  </si>
  <si>
    <t>J40</t>
    <phoneticPr fontId="22"/>
  </si>
  <si>
    <t>本紙_シート名</t>
    <rPh sb="0" eb="2">
      <t>ホンシ</t>
    </rPh>
    <rPh sb="6" eb="7">
      <t>メイ</t>
    </rPh>
    <phoneticPr fontId="19"/>
  </si>
  <si>
    <t>注文内容</t>
    <rPh sb="0" eb="2">
      <t>チュウモン</t>
    </rPh>
    <rPh sb="2" eb="4">
      <t>ナイヨウ</t>
    </rPh>
    <phoneticPr fontId="69"/>
  </si>
  <si>
    <t>型番_2025</t>
  </si>
  <si>
    <t>型番_5525</t>
  </si>
  <si>
    <t>型番_3045</t>
  </si>
  <si>
    <t>型番_1065LW</t>
  </si>
  <si>
    <t>型番_3057</t>
  </si>
  <si>
    <t>型番_1065L</t>
  </si>
  <si>
    <t>型番_3105</t>
  </si>
  <si>
    <t>型番_QBIC</t>
  </si>
  <si>
    <t>型番_Technexion</t>
  </si>
  <si>
    <t>型番_Tokina_WH-31</t>
  </si>
  <si>
    <t>型番_UG01</t>
  </si>
  <si>
    <t>型番_UG2B05</t>
  </si>
  <si>
    <t>型番_UG2B08</t>
  </si>
  <si>
    <t>GW有無</t>
    <rPh sb="2" eb="4">
      <t>ウム</t>
    </rPh>
    <phoneticPr fontId="23"/>
  </si>
  <si>
    <t>カメラ機種名</t>
    <rPh sb="3" eb="6">
      <t>キシュメイ</t>
    </rPh>
    <phoneticPr fontId="23"/>
  </si>
  <si>
    <t>カメラ機能</t>
    <rPh sb="3" eb="5">
      <t>キノウ</t>
    </rPh>
    <phoneticPr fontId="23"/>
  </si>
  <si>
    <t>固定IPアドレス</t>
    <rPh sb="0" eb="2">
      <t>コテイ</t>
    </rPh>
    <phoneticPr fontId="23"/>
  </si>
  <si>
    <t>カメラのポート番号</t>
  </si>
  <si>
    <t>カメラ本体ID</t>
    <rPh sb="3" eb="5">
      <t>ホンタイ</t>
    </rPh>
    <phoneticPr fontId="23"/>
  </si>
  <si>
    <t>カメラ本体パスワード</t>
    <rPh sb="3" eb="5">
      <t>ホンタイ</t>
    </rPh>
    <phoneticPr fontId="23"/>
  </si>
  <si>
    <t>契約ID</t>
    <rPh sb="0" eb="2">
      <t>ケイヤク</t>
    </rPh>
    <phoneticPr fontId="23"/>
  </si>
  <si>
    <t>カメラのシリアル番号</t>
    <rPh sb="8" eb="10">
      <t>バンゴウ</t>
    </rPh>
    <phoneticPr fontId="23"/>
  </si>
  <si>
    <t>備考</t>
    <rPh sb="0" eb="2">
      <t>ビコウ</t>
    </rPh>
    <phoneticPr fontId="18"/>
  </si>
  <si>
    <t>契約内容</t>
    <rPh sb="0" eb="2">
      <t>ケイヤク</t>
    </rPh>
    <rPh sb="2" eb="4">
      <t>ナイヨウ</t>
    </rPh>
    <phoneticPr fontId="19"/>
  </si>
  <si>
    <t>本紙_シート名</t>
    <rPh sb="0" eb="2">
      <t>ホンシ</t>
    </rPh>
    <rPh sb="6" eb="7">
      <t>メイ</t>
    </rPh>
    <phoneticPr fontId="16"/>
  </si>
  <si>
    <t>注文内容</t>
    <rPh sb="0" eb="2">
      <t>チュウモン</t>
    </rPh>
    <rPh sb="2" eb="4">
      <t>ナイヨウ</t>
    </rPh>
    <phoneticPr fontId="67"/>
  </si>
  <si>
    <t>産業</t>
    <rPh sb="0" eb="2">
      <t>サンギョウ</t>
    </rPh>
    <phoneticPr fontId="20"/>
  </si>
  <si>
    <t>業種</t>
    <rPh sb="0" eb="2">
      <t>ギョウシュ</t>
    </rPh>
    <phoneticPr fontId="20"/>
  </si>
  <si>
    <t>設置場所</t>
    <rPh sb="0" eb="2">
      <t>セッチ</t>
    </rPh>
    <rPh sb="2" eb="4">
      <t>バショ</t>
    </rPh>
    <phoneticPr fontId="20"/>
  </si>
  <si>
    <t>その他</t>
    <rPh sb="2" eb="3">
      <t>タ</t>
    </rPh>
    <phoneticPr fontId="20"/>
  </si>
  <si>
    <t>従業員数</t>
    <rPh sb="0" eb="3">
      <t>ジュウギョウイン</t>
    </rPh>
    <rPh sb="3" eb="4">
      <t>スウ</t>
    </rPh>
    <phoneticPr fontId="20"/>
  </si>
  <si>
    <t>導入済み_ビジネスフォン（αA1、NXⅡ等）</t>
  </si>
  <si>
    <t>導入済み_その他情報機器（複合機、ルーター等）</t>
  </si>
  <si>
    <t>導入済み_該当サービスなし</t>
    <rPh sb="5" eb="7">
      <t>ガイトウ</t>
    </rPh>
    <phoneticPr fontId="16"/>
  </si>
  <si>
    <t>導入済み_スマート光ビジネスWi-Fi</t>
  </si>
  <si>
    <t>導入済み_ルーターおまかせプラン</t>
  </si>
  <si>
    <t>導入済み_セキュリティおまかせプラン</t>
  </si>
  <si>
    <t>導入済み_おまかせAI　働き方みえ～る</t>
  </si>
  <si>
    <t>導入済み_パソコンおまかせプラン　</t>
  </si>
  <si>
    <t>導入済み_安心パック（基本メニュー含む）</t>
  </si>
  <si>
    <t>導入済み_ビジネスフォンサポート</t>
  </si>
  <si>
    <t>導入済み_データ安心保管プラン（BizBoxServer含む）</t>
  </si>
  <si>
    <t>導入済み_フレッツ・VPNワイド</t>
  </si>
  <si>
    <t>導入済み_フレッツ・VPNプライオ</t>
  </si>
  <si>
    <t>導入済み_ビジネスイーサワイド</t>
  </si>
  <si>
    <t>導入済み_ひかり電話（ホームタイプ）</t>
  </si>
  <si>
    <t>導入済み_ひかり電話（オフィスタイプ）</t>
  </si>
  <si>
    <t>導入済み_ひかり電話（オフィスA）</t>
  </si>
  <si>
    <t>同時導入_ビジネスフォン（αA1、NXⅡ等）</t>
  </si>
  <si>
    <t>同時導入_その他情報機器（複合機、ルーター等）</t>
  </si>
  <si>
    <t>同時導入_該当サービスなし</t>
    <rPh sb="5" eb="7">
      <t>ガイトウ</t>
    </rPh>
    <phoneticPr fontId="16"/>
  </si>
  <si>
    <t>同時導入_スマート光ビジネスWi-Fi</t>
  </si>
  <si>
    <t>同時導入_ルーターおまかせプラン</t>
  </si>
  <si>
    <t>同時導入_セキュリティおまかせプラン</t>
  </si>
  <si>
    <t>同時導入_おまかせAI　働き方みえ～る</t>
  </si>
  <si>
    <t>同時導入_パソコンおまかせプラン　</t>
  </si>
  <si>
    <t>同時導入_安心パック（基本メニュー含む）</t>
  </si>
  <si>
    <t>同時導入_ビジネスフォンサポート</t>
  </si>
  <si>
    <t>同時導入_データ安心保管プラン（BizBoxServer含む）</t>
  </si>
  <si>
    <t>同時導入_フレッツ・VPNワイド</t>
  </si>
  <si>
    <t>同時導入_フレッツ・VPNプライオ</t>
  </si>
  <si>
    <t>同時導入_ビジネスイーサワイド</t>
  </si>
  <si>
    <t>同時導入_ひかり電話（ホームタイプ）</t>
  </si>
  <si>
    <t>同時導入_ひかり電話（オフィスタイプ）</t>
  </si>
  <si>
    <t>同時導入_ひかり電話（オフィスA）</t>
  </si>
  <si>
    <t>新規ｏｒリプレース</t>
    <rPh sb="0" eb="2">
      <t>シンキ</t>
    </rPh>
    <phoneticPr fontId="20"/>
  </si>
  <si>
    <t>リプレースの場合</t>
    <rPh sb="6" eb="8">
      <t>バアイ</t>
    </rPh>
    <phoneticPr fontId="20"/>
  </si>
  <si>
    <t>見守り</t>
    <rPh sb="0" eb="2">
      <t>ミマモ</t>
    </rPh>
    <phoneticPr fontId="71"/>
  </si>
  <si>
    <t>犯罪防止</t>
    <rPh sb="0" eb="2">
      <t>ハンザイ</t>
    </rPh>
    <rPh sb="2" eb="4">
      <t>ボウシ</t>
    </rPh>
    <phoneticPr fontId="71"/>
  </si>
  <si>
    <t>何か行った場合のためにログとして利用</t>
    <rPh sb="0" eb="1">
      <t>ナニ</t>
    </rPh>
    <rPh sb="2" eb="3">
      <t>オコナ</t>
    </rPh>
    <rPh sb="5" eb="7">
      <t>バアイ</t>
    </rPh>
    <rPh sb="16" eb="18">
      <t>リヨウ</t>
    </rPh>
    <phoneticPr fontId="71"/>
  </si>
  <si>
    <t>上記以外自由記述_目的</t>
    <rPh sb="0" eb="2">
      <t>ジョウキ</t>
    </rPh>
    <rPh sb="2" eb="4">
      <t>イガイ</t>
    </rPh>
    <rPh sb="4" eb="6">
      <t>ジユウ</t>
    </rPh>
    <rPh sb="6" eb="8">
      <t>キジュツ</t>
    </rPh>
    <phoneticPr fontId="16"/>
  </si>
  <si>
    <t>記述内容_目的</t>
    <rPh sb="0" eb="2">
      <t>キジュツ</t>
    </rPh>
    <rPh sb="2" eb="4">
      <t>ナイヨウ</t>
    </rPh>
    <phoneticPr fontId="16"/>
  </si>
  <si>
    <t>有の場合</t>
    <rPh sb="0" eb="1">
      <t>アリ</t>
    </rPh>
    <rPh sb="2" eb="4">
      <t>バアイ</t>
    </rPh>
    <phoneticPr fontId="20"/>
  </si>
  <si>
    <t>価格</t>
    <rPh sb="0" eb="2">
      <t>カカク</t>
    </rPh>
    <phoneticPr fontId="71"/>
  </si>
  <si>
    <t>エリアアラート機能</t>
    <rPh sb="7" eb="9">
      <t>キノウ</t>
    </rPh>
    <phoneticPr fontId="71"/>
  </si>
  <si>
    <t>POSレジ機能</t>
    <rPh sb="5" eb="7">
      <t>キノウ</t>
    </rPh>
    <phoneticPr fontId="71"/>
  </si>
  <si>
    <t>モーションや音検知の検索しやすさ</t>
    <rPh sb="6" eb="7">
      <t>オト</t>
    </rPh>
    <rPh sb="7" eb="9">
      <t>ケンチ</t>
    </rPh>
    <rPh sb="10" eb="12">
      <t>ケンサク</t>
    </rPh>
    <phoneticPr fontId="71"/>
  </si>
  <si>
    <t>BCP対策</t>
    <rPh sb="3" eb="5">
      <t>タイサク</t>
    </rPh>
    <phoneticPr fontId="71"/>
  </si>
  <si>
    <t>死活監視</t>
  </si>
  <si>
    <t>営業に勧められたから</t>
    <rPh sb="0" eb="2">
      <t>エイギョウ</t>
    </rPh>
    <rPh sb="3" eb="4">
      <t>スス</t>
    </rPh>
    <phoneticPr fontId="71"/>
  </si>
  <si>
    <t>動線分析</t>
    <rPh sb="0" eb="2">
      <t>ドウセン</t>
    </rPh>
    <rPh sb="2" eb="4">
      <t>ブンセキ</t>
    </rPh>
    <phoneticPr fontId="71"/>
  </si>
  <si>
    <t>顔認証</t>
    <rPh sb="0" eb="1">
      <t>カオ</t>
    </rPh>
    <rPh sb="1" eb="3">
      <t>ニンショウ</t>
    </rPh>
    <phoneticPr fontId="71"/>
  </si>
  <si>
    <t>不審者検知</t>
    <rPh sb="0" eb="3">
      <t>フシンシャ</t>
    </rPh>
    <rPh sb="3" eb="5">
      <t>ケンチ</t>
    </rPh>
    <phoneticPr fontId="71"/>
  </si>
  <si>
    <t>youtube連携</t>
    <rPh sb="7" eb="9">
      <t>レンケイ</t>
    </rPh>
    <phoneticPr fontId="71"/>
  </si>
  <si>
    <t>上記以外自由記述_分析</t>
    <rPh sb="0" eb="2">
      <t>ジョウキ</t>
    </rPh>
    <rPh sb="2" eb="4">
      <t>イガイ</t>
    </rPh>
    <rPh sb="4" eb="6">
      <t>ジユウ</t>
    </rPh>
    <rPh sb="6" eb="8">
      <t>キジュツ</t>
    </rPh>
    <phoneticPr fontId="16"/>
  </si>
  <si>
    <t>記述内容_分析</t>
    <rPh sb="0" eb="2">
      <t>キジュツ</t>
    </rPh>
    <rPh sb="2" eb="4">
      <t>ナイヨウ</t>
    </rPh>
    <phoneticPr fontId="16"/>
  </si>
  <si>
    <t>訪問オプション利用希望</t>
    <rPh sb="0" eb="2">
      <t>ホウモン</t>
    </rPh>
    <rPh sb="7" eb="9">
      <t>リヨウ</t>
    </rPh>
    <rPh sb="9" eb="11">
      <t>キボウ</t>
    </rPh>
    <phoneticPr fontId="18"/>
  </si>
  <si>
    <t>S11</t>
    <phoneticPr fontId="18"/>
  </si>
  <si>
    <t>S11</t>
    <phoneticPr fontId="18"/>
  </si>
  <si>
    <t>S11</t>
    <phoneticPr fontId="18"/>
  </si>
  <si>
    <t>申込管理No</t>
    <rPh sb="0" eb="2">
      <t>モウシコミ</t>
    </rPh>
    <rPh sb="2" eb="4">
      <t>カンリ</t>
    </rPh>
    <phoneticPr fontId="19"/>
  </si>
  <si>
    <t>台数_T94T02D</t>
    <phoneticPr fontId="18"/>
  </si>
  <si>
    <t>増減数</t>
    <rPh sb="0" eb="2">
      <t>ゾウゲン</t>
    </rPh>
    <rPh sb="2" eb="3">
      <t>スウ</t>
    </rPh>
    <phoneticPr fontId="18"/>
  </si>
  <si>
    <t>【様式camera1B】サービス申込書__レンタル型</t>
    <rPh sb="1" eb="3">
      <t>ヨウシキ</t>
    </rPh>
    <rPh sb="16" eb="19">
      <t>モウシコミショ</t>
    </rPh>
    <rPh sb="25" eb="26">
      <t>ガタ</t>
    </rPh>
    <phoneticPr fontId="22"/>
  </si>
  <si>
    <t>オンサイト工事オプション利用</t>
    <rPh sb="5" eb="7">
      <t>コウジ</t>
    </rPh>
    <rPh sb="12" eb="14">
      <t>リヨウ</t>
    </rPh>
    <phoneticPr fontId="22"/>
  </si>
  <si>
    <t>利用しない</t>
    <phoneticPr fontId="22"/>
  </si>
  <si>
    <t>*</t>
    <phoneticPr fontId="18"/>
  </si>
  <si>
    <t>*</t>
    <phoneticPr fontId="18"/>
  </si>
  <si>
    <t>オンサイト工事オプション利用希望
（現場調査・設置工事）</t>
    <rPh sb="5" eb="7">
      <t>コウジ</t>
    </rPh>
    <rPh sb="12" eb="14">
      <t>リヨウ</t>
    </rPh>
    <rPh sb="14" eb="16">
      <t>キボウ</t>
    </rPh>
    <phoneticPr fontId="22"/>
  </si>
  <si>
    <t>訪問保守オプション</t>
    <rPh sb="0" eb="2">
      <t>ホウモン</t>
    </rPh>
    <rPh sb="2" eb="4">
      <t>ホシュ</t>
    </rPh>
    <phoneticPr fontId="22"/>
  </si>
  <si>
    <t>オプション
※訪問保守オプションは別紙①に数量を記入</t>
    <rPh sb="7" eb="9">
      <t>ホウモン</t>
    </rPh>
    <rPh sb="9" eb="11">
      <t>ホシュ</t>
    </rPh>
    <rPh sb="17" eb="19">
      <t>ベッシ</t>
    </rPh>
    <rPh sb="21" eb="23">
      <t>スウリョウ</t>
    </rPh>
    <rPh sb="24" eb="26">
      <t>キニュウ</t>
    </rPh>
    <phoneticPr fontId="22"/>
  </si>
  <si>
    <t>アンケート記入のご協力のお願いについて
本アンケート内容は、今後のサービス検討に活用させていただきますので、ご記入をお願いいたします。</t>
    <rPh sb="5" eb="7">
      <t>キニュウ</t>
    </rPh>
    <rPh sb="9" eb="11">
      <t>キョウリョク</t>
    </rPh>
    <rPh sb="13" eb="14">
      <t>ネガ</t>
    </rPh>
    <rPh sb="20" eb="21">
      <t>ホン</t>
    </rPh>
    <rPh sb="26" eb="28">
      <t>ナイヨウ</t>
    </rPh>
    <rPh sb="30" eb="32">
      <t>コンゴ</t>
    </rPh>
    <rPh sb="37" eb="39">
      <t>ケントウ</t>
    </rPh>
    <rPh sb="40" eb="42">
      <t>カツヨウ</t>
    </rPh>
    <rPh sb="55" eb="57">
      <t>キニュウ</t>
    </rPh>
    <rPh sb="59" eb="60">
      <t>ネガ</t>
    </rPh>
    <phoneticPr fontId="22"/>
  </si>
  <si>
    <t>事業者名</t>
    <rPh sb="0" eb="3">
      <t>ジギョウシャ</t>
    </rPh>
    <rPh sb="3" eb="4">
      <t>メイ</t>
    </rPh>
    <phoneticPr fontId="17"/>
  </si>
  <si>
    <t>ご契約者様名
（法人名）</t>
    <rPh sb="1" eb="5">
      <t>ケイヤクシャサマ</t>
    </rPh>
    <rPh sb="5" eb="6">
      <t>メイ</t>
    </rPh>
    <rPh sb="8" eb="10">
      <t>ホウジン</t>
    </rPh>
    <rPh sb="10" eb="11">
      <t>メイ</t>
    </rPh>
    <phoneticPr fontId="17"/>
  </si>
  <si>
    <t>ご契約者様住所</t>
    <phoneticPr fontId="18"/>
  </si>
  <si>
    <t>ご契約者様住所と同一の場合はチェック</t>
    <phoneticPr fontId="22"/>
  </si>
  <si>
    <t>ご契約者様連絡先</t>
    <phoneticPr fontId="22"/>
  </si>
  <si>
    <t>ご契約者様サポートは電話とメールで行います。
確実に連絡可能な電話番号とメールアドレスをご記入ください。
申込受付完了後、弊社サポートセンタより記載のメールアドレスまで連絡先の確認メールを送付いたします。</t>
    <rPh sb="61" eb="63">
      <t>ヘイシャ</t>
    </rPh>
    <rPh sb="72" eb="74">
      <t>キサイ</t>
    </rPh>
    <phoneticPr fontId="17"/>
  </si>
  <si>
    <t>ご契約者様住所と同一の場合はチェック</t>
    <phoneticPr fontId="18"/>
  </si>
  <si>
    <t>ご契約者様住所と同一の場合はチェック</t>
    <phoneticPr fontId="18"/>
  </si>
  <si>
    <t>※該当する場合、ご契約者様による設定が必要となります</t>
    <phoneticPr fontId="22"/>
  </si>
  <si>
    <t>NTT西日本</t>
    <phoneticPr fontId="18"/>
  </si>
  <si>
    <r>
      <t>希望する(本申込書に加えて【様式camera</t>
    </r>
    <r>
      <rPr>
        <sz val="11"/>
        <color theme="1"/>
        <rFont val="ＭＳ Ｐゴシック"/>
        <family val="2"/>
        <charset val="128"/>
        <scheme val="minor"/>
      </rPr>
      <t>2</t>
    </r>
    <r>
      <rPr>
        <sz val="11"/>
        <color theme="1"/>
        <rFont val="ＭＳ Ｐゴシック"/>
        <family val="2"/>
        <charset val="128"/>
        <scheme val="minor"/>
      </rPr>
      <t>】を記載・送付してください)</t>
    </r>
    <rPh sb="0" eb="2">
      <t>キボウ</t>
    </rPh>
    <rPh sb="10" eb="11">
      <t>クワ</t>
    </rPh>
    <rPh sb="14" eb="15">
      <t>サマ</t>
    </rPh>
    <rPh sb="15" eb="16">
      <t>シキ</t>
    </rPh>
    <rPh sb="25" eb="27">
      <t>キサイ</t>
    </rPh>
    <rPh sb="28" eb="30">
      <t>ソウフ</t>
    </rPh>
    <phoneticPr fontId="22"/>
  </si>
  <si>
    <t>プラン２</t>
    <phoneticPr fontId="22"/>
  </si>
  <si>
    <t>既存契約</t>
    <rPh sb="0" eb="2">
      <t>キゾン</t>
    </rPh>
    <rPh sb="2" eb="4">
      <t>ケイヤク</t>
    </rPh>
    <phoneticPr fontId="22"/>
  </si>
  <si>
    <t>任意記載欄</t>
  </si>
  <si>
    <t>プラン名</t>
  </si>
  <si>
    <t>開始年月日</t>
  </si>
  <si>
    <t>利用開始日</t>
  </si>
  <si>
    <t>型番_VIVOTEK</t>
    <phoneticPr fontId="18"/>
  </si>
  <si>
    <t>台数_VIVOTEK</t>
    <phoneticPr fontId="18"/>
  </si>
  <si>
    <t>型番_UG01PF2</t>
  </si>
  <si>
    <t>台数_UG01PF2</t>
  </si>
  <si>
    <t>販担_販売チャネルコード</t>
    <rPh sb="0" eb="1">
      <t>ハン</t>
    </rPh>
    <rPh sb="1" eb="2">
      <t>タン</t>
    </rPh>
    <rPh sb="3" eb="5">
      <t>ハンバイ</t>
    </rPh>
    <phoneticPr fontId="18"/>
  </si>
  <si>
    <t>クラウドプラン</t>
    <phoneticPr fontId="22"/>
  </si>
  <si>
    <t>端末セットプラン</t>
    <rPh sb="0" eb="2">
      <t>タンマツ</t>
    </rPh>
    <phoneticPr fontId="22"/>
  </si>
  <si>
    <t>既存契約_有</t>
    <rPh sb="5" eb="6">
      <t>アリ</t>
    </rPh>
    <phoneticPr fontId="22"/>
  </si>
  <si>
    <t>既存契約_無</t>
    <rPh sb="5" eb="6">
      <t>ナシ</t>
    </rPh>
    <phoneticPr fontId="22"/>
  </si>
  <si>
    <t>自由記述欄</t>
    <rPh sb="0" eb="2">
      <t>ジユウ</t>
    </rPh>
    <rPh sb="2" eb="4">
      <t>キジュツ</t>
    </rPh>
    <rPh sb="4" eb="5">
      <t>ラン</t>
    </rPh>
    <phoneticPr fontId="22"/>
  </si>
  <si>
    <t>販売チャネルコード</t>
    <rPh sb="0" eb="2">
      <t>ハンバイ</t>
    </rPh>
    <phoneticPr fontId="22"/>
  </si>
  <si>
    <t>本様式はクラウドカメラの新規注文にて利用する申込書です。</t>
    <rPh sb="0" eb="1">
      <t>ホン</t>
    </rPh>
    <rPh sb="1" eb="3">
      <t>ヨウシキ</t>
    </rPh>
    <rPh sb="12" eb="14">
      <t>シンキ</t>
    </rPh>
    <rPh sb="14" eb="16">
      <t>チュウモン</t>
    </rPh>
    <rPh sb="18" eb="20">
      <t>リヨウ</t>
    </rPh>
    <rPh sb="22" eb="25">
      <t>モウシコミショ</t>
    </rPh>
    <phoneticPr fontId="22"/>
  </si>
  <si>
    <t>新規申込</t>
    <rPh sb="0" eb="2">
      <t>シンキ</t>
    </rPh>
    <rPh sb="2" eb="4">
      <t>モウシコミ</t>
    </rPh>
    <phoneticPr fontId="22"/>
  </si>
  <si>
    <t>X32</t>
    <phoneticPr fontId="18"/>
  </si>
  <si>
    <t>AF32</t>
    <phoneticPr fontId="18"/>
  </si>
  <si>
    <t>■</t>
    <phoneticPr fontId="18"/>
  </si>
  <si>
    <t>NG</t>
    <phoneticPr fontId="18"/>
  </si>
  <si>
    <t>□</t>
    <phoneticPr fontId="18"/>
  </si>
  <si>
    <t>台数・契約変更がある場合は【様式camera5】機器購入申込書兼変更・廃止申込書を記載願います。</t>
    <rPh sb="0" eb="2">
      <t>ダイスウ</t>
    </rPh>
    <rPh sb="3" eb="5">
      <t>ケイヤク</t>
    </rPh>
    <rPh sb="5" eb="7">
      <t>ヘンコウ</t>
    </rPh>
    <rPh sb="10" eb="12">
      <t>バアイ</t>
    </rPh>
    <rPh sb="41" eb="44">
      <t>キサイネガ</t>
    </rPh>
    <phoneticPr fontId="22"/>
  </si>
  <si>
    <t>A1</t>
  </si>
  <si>
    <t>A1</t>
    <phoneticPr fontId="18"/>
  </si>
  <si>
    <t>型番_VIVOTEK_IT9389</t>
    <phoneticPr fontId="18"/>
  </si>
  <si>
    <t>台数_VIVOTEK_IT9389</t>
    <phoneticPr fontId="18"/>
  </si>
  <si>
    <t>※固定IPアドレス利用の場合は
【様式camera4】設定変更申込書に記載願います。</t>
    <phoneticPr fontId="18"/>
  </si>
  <si>
    <t>ホームページ閲覧数追加機能</t>
    <rPh sb="6" eb="8">
      <t>エツラン</t>
    </rPh>
    <rPh sb="8" eb="9">
      <t>スウ</t>
    </rPh>
    <rPh sb="9" eb="11">
      <t>ツイカ</t>
    </rPh>
    <rPh sb="11" eb="13">
      <t>キノウ</t>
    </rPh>
    <phoneticPr fontId="22"/>
  </si>
  <si>
    <t>映像解析オプション（混雑状況可視化）</t>
    <phoneticPr fontId="22"/>
  </si>
  <si>
    <t>映像解析オプション（混雑状況可視化）</t>
    <phoneticPr fontId="18"/>
  </si>
  <si>
    <t>ホームページ閲覧数追加機能</t>
    <phoneticPr fontId="18"/>
  </si>
  <si>
    <t>本紙_シート名</t>
    <rPh sb="0" eb="2">
      <t>ホンシ</t>
    </rPh>
    <rPh sb="6" eb="7">
      <t>メイ</t>
    </rPh>
    <phoneticPr fontId="18"/>
  </si>
  <si>
    <t>注文内容</t>
    <rPh sb="0" eb="2">
      <t>チュウモン</t>
    </rPh>
    <rPh sb="2" eb="4">
      <t>ナイヨウ</t>
    </rPh>
    <phoneticPr fontId="60"/>
  </si>
  <si>
    <t>バージョン</t>
    <phoneticPr fontId="18"/>
  </si>
  <si>
    <t>申込管理No</t>
    <rPh sb="0" eb="4">
      <t>モウシコミカンリ</t>
    </rPh>
    <phoneticPr fontId="18"/>
  </si>
  <si>
    <t>シート名</t>
    <rPh sb="3" eb="4">
      <t>メイ</t>
    </rPh>
    <phoneticPr fontId="18"/>
  </si>
  <si>
    <t>事業者様名</t>
    <rPh sb="0" eb="4">
      <t>ジギョウシャサマ</t>
    </rPh>
    <rPh sb="4" eb="5">
      <t>メイ</t>
    </rPh>
    <phoneticPr fontId="17"/>
  </si>
  <si>
    <t>事業者識別コード</t>
    <rPh sb="0" eb="3">
      <t>ジギョウシャ</t>
    </rPh>
    <rPh sb="3" eb="5">
      <t>シキベツ</t>
    </rPh>
    <phoneticPr fontId="17"/>
  </si>
  <si>
    <t>申込_（西暦）年</t>
    <rPh sb="0" eb="2">
      <t>モウシコミ</t>
    </rPh>
    <rPh sb="4" eb="6">
      <t>セイレキ</t>
    </rPh>
    <rPh sb="7" eb="8">
      <t>ネン</t>
    </rPh>
    <phoneticPr fontId="17"/>
  </si>
  <si>
    <t>申込_月</t>
    <rPh sb="0" eb="2">
      <t>モウシコミ</t>
    </rPh>
    <rPh sb="3" eb="4">
      <t>ガツ</t>
    </rPh>
    <phoneticPr fontId="17"/>
  </si>
  <si>
    <t>申込_日</t>
    <rPh sb="0" eb="2">
      <t>モウシコミ</t>
    </rPh>
    <rPh sb="3" eb="4">
      <t>ヒ</t>
    </rPh>
    <phoneticPr fontId="17"/>
  </si>
  <si>
    <t>エンドユーザ様名フリガナ</t>
    <rPh sb="6" eb="7">
      <t>サマ</t>
    </rPh>
    <rPh sb="7" eb="8">
      <t>メイ</t>
    </rPh>
    <phoneticPr fontId="17"/>
  </si>
  <si>
    <t>エンドユーザ様名</t>
    <rPh sb="6" eb="7">
      <t>サマ</t>
    </rPh>
    <rPh sb="7" eb="8">
      <t>メイ</t>
    </rPh>
    <phoneticPr fontId="17"/>
  </si>
  <si>
    <t>エンドユーザ_〒（上3桁）</t>
    <rPh sb="9" eb="10">
      <t>ウエ</t>
    </rPh>
    <rPh sb="11" eb="12">
      <t>ケタ</t>
    </rPh>
    <phoneticPr fontId="17"/>
  </si>
  <si>
    <t>エンドユーザ_〒（下4桁）</t>
    <rPh sb="9" eb="10">
      <t>シタ</t>
    </rPh>
    <rPh sb="11" eb="12">
      <t>ケタ</t>
    </rPh>
    <phoneticPr fontId="17"/>
  </si>
  <si>
    <t>エンドユーザ_（住所）フリガナ</t>
    <rPh sb="8" eb="10">
      <t>ジュウショ</t>
    </rPh>
    <phoneticPr fontId="17"/>
  </si>
  <si>
    <t>エンドユーザ_都道府県</t>
    <rPh sb="7" eb="11">
      <t>トドウフケン</t>
    </rPh>
    <phoneticPr fontId="17"/>
  </si>
  <si>
    <t>エンドユーザ_市区町村</t>
    <rPh sb="7" eb="9">
      <t>シク</t>
    </rPh>
    <rPh sb="9" eb="11">
      <t>チョウソン</t>
    </rPh>
    <phoneticPr fontId="17"/>
  </si>
  <si>
    <t>エンドユーザ_住所（続き）</t>
    <rPh sb="7" eb="9">
      <t>ジュウショ</t>
    </rPh>
    <rPh sb="10" eb="11">
      <t>ツヅ</t>
    </rPh>
    <phoneticPr fontId="17"/>
  </si>
  <si>
    <t>エンドユーザ_建物名</t>
    <rPh sb="7" eb="9">
      <t>タテモノ</t>
    </rPh>
    <rPh sb="9" eb="10">
      <t>メイ</t>
    </rPh>
    <phoneticPr fontId="17"/>
  </si>
  <si>
    <t>エンドユーザ_島嶼部の場合はチェック</t>
    <phoneticPr fontId="18"/>
  </si>
  <si>
    <t>開通_同一チェック</t>
    <rPh sb="0" eb="2">
      <t>カイツウ</t>
    </rPh>
    <rPh sb="3" eb="5">
      <t>ドウイツ</t>
    </rPh>
    <phoneticPr fontId="17"/>
  </si>
  <si>
    <t>開通_〒（上3桁）</t>
    <rPh sb="0" eb="2">
      <t>カイツウ</t>
    </rPh>
    <rPh sb="5" eb="6">
      <t>ウエ</t>
    </rPh>
    <rPh sb="7" eb="8">
      <t>ケタ</t>
    </rPh>
    <phoneticPr fontId="17"/>
  </si>
  <si>
    <t>開通_〒（下4桁）</t>
    <rPh sb="0" eb="2">
      <t>カイツウ</t>
    </rPh>
    <rPh sb="5" eb="6">
      <t>シタ</t>
    </rPh>
    <rPh sb="7" eb="8">
      <t>ケタ</t>
    </rPh>
    <phoneticPr fontId="17"/>
  </si>
  <si>
    <t>開通_（住所）フリガナ</t>
    <rPh sb="0" eb="2">
      <t>カイツウ</t>
    </rPh>
    <rPh sb="4" eb="6">
      <t>ジュウショ</t>
    </rPh>
    <phoneticPr fontId="17"/>
  </si>
  <si>
    <t>開通_都道府県</t>
    <rPh sb="0" eb="2">
      <t>カイツウ</t>
    </rPh>
    <rPh sb="3" eb="7">
      <t>トドウフケン</t>
    </rPh>
    <phoneticPr fontId="17"/>
  </si>
  <si>
    <t>開通_市区町村</t>
    <rPh sb="3" eb="5">
      <t>シク</t>
    </rPh>
    <rPh sb="5" eb="7">
      <t>チョウソン</t>
    </rPh>
    <phoneticPr fontId="17"/>
  </si>
  <si>
    <t>開通_住所（続き）</t>
    <rPh sb="3" eb="5">
      <t>ジュウショ</t>
    </rPh>
    <rPh sb="6" eb="7">
      <t>ツヅ</t>
    </rPh>
    <phoneticPr fontId="17"/>
  </si>
  <si>
    <t>開通_建物名</t>
    <rPh sb="3" eb="5">
      <t>タテモノ</t>
    </rPh>
    <rPh sb="5" eb="6">
      <t>メイ</t>
    </rPh>
    <phoneticPr fontId="17"/>
  </si>
  <si>
    <t>開通_島嶼部の場合はチェック</t>
    <phoneticPr fontId="18"/>
  </si>
  <si>
    <t>担当部署名</t>
    <rPh sb="0" eb="2">
      <t>タントウ</t>
    </rPh>
    <rPh sb="2" eb="4">
      <t>ブショ</t>
    </rPh>
    <rPh sb="4" eb="5">
      <t>メイ</t>
    </rPh>
    <phoneticPr fontId="17"/>
  </si>
  <si>
    <t>担当者名フリガナ</t>
    <rPh sb="0" eb="3">
      <t>タントウシャ</t>
    </rPh>
    <rPh sb="3" eb="4">
      <t>メイ</t>
    </rPh>
    <phoneticPr fontId="17"/>
  </si>
  <si>
    <t>ご担当者（市外）_電話番号</t>
    <rPh sb="1" eb="4">
      <t>タントウシャ</t>
    </rPh>
    <rPh sb="9" eb="11">
      <t>デンワ</t>
    </rPh>
    <rPh sb="11" eb="13">
      <t>バンゴウ</t>
    </rPh>
    <phoneticPr fontId="17"/>
  </si>
  <si>
    <t>ご担当者（中央）_電話番号</t>
    <rPh sb="9" eb="11">
      <t>デンワ</t>
    </rPh>
    <rPh sb="11" eb="13">
      <t>バンゴウ</t>
    </rPh>
    <phoneticPr fontId="17"/>
  </si>
  <si>
    <t>ご担当者（下4桁）_電話番号</t>
    <rPh sb="10" eb="12">
      <t>デンワ</t>
    </rPh>
    <rPh sb="12" eb="14">
      <t>バンゴウ</t>
    </rPh>
    <phoneticPr fontId="17"/>
  </si>
  <si>
    <t>緊急-ご担当者（市外）_電話番号</t>
    <rPh sb="0" eb="2">
      <t>キンキュウ</t>
    </rPh>
    <rPh sb="4" eb="7">
      <t>タントウシャ</t>
    </rPh>
    <rPh sb="12" eb="14">
      <t>デンワ</t>
    </rPh>
    <rPh sb="14" eb="16">
      <t>バンゴウ</t>
    </rPh>
    <phoneticPr fontId="17"/>
  </si>
  <si>
    <t>緊急-ご担当者（中央）_電話番号</t>
    <rPh sb="0" eb="2">
      <t>キンキュウ</t>
    </rPh>
    <rPh sb="12" eb="14">
      <t>デンワ</t>
    </rPh>
    <rPh sb="14" eb="16">
      <t>バンゴウ</t>
    </rPh>
    <phoneticPr fontId="17"/>
  </si>
  <si>
    <t>緊急-ご担当者（下4桁）電話番号</t>
    <rPh sb="0" eb="2">
      <t>キンキュウ</t>
    </rPh>
    <rPh sb="4" eb="7">
      <t>タントウシャ</t>
    </rPh>
    <rPh sb="12" eb="14">
      <t>デンワ</t>
    </rPh>
    <rPh sb="14" eb="16">
      <t>バンゴウ</t>
    </rPh>
    <phoneticPr fontId="17"/>
  </si>
  <si>
    <t>（＠より左）_メールアドレス</t>
    <rPh sb="4" eb="5">
      <t>ヒダリ</t>
    </rPh>
    <phoneticPr fontId="17"/>
  </si>
  <si>
    <t>（＠より右）_メールアドレス</t>
    <rPh sb="4" eb="5">
      <t>ミギ</t>
    </rPh>
    <phoneticPr fontId="17"/>
  </si>
  <si>
    <t>追加</t>
    <rPh sb="0" eb="2">
      <t>ツイカ</t>
    </rPh>
    <phoneticPr fontId="17"/>
  </si>
  <si>
    <t>減少</t>
    <rPh sb="0" eb="2">
      <t>ゲンショウ</t>
    </rPh>
    <phoneticPr fontId="17"/>
  </si>
  <si>
    <t>廃止</t>
    <rPh sb="0" eb="2">
      <t>ハイシ</t>
    </rPh>
    <phoneticPr fontId="17"/>
  </si>
  <si>
    <t>タイプ変更</t>
    <rPh sb="3" eb="5">
      <t>ヘンコウ</t>
    </rPh>
    <phoneticPr fontId="17"/>
  </si>
  <si>
    <t>利用する</t>
    <rPh sb="0" eb="2">
      <t>リヨウ</t>
    </rPh>
    <phoneticPr fontId="17"/>
  </si>
  <si>
    <t>利用しない</t>
    <rPh sb="0" eb="2">
      <t>リヨウ</t>
    </rPh>
    <phoneticPr fontId="17"/>
  </si>
  <si>
    <t>7日タイプ</t>
    <rPh sb="1" eb="2">
      <t>カ</t>
    </rPh>
    <phoneticPr fontId="17"/>
  </si>
  <si>
    <t>7日_台数</t>
    <rPh sb="1" eb="2">
      <t>ニチ</t>
    </rPh>
    <phoneticPr fontId="17"/>
  </si>
  <si>
    <t>14日タイプ</t>
    <rPh sb="2" eb="3">
      <t>カ</t>
    </rPh>
    <phoneticPr fontId="17"/>
  </si>
  <si>
    <t>14日_台数</t>
    <phoneticPr fontId="17"/>
  </si>
  <si>
    <t>30日タイプ</t>
    <rPh sb="2" eb="3">
      <t>ニチ</t>
    </rPh>
    <phoneticPr fontId="17"/>
  </si>
  <si>
    <t>30日_台数</t>
    <phoneticPr fontId="17"/>
  </si>
  <si>
    <t>60日タイプ</t>
    <rPh sb="2" eb="3">
      <t>ニチ</t>
    </rPh>
    <phoneticPr fontId="17"/>
  </si>
  <si>
    <t>60日_台数</t>
    <rPh sb="2" eb="3">
      <t>カ</t>
    </rPh>
    <phoneticPr fontId="17"/>
  </si>
  <si>
    <t>90日タイプ</t>
    <rPh sb="2" eb="3">
      <t>ニチ</t>
    </rPh>
    <phoneticPr fontId="17"/>
  </si>
  <si>
    <t>90日_台数</t>
    <phoneticPr fontId="17"/>
  </si>
  <si>
    <t>180日タイプ</t>
    <rPh sb="3" eb="4">
      <t>ニチ</t>
    </rPh>
    <phoneticPr fontId="17"/>
  </si>
  <si>
    <t>180日_台数</t>
    <phoneticPr fontId="17"/>
  </si>
  <si>
    <t>POSレジ連携オプション</t>
    <rPh sb="5" eb="7">
      <t>レンケイ</t>
    </rPh>
    <phoneticPr fontId="17"/>
  </si>
  <si>
    <t>POS_台数</t>
    <phoneticPr fontId="17"/>
  </si>
  <si>
    <t>訪問修理オプション</t>
    <rPh sb="0" eb="2">
      <t>ホウモン</t>
    </rPh>
    <rPh sb="2" eb="4">
      <t>シュウリ</t>
    </rPh>
    <phoneticPr fontId="17"/>
  </si>
  <si>
    <t>訪問_台数</t>
    <rPh sb="0" eb="2">
      <t>ホウモン</t>
    </rPh>
    <phoneticPr fontId="17"/>
  </si>
  <si>
    <t>映像解析オプション</t>
    <phoneticPr fontId="17"/>
  </si>
  <si>
    <t>映像解析_台数</t>
    <phoneticPr fontId="17"/>
  </si>
  <si>
    <t>型番_5054</t>
    <phoneticPr fontId="18"/>
  </si>
  <si>
    <t>台数_5054</t>
    <phoneticPr fontId="17"/>
  </si>
  <si>
    <t>台数_2025</t>
    <phoneticPr fontId="17"/>
  </si>
  <si>
    <t>台数_5525</t>
    <phoneticPr fontId="17"/>
  </si>
  <si>
    <t>台数_3045</t>
    <phoneticPr fontId="17"/>
  </si>
  <si>
    <t>台数_1065LW</t>
    <phoneticPr fontId="17"/>
  </si>
  <si>
    <t>台数_3057</t>
    <phoneticPr fontId="17"/>
  </si>
  <si>
    <t>台数_1065L</t>
    <phoneticPr fontId="17"/>
  </si>
  <si>
    <t>台数_3105</t>
    <phoneticPr fontId="17"/>
  </si>
  <si>
    <t>台数_QBIC</t>
    <phoneticPr fontId="17"/>
  </si>
  <si>
    <t>台数_Technexion</t>
    <phoneticPr fontId="17"/>
  </si>
  <si>
    <t>型番_T91L61</t>
    <phoneticPr fontId="22"/>
  </si>
  <si>
    <t>台数_T91L61</t>
    <phoneticPr fontId="18"/>
  </si>
  <si>
    <t>型番_T91E61</t>
    <phoneticPr fontId="22"/>
  </si>
  <si>
    <t>台数_T91E61</t>
    <phoneticPr fontId="18"/>
  </si>
  <si>
    <t>型番_T91B57</t>
    <phoneticPr fontId="22"/>
  </si>
  <si>
    <t>台数_T91B57</t>
    <phoneticPr fontId="18"/>
  </si>
  <si>
    <t>型番_T94T02D</t>
    <phoneticPr fontId="22"/>
  </si>
  <si>
    <t>型番_T94B01P</t>
    <phoneticPr fontId="22"/>
  </si>
  <si>
    <t>台数_T94B01P</t>
    <phoneticPr fontId="18"/>
  </si>
  <si>
    <t>台数_Tokina_WH-31</t>
    <phoneticPr fontId="18"/>
  </si>
  <si>
    <t>型番_T91B47</t>
    <phoneticPr fontId="22"/>
  </si>
  <si>
    <t>台数_T91B47</t>
    <phoneticPr fontId="18"/>
  </si>
  <si>
    <t>台数_UG01</t>
    <phoneticPr fontId="17"/>
  </si>
  <si>
    <t>台数_UG2B05</t>
    <phoneticPr fontId="17"/>
  </si>
  <si>
    <t>台数_UG2B08</t>
    <phoneticPr fontId="17"/>
  </si>
  <si>
    <t>機器配送_西暦年</t>
    <rPh sb="0" eb="2">
      <t>キキ</t>
    </rPh>
    <rPh sb="2" eb="4">
      <t>ハイソウ</t>
    </rPh>
    <rPh sb="5" eb="7">
      <t>セイレキ</t>
    </rPh>
    <rPh sb="7" eb="8">
      <t>ネン</t>
    </rPh>
    <phoneticPr fontId="17"/>
  </si>
  <si>
    <t>機器配送_月</t>
    <rPh sb="5" eb="6">
      <t>ガツ</t>
    </rPh>
    <phoneticPr fontId="17"/>
  </si>
  <si>
    <t>機器配送_日</t>
    <rPh sb="5" eb="6">
      <t>ニチ</t>
    </rPh>
    <phoneticPr fontId="17"/>
  </si>
  <si>
    <t>開通_西暦年</t>
    <rPh sb="0" eb="2">
      <t>カイツウ</t>
    </rPh>
    <rPh sb="3" eb="5">
      <t>セイレキ</t>
    </rPh>
    <rPh sb="5" eb="6">
      <t>ネン</t>
    </rPh>
    <phoneticPr fontId="17"/>
  </si>
  <si>
    <t>開通_月</t>
    <rPh sb="3" eb="4">
      <t>ガツ</t>
    </rPh>
    <phoneticPr fontId="17"/>
  </si>
  <si>
    <t>開通_日</t>
    <rPh sb="3" eb="4">
      <t>ニチ</t>
    </rPh>
    <phoneticPr fontId="17"/>
  </si>
  <si>
    <t>廃止減少_西暦年</t>
    <rPh sb="0" eb="2">
      <t>ハイシ</t>
    </rPh>
    <rPh sb="2" eb="4">
      <t>ゲンショウ</t>
    </rPh>
    <rPh sb="5" eb="7">
      <t>セイレキ</t>
    </rPh>
    <rPh sb="7" eb="8">
      <t>ネン</t>
    </rPh>
    <phoneticPr fontId="17"/>
  </si>
  <si>
    <t>廃止減少_月</t>
    <rPh sb="5" eb="6">
      <t>ガツ</t>
    </rPh>
    <phoneticPr fontId="17"/>
  </si>
  <si>
    <t>廃止減少_日</t>
    <rPh sb="5" eb="6">
      <t>ニチ</t>
    </rPh>
    <phoneticPr fontId="17"/>
  </si>
  <si>
    <t>機器設置_同一チェック</t>
    <rPh sb="0" eb="2">
      <t>キキ</t>
    </rPh>
    <rPh sb="2" eb="4">
      <t>セッチ</t>
    </rPh>
    <rPh sb="5" eb="7">
      <t>ドウイツ</t>
    </rPh>
    <phoneticPr fontId="17"/>
  </si>
  <si>
    <t>機器設置_〒（上3桁）</t>
    <rPh sb="7" eb="8">
      <t>ウエ</t>
    </rPh>
    <rPh sb="9" eb="10">
      <t>ケタ</t>
    </rPh>
    <phoneticPr fontId="17"/>
  </si>
  <si>
    <t>機器設置_〒（下4桁）</t>
    <rPh sb="7" eb="8">
      <t>シタ</t>
    </rPh>
    <rPh sb="9" eb="10">
      <t>ケタ</t>
    </rPh>
    <phoneticPr fontId="17"/>
  </si>
  <si>
    <t>機器設置_（住所）フリガナ</t>
    <rPh sb="6" eb="8">
      <t>ジュウショ</t>
    </rPh>
    <phoneticPr fontId="17"/>
  </si>
  <si>
    <t>機器設置_都道府県</t>
    <rPh sb="5" eb="9">
      <t>トドウフケン</t>
    </rPh>
    <phoneticPr fontId="17"/>
  </si>
  <si>
    <t>機器設置_市区町村</t>
    <rPh sb="5" eb="7">
      <t>シク</t>
    </rPh>
    <rPh sb="7" eb="9">
      <t>チョウソン</t>
    </rPh>
    <phoneticPr fontId="17"/>
  </si>
  <si>
    <t>機器設置_住所（続き）</t>
    <rPh sb="5" eb="7">
      <t>ジュウショ</t>
    </rPh>
    <rPh sb="8" eb="9">
      <t>ツヅ</t>
    </rPh>
    <phoneticPr fontId="17"/>
  </si>
  <si>
    <t>機器設置_建物名</t>
    <rPh sb="5" eb="7">
      <t>タテモノ</t>
    </rPh>
    <rPh sb="7" eb="8">
      <t>メイ</t>
    </rPh>
    <phoneticPr fontId="17"/>
  </si>
  <si>
    <t>機器設置_島嶼部の場合はチェック</t>
    <phoneticPr fontId="18"/>
  </si>
  <si>
    <t>機器配送_同一チェック</t>
    <rPh sb="0" eb="2">
      <t>キキ</t>
    </rPh>
    <rPh sb="2" eb="4">
      <t>ハイソウ</t>
    </rPh>
    <phoneticPr fontId="17"/>
  </si>
  <si>
    <t>機器配送_設置場所_同一チェック</t>
    <rPh sb="5" eb="7">
      <t>セッチ</t>
    </rPh>
    <rPh sb="7" eb="9">
      <t>バショ</t>
    </rPh>
    <rPh sb="10" eb="12">
      <t>ドウイツ</t>
    </rPh>
    <phoneticPr fontId="17"/>
  </si>
  <si>
    <t>機器配送_〒（上3桁）</t>
    <rPh sb="7" eb="8">
      <t>ウエ</t>
    </rPh>
    <rPh sb="9" eb="10">
      <t>ケタ</t>
    </rPh>
    <phoneticPr fontId="17"/>
  </si>
  <si>
    <t>機器配送_〒（下4桁）</t>
    <rPh sb="7" eb="8">
      <t>シタ</t>
    </rPh>
    <rPh sb="9" eb="10">
      <t>ケタ</t>
    </rPh>
    <phoneticPr fontId="17"/>
  </si>
  <si>
    <t>機器配送_（住所）フリガナ</t>
    <rPh sb="6" eb="8">
      <t>ジュウショ</t>
    </rPh>
    <phoneticPr fontId="17"/>
  </si>
  <si>
    <t>機器配送_都道府県</t>
    <rPh sb="5" eb="9">
      <t>トドウフケン</t>
    </rPh>
    <phoneticPr fontId="17"/>
  </si>
  <si>
    <t>機器配送_市区町村</t>
    <rPh sb="5" eb="7">
      <t>シク</t>
    </rPh>
    <rPh sb="7" eb="9">
      <t>チョウソン</t>
    </rPh>
    <phoneticPr fontId="17"/>
  </si>
  <si>
    <t>機器配送_住所（続き）</t>
    <rPh sb="5" eb="7">
      <t>ジュウショ</t>
    </rPh>
    <rPh sb="8" eb="9">
      <t>ツヅ</t>
    </rPh>
    <phoneticPr fontId="17"/>
  </si>
  <si>
    <t>機器配送_建物名</t>
    <rPh sb="5" eb="7">
      <t>タテモノ</t>
    </rPh>
    <rPh sb="7" eb="8">
      <t>メイ</t>
    </rPh>
    <phoneticPr fontId="17"/>
  </si>
  <si>
    <t>機器配送_島嶼部の場合はチェック</t>
    <phoneticPr fontId="18"/>
  </si>
  <si>
    <t>機器配送_お届け先_会社・部署名等</t>
    <rPh sb="6" eb="7">
      <t>トド</t>
    </rPh>
    <rPh sb="8" eb="9">
      <t>サキ</t>
    </rPh>
    <rPh sb="10" eb="12">
      <t>カイシャ</t>
    </rPh>
    <rPh sb="13" eb="15">
      <t>ブショ</t>
    </rPh>
    <rPh sb="15" eb="16">
      <t>メイ</t>
    </rPh>
    <rPh sb="16" eb="17">
      <t>トウ</t>
    </rPh>
    <phoneticPr fontId="17"/>
  </si>
  <si>
    <t>機器配送_受取人名フリガナ</t>
    <rPh sb="5" eb="7">
      <t>ウケトリ</t>
    </rPh>
    <rPh sb="7" eb="8">
      <t>ニン</t>
    </rPh>
    <rPh sb="8" eb="9">
      <t>メイ</t>
    </rPh>
    <phoneticPr fontId="17"/>
  </si>
  <si>
    <t>機器配送_受取人名</t>
    <rPh sb="5" eb="7">
      <t>ウケトリ</t>
    </rPh>
    <rPh sb="7" eb="8">
      <t>ニン</t>
    </rPh>
    <rPh sb="8" eb="9">
      <t>メイ</t>
    </rPh>
    <phoneticPr fontId="17"/>
  </si>
  <si>
    <t>機器配送（市外）_電話番号1</t>
    <phoneticPr fontId="17"/>
  </si>
  <si>
    <t>機器配送（中央）_電話番号1</t>
    <rPh sb="9" eb="11">
      <t>デンワ</t>
    </rPh>
    <rPh sb="11" eb="13">
      <t>バンゴウ</t>
    </rPh>
    <phoneticPr fontId="17"/>
  </si>
  <si>
    <t>機器配送（下4桁）_電話番号1</t>
    <rPh sb="0" eb="2">
      <t>キキ</t>
    </rPh>
    <rPh sb="2" eb="4">
      <t>ハイソウ</t>
    </rPh>
    <rPh sb="10" eb="12">
      <t>デンワ</t>
    </rPh>
    <rPh sb="12" eb="14">
      <t>バンゴウ</t>
    </rPh>
    <phoneticPr fontId="17"/>
  </si>
  <si>
    <t>機器配送（市外）_電話番号2</t>
    <rPh sb="9" eb="11">
      <t>デンワ</t>
    </rPh>
    <rPh sb="11" eb="13">
      <t>バンゴウ</t>
    </rPh>
    <phoneticPr fontId="17"/>
  </si>
  <si>
    <t>機器配送（中央）_電話番号2</t>
    <rPh sb="9" eb="11">
      <t>デンワ</t>
    </rPh>
    <rPh sb="11" eb="13">
      <t>バンゴウ</t>
    </rPh>
    <phoneticPr fontId="17"/>
  </si>
  <si>
    <t>機器配送（下4桁）_電話番号2</t>
    <rPh sb="10" eb="12">
      <t>デンワ</t>
    </rPh>
    <rPh sb="12" eb="14">
      <t>バンゴウ</t>
    </rPh>
    <phoneticPr fontId="17"/>
  </si>
  <si>
    <t>事業者管理ID</t>
    <rPh sb="0" eb="3">
      <t>ジギョウシャ</t>
    </rPh>
    <rPh sb="3" eb="5">
      <t>カンリ</t>
    </rPh>
    <phoneticPr fontId="17"/>
  </si>
  <si>
    <t>固定IPアドレス利用</t>
    <rPh sb="0" eb="2">
      <t>コテイ</t>
    </rPh>
    <rPh sb="8" eb="10">
      <t>リヨウ</t>
    </rPh>
    <phoneticPr fontId="17"/>
  </si>
  <si>
    <t>WiFi接続利用</t>
    <rPh sb="4" eb="6">
      <t>セツゾク</t>
    </rPh>
    <rPh sb="6" eb="8">
      <t>リヨウ</t>
    </rPh>
    <phoneticPr fontId="17"/>
  </si>
  <si>
    <t>ファイアーウォール利用</t>
    <rPh sb="9" eb="11">
      <t>リヨウ</t>
    </rPh>
    <phoneticPr fontId="17"/>
  </si>
  <si>
    <t>記事欄</t>
    <rPh sb="0" eb="2">
      <t>キジ</t>
    </rPh>
    <rPh sb="2" eb="3">
      <t>ラン</t>
    </rPh>
    <phoneticPr fontId="17"/>
  </si>
  <si>
    <t>販担_会社名</t>
    <rPh sb="0" eb="1">
      <t>ハン</t>
    </rPh>
    <rPh sb="1" eb="2">
      <t>タン</t>
    </rPh>
    <rPh sb="3" eb="6">
      <t>カイシャメイ</t>
    </rPh>
    <phoneticPr fontId="17"/>
  </si>
  <si>
    <t>販担_販売代理店コード</t>
    <rPh sb="3" eb="5">
      <t>ハンバイ</t>
    </rPh>
    <rPh sb="5" eb="8">
      <t>ダイリテン</t>
    </rPh>
    <phoneticPr fontId="17"/>
  </si>
  <si>
    <t>販担_支店名</t>
    <rPh sb="3" eb="6">
      <t>シテンメイ</t>
    </rPh>
    <phoneticPr fontId="17"/>
  </si>
  <si>
    <t>販担_支店所在地</t>
    <rPh sb="3" eb="5">
      <t>シテン</t>
    </rPh>
    <rPh sb="5" eb="8">
      <t>ショザイチ</t>
    </rPh>
    <phoneticPr fontId="17"/>
  </si>
  <si>
    <t>販担_部・部門・担当者</t>
    <rPh sb="3" eb="4">
      <t>ブ</t>
    </rPh>
    <rPh sb="5" eb="7">
      <t>ブモン</t>
    </rPh>
    <rPh sb="8" eb="11">
      <t>タントウシャ</t>
    </rPh>
    <phoneticPr fontId="17"/>
  </si>
  <si>
    <t>販売担当者</t>
    <rPh sb="0" eb="2">
      <t>ハンバイ</t>
    </rPh>
    <rPh sb="2" eb="5">
      <t>タントウシャ</t>
    </rPh>
    <phoneticPr fontId="17"/>
  </si>
  <si>
    <t>販担_社員コード</t>
    <rPh sb="0" eb="1">
      <t>ハン</t>
    </rPh>
    <rPh sb="1" eb="2">
      <t>タン</t>
    </rPh>
    <rPh sb="3" eb="5">
      <t>シャイン</t>
    </rPh>
    <phoneticPr fontId="17"/>
  </si>
  <si>
    <t>販担_電話番号</t>
    <rPh sb="0" eb="1">
      <t>ハン</t>
    </rPh>
    <rPh sb="1" eb="2">
      <t>タン</t>
    </rPh>
    <rPh sb="3" eb="5">
      <t>デンワ</t>
    </rPh>
    <rPh sb="5" eb="7">
      <t>バンゴウ</t>
    </rPh>
    <phoneticPr fontId="17"/>
  </si>
  <si>
    <t>販担_メールアドレス</t>
    <rPh sb="0" eb="1">
      <t>ハン</t>
    </rPh>
    <rPh sb="1" eb="2">
      <t>タン</t>
    </rPh>
    <phoneticPr fontId="17"/>
  </si>
  <si>
    <t>工事調整_販売担当_同一チェック</t>
    <rPh sb="0" eb="2">
      <t>コウジ</t>
    </rPh>
    <rPh sb="2" eb="4">
      <t>チョウセイ</t>
    </rPh>
    <rPh sb="5" eb="7">
      <t>ハンバイ</t>
    </rPh>
    <rPh sb="7" eb="9">
      <t>タントウ</t>
    </rPh>
    <rPh sb="10" eb="12">
      <t>ドウイツ</t>
    </rPh>
    <phoneticPr fontId="17"/>
  </si>
  <si>
    <t>工調_会社名</t>
    <rPh sb="1" eb="2">
      <t>チョウ</t>
    </rPh>
    <rPh sb="3" eb="6">
      <t>カイシャメイ</t>
    </rPh>
    <phoneticPr fontId="17"/>
  </si>
  <si>
    <t>工調_販売代理店コード</t>
    <rPh sb="3" eb="5">
      <t>ハンバイ</t>
    </rPh>
    <rPh sb="5" eb="8">
      <t>ダイリテン</t>
    </rPh>
    <phoneticPr fontId="17"/>
  </si>
  <si>
    <t>工調_支店名</t>
    <rPh sb="3" eb="6">
      <t>シテンメイ</t>
    </rPh>
    <phoneticPr fontId="17"/>
  </si>
  <si>
    <t>工調_支店所在地</t>
    <rPh sb="3" eb="5">
      <t>シテン</t>
    </rPh>
    <rPh sb="5" eb="8">
      <t>ショザイチ</t>
    </rPh>
    <phoneticPr fontId="17"/>
  </si>
  <si>
    <t>工調_部・部門・担当者</t>
    <rPh sb="3" eb="4">
      <t>ブ</t>
    </rPh>
    <rPh sb="5" eb="7">
      <t>ブモン</t>
    </rPh>
    <rPh sb="8" eb="11">
      <t>タントウシャ</t>
    </rPh>
    <phoneticPr fontId="17"/>
  </si>
  <si>
    <t>工事担当者</t>
    <rPh sb="0" eb="2">
      <t>コウジ</t>
    </rPh>
    <rPh sb="2" eb="5">
      <t>タントウシャ</t>
    </rPh>
    <phoneticPr fontId="17"/>
  </si>
  <si>
    <t>工調_社員コード</t>
    <rPh sb="0" eb="1">
      <t>コウ</t>
    </rPh>
    <rPh sb="1" eb="2">
      <t>チョウ</t>
    </rPh>
    <rPh sb="3" eb="5">
      <t>シャイン</t>
    </rPh>
    <phoneticPr fontId="17"/>
  </si>
  <si>
    <t>工調_電話番号</t>
    <rPh sb="0" eb="1">
      <t>コウ</t>
    </rPh>
    <rPh sb="1" eb="2">
      <t>チョウ</t>
    </rPh>
    <rPh sb="3" eb="5">
      <t>デンワ</t>
    </rPh>
    <rPh sb="5" eb="7">
      <t>バンゴウ</t>
    </rPh>
    <phoneticPr fontId="17"/>
  </si>
  <si>
    <t>工調_メールアドレス</t>
    <rPh sb="0" eb="1">
      <t>コウ</t>
    </rPh>
    <rPh sb="1" eb="2">
      <t>チョウ</t>
    </rPh>
    <phoneticPr fontId="17"/>
  </si>
  <si>
    <t>工事調整_同一チェック</t>
    <rPh sb="0" eb="2">
      <t>コウジ</t>
    </rPh>
    <rPh sb="2" eb="4">
      <t>チョウセイ</t>
    </rPh>
    <rPh sb="5" eb="7">
      <t>ドウイツ</t>
    </rPh>
    <phoneticPr fontId="17"/>
  </si>
  <si>
    <t>設担_会社名</t>
    <rPh sb="0" eb="1">
      <t>セツ</t>
    </rPh>
    <rPh sb="1" eb="2">
      <t>タン</t>
    </rPh>
    <rPh sb="3" eb="6">
      <t>カイシャメイ</t>
    </rPh>
    <phoneticPr fontId="17"/>
  </si>
  <si>
    <t>設担_販売代理店コード</t>
    <rPh sb="3" eb="5">
      <t>ハンバイ</t>
    </rPh>
    <rPh sb="5" eb="8">
      <t>ダイリテン</t>
    </rPh>
    <phoneticPr fontId="17"/>
  </si>
  <si>
    <t>設担_支店名</t>
    <rPh sb="3" eb="6">
      <t>シテンメイ</t>
    </rPh>
    <phoneticPr fontId="17"/>
  </si>
  <si>
    <t>設担_支店所在地</t>
    <rPh sb="3" eb="5">
      <t>シテン</t>
    </rPh>
    <rPh sb="5" eb="8">
      <t>ショザイチ</t>
    </rPh>
    <phoneticPr fontId="17"/>
  </si>
  <si>
    <t>設担_部・部門・担当者</t>
    <rPh sb="3" eb="4">
      <t>ブ</t>
    </rPh>
    <rPh sb="5" eb="7">
      <t>ブモン</t>
    </rPh>
    <rPh sb="8" eb="11">
      <t>タントウシャ</t>
    </rPh>
    <phoneticPr fontId="17"/>
  </si>
  <si>
    <t>設計担当者</t>
    <rPh sb="0" eb="2">
      <t>セッケイ</t>
    </rPh>
    <rPh sb="2" eb="5">
      <t>タントウシャ</t>
    </rPh>
    <phoneticPr fontId="17"/>
  </si>
  <si>
    <t>設担_社員コード</t>
    <rPh sb="0" eb="1">
      <t>セツ</t>
    </rPh>
    <rPh sb="1" eb="2">
      <t>タン</t>
    </rPh>
    <rPh sb="3" eb="5">
      <t>シャイン</t>
    </rPh>
    <phoneticPr fontId="17"/>
  </si>
  <si>
    <t>設担_電話番号</t>
    <rPh sb="0" eb="1">
      <t>セツ</t>
    </rPh>
    <rPh sb="1" eb="2">
      <t>タン</t>
    </rPh>
    <rPh sb="3" eb="5">
      <t>デンワ</t>
    </rPh>
    <rPh sb="5" eb="7">
      <t>バンゴウ</t>
    </rPh>
    <phoneticPr fontId="17"/>
  </si>
  <si>
    <t>設担_メールアドレス</t>
    <rPh sb="0" eb="1">
      <t>セツ</t>
    </rPh>
    <rPh sb="1" eb="2">
      <t>タン</t>
    </rPh>
    <phoneticPr fontId="17"/>
  </si>
  <si>
    <t>申込内容_同一チェック</t>
    <rPh sb="0" eb="4">
      <t>モウシコミナイヨウ</t>
    </rPh>
    <phoneticPr fontId="22"/>
  </si>
  <si>
    <t>確担_会社名</t>
    <rPh sb="0" eb="1">
      <t>アキラ</t>
    </rPh>
    <rPh sb="1" eb="2">
      <t>タン</t>
    </rPh>
    <rPh sb="3" eb="6">
      <t>カイシャメイ</t>
    </rPh>
    <phoneticPr fontId="17"/>
  </si>
  <si>
    <t>確担_販売代理店コード</t>
    <rPh sb="3" eb="5">
      <t>ハンバイ</t>
    </rPh>
    <rPh sb="5" eb="8">
      <t>ダイリテン</t>
    </rPh>
    <phoneticPr fontId="17"/>
  </si>
  <si>
    <t>確担_支店名</t>
    <rPh sb="3" eb="6">
      <t>シテンメイ</t>
    </rPh>
    <phoneticPr fontId="17"/>
  </si>
  <si>
    <t>確担_支店所在地</t>
    <rPh sb="3" eb="5">
      <t>シテン</t>
    </rPh>
    <rPh sb="5" eb="8">
      <t>ショザイチ</t>
    </rPh>
    <phoneticPr fontId="17"/>
  </si>
  <si>
    <t>確担_部・部門・担当者</t>
    <rPh sb="3" eb="4">
      <t>ブ</t>
    </rPh>
    <rPh sb="5" eb="7">
      <t>ブモン</t>
    </rPh>
    <rPh sb="8" eb="11">
      <t>タントウシャ</t>
    </rPh>
    <phoneticPr fontId="17"/>
  </si>
  <si>
    <t>確認担当者</t>
    <rPh sb="0" eb="2">
      <t>カクニン</t>
    </rPh>
    <rPh sb="2" eb="5">
      <t>タントウシャ</t>
    </rPh>
    <phoneticPr fontId="17"/>
  </si>
  <si>
    <t>確担_社員コード</t>
    <rPh sb="0" eb="1">
      <t>アキラ</t>
    </rPh>
    <rPh sb="1" eb="2">
      <t>タン</t>
    </rPh>
    <rPh sb="3" eb="5">
      <t>シャイン</t>
    </rPh>
    <phoneticPr fontId="17"/>
  </si>
  <si>
    <t>確担_電話番号</t>
    <rPh sb="0" eb="1">
      <t>アキラ</t>
    </rPh>
    <rPh sb="1" eb="2">
      <t>タン</t>
    </rPh>
    <rPh sb="3" eb="5">
      <t>デンワ</t>
    </rPh>
    <rPh sb="5" eb="7">
      <t>バンゴウ</t>
    </rPh>
    <phoneticPr fontId="17"/>
  </si>
  <si>
    <t>確担_メールアドレス</t>
    <rPh sb="0" eb="1">
      <t>アキラ</t>
    </rPh>
    <rPh sb="1" eb="2">
      <t>タン</t>
    </rPh>
    <phoneticPr fontId="17"/>
  </si>
  <si>
    <t>H39</t>
    <phoneticPr fontId="18"/>
  </si>
  <si>
    <t>W39</t>
    <phoneticPr fontId="18"/>
  </si>
  <si>
    <t>A1</t>
    <phoneticPr fontId="22"/>
  </si>
  <si>
    <t>J41</t>
    <phoneticPr fontId="22"/>
  </si>
  <si>
    <t>O41</t>
    <phoneticPr fontId="22"/>
  </si>
  <si>
    <t>T41</t>
    <phoneticPr fontId="22"/>
  </si>
  <si>
    <t>H43</t>
    <phoneticPr fontId="22"/>
  </si>
  <si>
    <t>I44</t>
    <phoneticPr fontId="22"/>
  </si>
  <si>
    <t>M44</t>
    <phoneticPr fontId="22"/>
  </si>
  <si>
    <t>K45</t>
    <phoneticPr fontId="18"/>
  </si>
  <si>
    <t>T45</t>
    <phoneticPr fontId="22"/>
  </si>
  <si>
    <t>AE45</t>
    <phoneticPr fontId="22"/>
  </si>
  <si>
    <t>T47</t>
    <phoneticPr fontId="22"/>
  </si>
  <si>
    <t>H48</t>
    <phoneticPr fontId="22"/>
  </si>
  <si>
    <t>Y48</t>
    <phoneticPr fontId="22"/>
  </si>
  <si>
    <t>I49</t>
    <phoneticPr fontId="22"/>
  </si>
  <si>
    <t>M49</t>
    <phoneticPr fontId="22"/>
  </si>
  <si>
    <t>K50</t>
    <phoneticPr fontId="22"/>
  </si>
  <si>
    <t>T50</t>
    <phoneticPr fontId="22"/>
  </si>
  <si>
    <t>AE50</t>
    <phoneticPr fontId="22"/>
  </si>
  <si>
    <t>T52</t>
    <phoneticPr fontId="22"/>
  </si>
  <si>
    <t>H52</t>
    <phoneticPr fontId="18"/>
  </si>
  <si>
    <t>N53</t>
    <phoneticPr fontId="22"/>
  </si>
  <si>
    <t>AL53</t>
    <phoneticPr fontId="22"/>
  </si>
  <si>
    <t>AI54</t>
    <phoneticPr fontId="22"/>
  </si>
  <si>
    <t>O57</t>
    <phoneticPr fontId="22"/>
  </si>
  <si>
    <t>S57</t>
    <phoneticPr fontId="22"/>
  </si>
  <si>
    <t>X57</t>
    <phoneticPr fontId="22"/>
  </si>
  <si>
    <t>AJ57</t>
    <phoneticPr fontId="22"/>
  </si>
  <si>
    <t>AN57</t>
    <phoneticPr fontId="18"/>
  </si>
  <si>
    <t>AS57</t>
    <phoneticPr fontId="22"/>
  </si>
  <si>
    <t>Z65</t>
    <phoneticPr fontId="18"/>
  </si>
  <si>
    <t>AJ65</t>
    <phoneticPr fontId="22"/>
  </si>
  <si>
    <t>Z66</t>
    <phoneticPr fontId="18"/>
  </si>
  <si>
    <t>H67</t>
    <phoneticPr fontId="22"/>
  </si>
  <si>
    <t>AL71</t>
    <phoneticPr fontId="18"/>
  </si>
  <si>
    <t>AL72</t>
    <phoneticPr fontId="18"/>
  </si>
  <si>
    <t>AL73</t>
    <phoneticPr fontId="22"/>
  </si>
  <si>
    <t>L74</t>
    <phoneticPr fontId="18"/>
  </si>
  <si>
    <t>AL74</t>
    <phoneticPr fontId="22"/>
  </si>
  <si>
    <t>L75</t>
    <phoneticPr fontId="22"/>
  </si>
  <si>
    <t>L76</t>
    <phoneticPr fontId="22"/>
  </si>
  <si>
    <t>B80</t>
    <phoneticPr fontId="22"/>
  </si>
  <si>
    <t>L81</t>
    <phoneticPr fontId="18"/>
  </si>
  <si>
    <t>AL81</t>
    <phoneticPr fontId="22"/>
  </si>
  <si>
    <t>L82</t>
    <phoneticPr fontId="18"/>
  </si>
  <si>
    <t>AL82</t>
    <phoneticPr fontId="22"/>
  </si>
  <si>
    <t>L83</t>
    <phoneticPr fontId="22"/>
  </si>
  <si>
    <t>L84</t>
    <phoneticPr fontId="18"/>
  </si>
  <si>
    <t>AL84</t>
    <phoneticPr fontId="22"/>
  </si>
  <si>
    <t>L86</t>
    <phoneticPr fontId="22"/>
  </si>
  <si>
    <t>B90</t>
    <phoneticPr fontId="22"/>
  </si>
  <si>
    <t>L91</t>
    <phoneticPr fontId="18"/>
  </si>
  <si>
    <t>AL91</t>
    <phoneticPr fontId="22"/>
  </si>
  <si>
    <t>L92</t>
    <phoneticPr fontId="18"/>
  </si>
  <si>
    <t>AL92</t>
    <phoneticPr fontId="22"/>
  </si>
  <si>
    <t>L93</t>
    <phoneticPr fontId="22"/>
  </si>
  <si>
    <t>AL94</t>
    <phoneticPr fontId="22"/>
  </si>
  <si>
    <t>L96</t>
    <phoneticPr fontId="18"/>
  </si>
  <si>
    <t>B100</t>
    <phoneticPr fontId="18"/>
  </si>
  <si>
    <t>L101</t>
    <phoneticPr fontId="18"/>
  </si>
  <si>
    <t>AL101</t>
    <phoneticPr fontId="18"/>
  </si>
  <si>
    <t>L102</t>
    <phoneticPr fontId="18"/>
  </si>
  <si>
    <t>AL102</t>
    <phoneticPr fontId="18"/>
  </si>
  <si>
    <t>L103</t>
    <phoneticPr fontId="18"/>
  </si>
  <si>
    <t>L104</t>
    <phoneticPr fontId="18"/>
  </si>
  <si>
    <t>AL104</t>
    <phoneticPr fontId="18"/>
  </si>
  <si>
    <t>L105</t>
    <phoneticPr fontId="18"/>
  </si>
  <si>
    <t>L106</t>
    <phoneticPr fontId="18"/>
  </si>
  <si>
    <t>A1</t>
    <phoneticPr fontId="18"/>
  </si>
  <si>
    <t>HP閲覧数追加オプション</t>
    <phoneticPr fontId="17"/>
  </si>
  <si>
    <t>HP閲覧数追加_台数</t>
    <phoneticPr fontId="17"/>
  </si>
  <si>
    <t>AD39</t>
    <phoneticPr fontId="18"/>
  </si>
  <si>
    <t>AR39</t>
    <phoneticPr fontId="18"/>
  </si>
  <si>
    <r>
      <t>■　機器配送希望日は、</t>
    </r>
    <r>
      <rPr>
        <sz val="9"/>
        <color rgb="FFFF0000"/>
        <rFont val="HGP創英角ｺﾞｼｯｸUB"/>
        <family val="3"/>
        <charset val="128"/>
      </rPr>
      <t>6営業日以降</t>
    </r>
    <r>
      <rPr>
        <sz val="9"/>
        <rFont val="HGP創英角ｺﾞｼｯｸUB"/>
        <family val="3"/>
        <charset val="128"/>
      </rPr>
      <t>で記載してください。
加えて、工事を依頼する場合は、工事日の</t>
    </r>
    <r>
      <rPr>
        <sz val="9"/>
        <color rgb="FFFF0000"/>
        <rFont val="HGP創英角ｺﾞｼｯｸUB"/>
        <family val="3"/>
        <charset val="128"/>
      </rPr>
      <t>2営業日以上前</t>
    </r>
    <r>
      <rPr>
        <sz val="9"/>
        <rFont val="HGP創英角ｺﾞｼｯｸUB"/>
        <family val="3"/>
        <charset val="128"/>
      </rPr>
      <t>の日付を機器配送希望日として、指定すること。
　※配送先が長野・北海道・NTT西日本事業エリアの本州・四国は</t>
    </r>
    <r>
      <rPr>
        <sz val="9"/>
        <color rgb="FFFF0000"/>
        <rFont val="HGP創英角ｺﾞｼｯｸUB"/>
        <family val="3"/>
        <charset val="128"/>
      </rPr>
      <t>＋１営業日、</t>
    </r>
    <r>
      <rPr>
        <sz val="9"/>
        <rFont val="HGP創英角ｺﾞｼｯｸUB"/>
        <family val="3"/>
        <charset val="128"/>
      </rPr>
      <t>九州は</t>
    </r>
    <r>
      <rPr>
        <sz val="9"/>
        <color rgb="FFFF0000"/>
        <rFont val="HGP創英角ｺﾞｼｯｸUB"/>
        <family val="3"/>
        <charset val="128"/>
      </rPr>
      <t>＋２営業日以上</t>
    </r>
    <r>
      <rPr>
        <sz val="9"/>
        <rFont val="HGP創英角ｺﾞｼｯｸUB"/>
        <family val="3"/>
        <charset val="128"/>
      </rPr>
      <t>必要、
　　沖縄および島嶼部は</t>
    </r>
    <r>
      <rPr>
        <sz val="9"/>
        <color rgb="FFFF0000"/>
        <rFont val="HGP創英角ｺﾞｼｯｸUB"/>
        <family val="3"/>
        <charset val="128"/>
      </rPr>
      <t>＋６営業日程度　</t>
    </r>
    <r>
      <rPr>
        <sz val="9"/>
        <rFont val="HGP創英角ｺﾞｼｯｸUB"/>
        <family val="3"/>
        <charset val="128"/>
      </rPr>
      <t>必要です。
■　開通希望日は、機器配送希望日の</t>
    </r>
    <r>
      <rPr>
        <sz val="9"/>
        <color rgb="FFFF0000"/>
        <rFont val="HGP創英角ｺﾞｼｯｸUB"/>
        <family val="3"/>
        <charset val="128"/>
      </rPr>
      <t>2営業日以降</t>
    </r>
    <r>
      <rPr>
        <sz val="9"/>
        <rFont val="HGP創英角ｺﾞｼｯｸUB"/>
        <family val="3"/>
        <charset val="128"/>
      </rPr>
      <t>で記載してください。
　※工事を依頼する場合は、工事日の</t>
    </r>
    <r>
      <rPr>
        <sz val="9"/>
        <color rgb="FFFF0000"/>
        <rFont val="HGP創英角ｺﾞｼｯｸUB"/>
        <family val="3"/>
        <charset val="128"/>
      </rPr>
      <t>2営業日後</t>
    </r>
    <r>
      <rPr>
        <sz val="9"/>
        <rFont val="HGP創英角ｺﾞｼｯｸUB"/>
        <family val="3"/>
        <charset val="128"/>
      </rPr>
      <t>の日付を開通希望日として、記載ください。</t>
    </r>
    <rPh sb="144" eb="146">
      <t>テイド</t>
    </rPh>
    <phoneticPr fontId="22"/>
  </si>
  <si>
    <t>端末を大量発注（100台以上）する場合、『大口事前共有フォーマット』を送付する必要があります。
※通常の最短納期よりも開通納期が延びる為、注意が必要です。</t>
    <phoneticPr fontId="18"/>
  </si>
  <si>
    <t>端末100台以上の発注です。</t>
  </si>
  <si>
    <t>『大口事前共有フォーマット』を</t>
  </si>
  <si>
    <t>送付しましたか？</t>
  </si>
  <si>
    <t>送付していない場合、必ず</t>
  </si>
  <si>
    <t>申込前に送付を行ってください。</t>
  </si>
  <si>
    <t>送付が済んでいる場合、以下</t>
  </si>
  <si>
    <t>文言を記事欄に記載してください。</t>
  </si>
  <si>
    <t>・m/d　大口事前共有フォーマット提出済</t>
  </si>
  <si>
    <t>※申込書をメールに添付する際はお客様情報保護運用の観点から
　必ずパスワード付きZIPで圧縮（共通PW「0039」）し送付を
　お願いいたします。</t>
    <phoneticPr fontId="18"/>
  </si>
  <si>
    <t>order-cloud-camera@west.ntt.co.jp</t>
    <phoneticPr fontId="22"/>
  </si>
  <si>
    <t>私は「クラウド型カメラとれ～る利用規約(https://www.ntt-west.co.jp/smb/plan/camera_toreru/pdf/terms_toreru_2105.pdf）」を 
確認・承諾のうえ、サービス契約（新規）を申し込みます。</t>
    <phoneticPr fontId="18"/>
  </si>
  <si>
    <r>
      <t>■　機器配送希望日は、</t>
    </r>
    <r>
      <rPr>
        <sz val="9"/>
        <color rgb="FFFF0000"/>
        <rFont val="HGP創英角ｺﾞｼｯｸUB"/>
        <family val="3"/>
        <charset val="128"/>
      </rPr>
      <t>6営業日以降</t>
    </r>
    <r>
      <rPr>
        <sz val="9"/>
        <rFont val="HGP創英角ｺﾞｼｯｸUB"/>
        <family val="3"/>
        <charset val="128"/>
      </rPr>
      <t>で記載してください。
加えて、工事を依頼する場合は、工事日の</t>
    </r>
    <r>
      <rPr>
        <sz val="9"/>
        <color rgb="FFFF0000"/>
        <rFont val="HGP創英角ｺﾞｼｯｸUB"/>
        <family val="3"/>
        <charset val="128"/>
      </rPr>
      <t>2営業日以上前</t>
    </r>
    <r>
      <rPr>
        <sz val="9"/>
        <rFont val="HGP創英角ｺﾞｼｯｸUB"/>
        <family val="3"/>
        <charset val="128"/>
      </rPr>
      <t>の日付を機器配送希望日として、指定すること。
　※配送先が長野・北海道・NTT西日本事業エリアの本州・四国は</t>
    </r>
    <r>
      <rPr>
        <sz val="9"/>
        <color rgb="FFFF0000"/>
        <rFont val="HGP創英角ｺﾞｼｯｸUB"/>
        <family val="3"/>
        <charset val="128"/>
      </rPr>
      <t>＋１営業日、</t>
    </r>
    <r>
      <rPr>
        <sz val="9"/>
        <rFont val="HGP創英角ｺﾞｼｯｸUB"/>
        <family val="3"/>
        <charset val="128"/>
      </rPr>
      <t>九州は</t>
    </r>
    <r>
      <rPr>
        <sz val="9"/>
        <color rgb="FFFF0000"/>
        <rFont val="HGP創英角ｺﾞｼｯｸUB"/>
        <family val="3"/>
        <charset val="128"/>
      </rPr>
      <t>＋２営業日以上</t>
    </r>
    <r>
      <rPr>
        <sz val="9"/>
        <rFont val="HGP創英角ｺﾞｼｯｸUB"/>
        <family val="3"/>
        <charset val="128"/>
      </rPr>
      <t>必要、
　　沖縄および島嶼部は</t>
    </r>
    <r>
      <rPr>
        <sz val="9"/>
        <color rgb="FFFF0000"/>
        <rFont val="HGP創英角ｺﾞｼｯｸUB"/>
        <family val="3"/>
        <charset val="128"/>
      </rPr>
      <t>＋６営業日程度　</t>
    </r>
    <r>
      <rPr>
        <sz val="9"/>
        <rFont val="HGP創英角ｺﾞｼｯｸUB"/>
        <family val="3"/>
        <charset val="128"/>
      </rPr>
      <t xml:space="preserve">
■　同一配送希望日で台数が合計100台以上のご注文がある場合（複数契約の申込も含む）、
　 機器配送希望日はN+12営業日以降となります。
　 開通希望日は100台以上の場合</t>
    </r>
    <r>
      <rPr>
        <sz val="9"/>
        <color rgb="FFFF0000"/>
        <rFont val="HGP創英角ｺﾞｼｯｸUB"/>
        <family val="3"/>
        <charset val="128"/>
      </rPr>
      <t>N+16営業日以降</t>
    </r>
    <r>
      <rPr>
        <sz val="9"/>
        <rFont val="HGP創英角ｺﾞｼｯｸUB"/>
        <family val="3"/>
        <charset val="128"/>
      </rPr>
      <t>、200台以上の場合</t>
    </r>
    <r>
      <rPr>
        <sz val="9"/>
        <color rgb="FFFF0000"/>
        <rFont val="HGP創英角ｺﾞｼｯｸUB"/>
        <family val="3"/>
        <charset val="128"/>
      </rPr>
      <t>N+21営業日以降</t>
    </r>
    <r>
      <rPr>
        <sz val="9"/>
        <rFont val="HGP創英角ｺﾞｼｯｸUB"/>
        <family val="3"/>
        <charset val="128"/>
      </rPr>
      <t>で記載してください。
■　開通希望日は、機器配送希望日の</t>
    </r>
    <r>
      <rPr>
        <sz val="9"/>
        <color rgb="FFFF0000"/>
        <rFont val="HGP創英角ｺﾞｼｯｸUB"/>
        <family val="3"/>
        <charset val="128"/>
      </rPr>
      <t>2営業日以降</t>
    </r>
    <r>
      <rPr>
        <sz val="9"/>
        <rFont val="HGP創英角ｺﾞｼｯｸUB"/>
        <family val="3"/>
        <charset val="128"/>
      </rPr>
      <t>で記載してください。
　※工事を依頼する場合は、工事日の</t>
    </r>
    <r>
      <rPr>
        <sz val="9"/>
        <color rgb="FFFF0000"/>
        <rFont val="HGP創英角ｺﾞｼｯｸUB"/>
        <family val="3"/>
        <charset val="128"/>
      </rPr>
      <t>2営業日後</t>
    </r>
    <r>
      <rPr>
        <sz val="9"/>
        <rFont val="HGP創英角ｺﾞｼｯｸUB"/>
        <family val="3"/>
        <charset val="128"/>
      </rPr>
      <t>の日付を開通希望日として、記載ください。</t>
    </r>
    <rPh sb="144" eb="146">
      <t>テイド</t>
    </rPh>
    <phoneticPr fontId="22"/>
  </si>
  <si>
    <t>NCC</t>
    <phoneticPr fontId="22"/>
  </si>
  <si>
    <t>Ver.3.50</t>
    <phoneticPr fontId="18"/>
  </si>
  <si>
    <t>(2023.9.27～)</t>
    <phoneticPr fontId="18"/>
  </si>
  <si>
    <t>株式会社CENE</t>
    <phoneticPr fontId="18"/>
  </si>
  <si>
    <t>カブシキガイシャセネ</t>
    <phoneticPr fontId="18"/>
  </si>
  <si>
    <t>150</t>
    <phoneticPr fontId="18"/>
  </si>
  <si>
    <t>0001</t>
    <phoneticPr fontId="18"/>
  </si>
  <si>
    <t>渋谷区</t>
    <rPh sb="0" eb="3">
      <t>シブヤク</t>
    </rPh>
    <phoneticPr fontId="18"/>
  </si>
  <si>
    <t>神宮前1丁目10−34　</t>
    <phoneticPr fontId="18"/>
  </si>
  <si>
    <t>原宿セントラルプレイス2F</t>
    <phoneticPr fontId="18"/>
  </si>
  <si>
    <t>シブヤクジングウマエイッチョウメ</t>
    <phoneticPr fontId="18"/>
  </si>
  <si>
    <t>■</t>
  </si>
  <si>
    <t>本社</t>
    <rPh sb="0" eb="2">
      <t>ホンシャ</t>
    </rPh>
    <phoneticPr fontId="18"/>
  </si>
  <si>
    <t>平井　聡</t>
    <phoneticPr fontId="18"/>
  </si>
  <si>
    <t>東京都</t>
    <phoneticPr fontId="18"/>
  </si>
  <si>
    <t>渋谷区</t>
    <phoneticPr fontId="18"/>
  </si>
  <si>
    <t>ヒライ　サトシ</t>
    <phoneticPr fontId="18"/>
  </si>
  <si>
    <t>03</t>
    <phoneticPr fontId="18"/>
  </si>
  <si>
    <t>5456</t>
    <phoneticPr fontId="18"/>
  </si>
  <si>
    <t>5978</t>
    <phoneticPr fontId="18"/>
  </si>
  <si>
    <t>080</t>
    <phoneticPr fontId="18"/>
  </si>
  <si>
    <t>4184</t>
    <phoneticPr fontId="18"/>
  </si>
  <si>
    <t>9715</t>
    <phoneticPr fontId="18"/>
  </si>
  <si>
    <t>s-hirai</t>
    <phoneticPr fontId="18"/>
  </si>
  <si>
    <t>cene.jp</t>
    <phoneticPr fontId="18"/>
  </si>
  <si>
    <t>450</t>
    <phoneticPr fontId="18"/>
  </si>
  <si>
    <t>0002</t>
    <phoneticPr fontId="18"/>
  </si>
  <si>
    <t>名古屋市中村区</t>
    <rPh sb="0" eb="4">
      <t>ナゴヤシ</t>
    </rPh>
    <rPh sb="4" eb="7">
      <t>ナカムラク</t>
    </rPh>
    <phoneticPr fontId="18"/>
  </si>
  <si>
    <t>ナゴヤシナカムラクメイエキイッチョウメ</t>
    <phoneticPr fontId="18"/>
  </si>
  <si>
    <t>名駅1丁目１－３　タカシマヤゲートタワーモール5階</t>
    <rPh sb="24" eb="25">
      <t>カイ</t>
    </rPh>
    <phoneticPr fontId="18"/>
  </si>
  <si>
    <t>460</t>
    <phoneticPr fontId="18"/>
  </si>
  <si>
    <t>0004</t>
    <phoneticPr fontId="18"/>
  </si>
  <si>
    <t>名古屋市</t>
    <rPh sb="0" eb="4">
      <t>ナゴヤシ</t>
    </rPh>
    <phoneticPr fontId="18"/>
  </si>
  <si>
    <t>中区新栄町２－１０</t>
    <phoneticPr fontId="18"/>
  </si>
  <si>
    <t>ナゴヤシナカクシンサカエマチ</t>
    <phoneticPr fontId="18"/>
  </si>
  <si>
    <t>NTT西日本ビジネスフロント㈱</t>
    <rPh sb="3" eb="6">
      <t>ニシニホン</t>
    </rPh>
    <phoneticPr fontId="18"/>
  </si>
  <si>
    <t>江場　史康</t>
    <rPh sb="0" eb="2">
      <t>エバ</t>
    </rPh>
    <rPh sb="3" eb="5">
      <t>フミヤス</t>
    </rPh>
    <phoneticPr fontId="18"/>
  </si>
  <si>
    <t>エバ　フミヤス</t>
    <phoneticPr fontId="18"/>
  </si>
  <si>
    <t>052</t>
    <phoneticPr fontId="18"/>
  </si>
  <si>
    <t>387</t>
    <phoneticPr fontId="18"/>
  </si>
  <si>
    <t>6261</t>
    <phoneticPr fontId="18"/>
  </si>
  <si>
    <t>070</t>
    <phoneticPr fontId="18"/>
  </si>
  <si>
    <t>2901</t>
    <phoneticPr fontId="18"/>
  </si>
  <si>
    <t>1593</t>
    <phoneticPr fontId="18"/>
  </si>
  <si>
    <t>NTT西日本ビジネスフロント株式会社</t>
    <rPh sb="3" eb="6">
      <t>ニシニホン</t>
    </rPh>
    <rPh sb="14" eb="18">
      <t>カブシキカイシャ</t>
    </rPh>
    <phoneticPr fontId="22"/>
  </si>
  <si>
    <t>名古屋</t>
    <rPh sb="0" eb="3">
      <t>ナゴヤ</t>
    </rPh>
    <phoneticPr fontId="22"/>
  </si>
  <si>
    <t>名古屋中央</t>
    <rPh sb="0" eb="5">
      <t>ナゴヤチュウオウ</t>
    </rPh>
    <phoneticPr fontId="18"/>
  </si>
  <si>
    <t>052-387-6261</t>
    <phoneticPr fontId="18"/>
  </si>
  <si>
    <t>fumiyasu.eba.kv@west.ntt.co.jp</t>
    <phoneticPr fontId="18"/>
  </si>
  <si>
    <t>２９１００２００</t>
    <phoneticPr fontId="18"/>
  </si>
  <si>
    <t>名古屋</t>
    <rPh sb="0" eb="3">
      <t>ナゴヤ</t>
    </rPh>
    <phoneticPr fontId="18"/>
  </si>
  <si>
    <t>I</t>
    <phoneticPr fontId="18"/>
  </si>
  <si>
    <t>２２２８６７２</t>
    <phoneticPr fontId="18"/>
  </si>
  <si>
    <t>60日タイプ</t>
  </si>
  <si>
    <t>NTT西日本ビジネスフロント株式会社</t>
    <phoneticPr fontId="18"/>
  </si>
  <si>
    <t>名古屋</t>
    <phoneticPr fontId="18"/>
  </si>
  <si>
    <t>名古屋中央</t>
    <phoneticPr fontId="18"/>
  </si>
  <si>
    <t>江場　史康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</si>
</sst>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 "/>
    <numFmt numFmtId="177" formatCode="h:mm;@"/>
    <numFmt numFmtId="178" formatCode="[&lt;=999]000;[&lt;=9999]000\-00;000\-0000"/>
    <numFmt numFmtId="179" formatCode="[&lt;=99999999]####\-####;\(00\)\ ####\-####"/>
    <numFmt numFmtId="180" formatCode="0_);[Red]\(0\)"/>
  </numFmts>
  <fonts count="89">
    <font>
      <sz val="9"/>
      <color theme="1"/>
      <name val="Meiryo UI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Meiryo UI"/>
      <family val="2"/>
      <charset val="128"/>
    </font>
    <font>
      <sz val="12"/>
      <name val="ＭＳ Ｐゴシック"/>
      <family val="3"/>
      <charset val="128"/>
    </font>
    <font>
      <sz val="12"/>
      <name val="ＭＳ ゴシック"/>
      <family val="3"/>
      <charset val="128"/>
    </font>
    <font>
      <sz val="9"/>
      <color theme="1"/>
      <name val="Meiryo UI"/>
      <family val="2"/>
      <charset val="128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9.9"/>
      <color rgb="FF333333"/>
      <name val="ＭＳ Ｐゴシック"/>
      <family val="3"/>
      <charset val="128"/>
    </font>
    <font>
      <sz val="11"/>
      <color rgb="FFFF0000"/>
      <name val="ＭＳ Ｐゴシック"/>
      <family val="2"/>
      <charset val="128"/>
      <scheme val="minor"/>
    </font>
    <font>
      <sz val="11"/>
      <color theme="1"/>
      <name val="HGP創英角ｺﾞｼｯｸUB"/>
      <family val="3"/>
      <charset val="128"/>
    </font>
    <font>
      <sz val="16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9"/>
      <name val="HGP創英角ｺﾞｼｯｸUB"/>
      <family val="3"/>
      <charset val="128"/>
    </font>
    <font>
      <b/>
      <sz val="16"/>
      <name val="HGP創英角ｺﾞｼｯｸUB"/>
      <family val="3"/>
      <charset val="128"/>
    </font>
    <font>
      <sz val="8"/>
      <name val="HGP創英角ｺﾞｼｯｸUB"/>
      <family val="3"/>
      <charset val="128"/>
    </font>
    <font>
      <sz val="14"/>
      <name val="HGP創英角ｺﾞｼｯｸUB"/>
      <family val="3"/>
      <charset val="128"/>
    </font>
    <font>
      <sz val="10"/>
      <name val="HGP創英角ｺﾞｼｯｸUB"/>
      <family val="3"/>
      <charset val="128"/>
    </font>
    <font>
      <sz val="11"/>
      <name val="HGP創英角ｺﾞｼｯｸUB"/>
      <family val="3"/>
      <charset val="128"/>
    </font>
    <font>
      <sz val="9"/>
      <color theme="1"/>
      <name val="HGP創英角ｺﾞｼｯｸUB"/>
      <family val="3"/>
      <charset val="128"/>
    </font>
    <font>
      <sz val="9"/>
      <color rgb="FFFF0000"/>
      <name val="HGP創英角ｺﾞｼｯｸUB"/>
      <family val="3"/>
      <charset val="128"/>
    </font>
    <font>
      <sz val="8"/>
      <color theme="1"/>
      <name val="HGP創英角ｺﾞｼｯｸUB"/>
      <family val="3"/>
      <charset val="128"/>
    </font>
    <font>
      <b/>
      <sz val="16"/>
      <color theme="1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b/>
      <sz val="14"/>
      <name val="ＭＳ Ｐゴシック"/>
      <family val="2"/>
      <charset val="128"/>
      <scheme val="minor"/>
    </font>
    <font>
      <b/>
      <sz val="10"/>
      <color rgb="FFFF0000"/>
      <name val="ＭＳ Ｐゴシック"/>
      <family val="3"/>
      <charset val="128"/>
      <scheme val="minor"/>
    </font>
    <font>
      <b/>
      <sz val="14"/>
      <name val="ＭＳ Ｐゴシック"/>
      <family val="3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6"/>
      <color theme="1"/>
      <name val="HGP創英角ｺﾞｼｯｸUB"/>
      <family val="3"/>
      <charset val="128"/>
    </font>
    <font>
      <b/>
      <sz val="8"/>
      <color theme="0"/>
      <name val="HGP創英角ｺﾞｼｯｸUB"/>
      <family val="3"/>
      <charset val="128"/>
    </font>
    <font>
      <sz val="8"/>
      <color rgb="FFFFFFFF"/>
      <name val="Meiryo UI"/>
      <family val="3"/>
      <charset val="128"/>
    </font>
    <font>
      <sz val="8"/>
      <color theme="1"/>
      <name val="Meiryo UI"/>
      <family val="3"/>
      <charset val="128"/>
    </font>
    <font>
      <sz val="8"/>
      <color theme="0"/>
      <name val="Meiryo UI"/>
      <family val="3"/>
      <charset val="128"/>
    </font>
    <font>
      <sz val="14"/>
      <color theme="1"/>
      <name val="HGP創英角ｺﾞｼｯｸUB"/>
      <family val="3"/>
      <charset val="128"/>
    </font>
    <font>
      <sz val="10"/>
      <color rgb="FF000000"/>
      <name val="HGPｺﾞｼｯｸE"/>
      <family val="3"/>
      <charset val="128"/>
    </font>
    <font>
      <sz val="8"/>
      <name val="ＭＳ Ｐゴシック"/>
      <family val="3"/>
      <charset val="128"/>
      <scheme val="minor"/>
    </font>
    <font>
      <sz val="9"/>
      <color theme="0"/>
      <name val="Meiryo UI"/>
      <family val="3"/>
      <charset val="128"/>
    </font>
    <font>
      <sz val="6"/>
      <name val="ＭＳ 明朝"/>
      <family val="2"/>
      <charset val="128"/>
    </font>
    <font>
      <sz val="11"/>
      <color rgb="FF000000"/>
      <name val="游ゴシック"/>
      <family val="3"/>
      <charset val="128"/>
    </font>
    <font>
      <b/>
      <sz val="11"/>
      <name val="Meiryo UI"/>
      <family val="3"/>
      <charset val="128"/>
    </font>
    <font>
      <sz val="9"/>
      <color rgb="FFFF0000"/>
      <name val="ＭＳ Ｐゴシック"/>
      <family val="2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u/>
      <sz val="9"/>
      <color theme="10"/>
      <name val="Meiryo UI"/>
      <family val="2"/>
      <charset val="128"/>
    </font>
    <font>
      <sz val="11"/>
      <color theme="0" tint="-4.9989318521683403E-2"/>
      <name val="HGP創英角ｺﾞｼｯｸUB"/>
      <family val="3"/>
      <charset val="128"/>
    </font>
    <font>
      <b/>
      <sz val="15"/>
      <color theme="3"/>
      <name val="ＭＳ Ｐゴシック"/>
      <family val="2"/>
      <charset val="128"/>
      <scheme val="minor"/>
    </font>
    <font>
      <sz val="16"/>
      <color rgb="FF000000"/>
      <name val="メイリオ"/>
      <family val="3"/>
      <charset val="128"/>
    </font>
    <font>
      <b/>
      <sz val="60"/>
      <color rgb="FFFF0000"/>
      <name val="HGP創英角ｺﾞｼｯｸUB"/>
      <family val="3"/>
      <charset val="128"/>
    </font>
    <font>
      <sz val="14"/>
      <color rgb="FFFF0000"/>
      <name val="HGP創英角ｺﾞｼｯｸUB"/>
      <family val="3"/>
      <charset val="128"/>
    </font>
    <font>
      <sz val="11"/>
      <color rgb="FFFF0000"/>
      <name val="HGP創英角ｺﾞｼｯｸUB"/>
      <family val="3"/>
      <charset val="128"/>
    </font>
    <font>
      <sz val="9"/>
      <color theme="1"/>
      <name val="メイリオ"/>
      <family val="3"/>
      <charset val="128"/>
    </font>
    <font>
      <sz val="9"/>
      <color rgb="FFFF0000"/>
      <name val="メイリオ"/>
      <family val="3"/>
      <charset val="128"/>
    </font>
    <font>
      <sz val="9"/>
      <name val="メイリオ"/>
      <family val="3"/>
      <charset val="128"/>
    </font>
    <font>
      <sz val="12"/>
      <color rgb="FFFF0000"/>
      <name val="HGP創英角ｺﾞｼｯｸUB"/>
      <family val="3"/>
      <charset val="128"/>
    </font>
    <font>
      <b/>
      <sz val="48"/>
      <color rgb="FFFF0000"/>
      <name val="HGP創英角ｺﾞｼｯｸUB"/>
      <family val="3"/>
      <charset val="128"/>
    </font>
    <font>
      <sz val="9"/>
      <color theme="0"/>
      <name val="メイリオ"/>
      <family val="3"/>
      <charset val="128"/>
    </font>
    <font>
      <b/>
      <sz val="9"/>
      <name val="メイリオ"/>
      <family val="3"/>
      <charset val="128"/>
    </font>
    <font>
      <b/>
      <sz val="10"/>
      <color indexed="10"/>
      <name val="Meiryo UI"/>
      <family val="3"/>
      <charset val="128"/>
    </font>
    <font>
      <b/>
      <sz val="10"/>
      <color indexed="39"/>
      <name val="Meiryo UI"/>
      <family val="3"/>
      <charset val="128"/>
    </font>
    <font>
      <sz val="11"/>
      <color rgb="FF0000FF"/>
      <name val="HGP創英角ｺﾞｼｯｸUB"/>
      <family val="3"/>
      <charset val="128"/>
    </font>
    <font>
      <sz val="9"/>
      <color rgb="FFFF0000"/>
      <name val="Meiryo UI"/>
      <family val="2"/>
      <charset val="128"/>
    </font>
    <font>
      <sz val="9"/>
      <color rgb="FFFF0000"/>
      <name val="Meiryo UI"/>
      <family val="3"/>
      <charset val="128"/>
    </font>
    <font>
      <u/>
      <sz val="11"/>
      <color theme="10"/>
      <name val="HGP創英角ｺﾞｼｯｸUB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9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34998626667073579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34998626667073579"/>
      </top>
      <bottom style="thin">
        <color theme="0" tint="-0.499984740745262"/>
      </bottom>
      <diagonal/>
    </border>
    <border>
      <left/>
      <right/>
      <top/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0" tint="-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/>
      <top/>
      <bottom style="thin">
        <color theme="1" tint="0.499984740745262"/>
      </bottom>
      <diagonal/>
    </border>
    <border>
      <left/>
      <right style="thin">
        <color theme="0" tint="-0.499984740745262"/>
      </right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1" tint="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0" tint="-0.499984740745262"/>
      </bottom>
      <diagonal/>
    </border>
    <border>
      <left/>
      <right/>
      <top style="thin">
        <color theme="1" tint="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1" tint="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/>
      </bottom>
      <diagonal/>
    </border>
    <border>
      <left style="thin">
        <color theme="1" tint="0.499984740745262"/>
      </left>
      <right/>
      <top style="thin">
        <color theme="0" tint="-0.499984740745262"/>
      </top>
      <bottom style="thin">
        <color theme="1" tint="0.499984740745262"/>
      </bottom>
      <diagonal/>
    </border>
    <border>
      <left/>
      <right style="thin">
        <color theme="0" tint="-0.499984740745262"/>
      </right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34998626667073579"/>
      </top>
      <bottom style="thin">
        <color theme="1" tint="0.499984740745262"/>
      </bottom>
      <diagonal/>
    </border>
    <border>
      <left/>
      <right/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1"/>
      </left>
      <right/>
      <top style="thin">
        <color theme="0" tint="-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499984740745262"/>
      </right>
      <top/>
      <bottom style="thin">
        <color theme="0" tint="-0.249977111117893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0" tint="-0.499984740745262"/>
      </right>
      <top style="thin">
        <color theme="1" tint="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indexed="64"/>
      </bottom>
      <diagonal/>
    </border>
    <border>
      <left/>
      <right style="thin">
        <color theme="1" tint="0.499984740745262"/>
      </right>
      <top/>
      <bottom style="thin">
        <color indexed="64"/>
      </bottom>
      <diagonal/>
    </border>
  </borders>
  <cellStyleXfs count="25">
    <xf numFmtId="0" fontId="0" fillId="0" borderId="0">
      <alignment vertical="center"/>
    </xf>
    <xf numFmtId="0" fontId="16" fillId="0" borderId="0"/>
    <xf numFmtId="0" fontId="16" fillId="0" borderId="0">
      <alignment vertical="center"/>
    </xf>
    <xf numFmtId="0" fontId="16" fillId="0" borderId="0">
      <alignment vertical="center"/>
    </xf>
    <xf numFmtId="0" fontId="21" fillId="0" borderId="0">
      <alignment vertical="center"/>
    </xf>
    <xf numFmtId="38" fontId="21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46" fillId="0" borderId="0">
      <alignment vertical="center"/>
    </xf>
    <xf numFmtId="0" fontId="21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1" fillId="0" borderId="0">
      <alignment vertical="center"/>
    </xf>
    <xf numFmtId="0" fontId="61" fillId="0" borderId="0"/>
    <xf numFmtId="0" fontId="10" fillId="0" borderId="0">
      <alignment vertical="center"/>
    </xf>
    <xf numFmtId="0" fontId="9" fillId="0" borderId="0">
      <alignment vertical="center"/>
    </xf>
    <xf numFmtId="0" fontId="69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" fillId="0" borderId="0">
      <alignment vertical="center"/>
    </xf>
  </cellStyleXfs>
  <cellXfs count="1091">
    <xf numFmtId="0" fontId="0" fillId="0" borderId="0" xfId="0">
      <alignment vertical="center"/>
    </xf>
    <xf numFmtId="0" fontId="0" fillId="4" borderId="14" xfId="0" applyFill="1" applyBorder="1" applyProtection="1">
      <alignment vertical="center"/>
      <protection locked="0"/>
    </xf>
    <xf numFmtId="0" fontId="0" fillId="0" borderId="14" xfId="0" applyBorder="1" applyProtection="1">
      <alignment vertical="center"/>
      <protection locked="0"/>
    </xf>
    <xf numFmtId="0" fontId="24" fillId="0" borderId="14" xfId="0" applyFont="1" applyBorder="1" applyAlignment="1" applyProtection="1">
      <alignment vertical="center" wrapText="1"/>
      <protection locked="0"/>
    </xf>
    <xf numFmtId="0" fontId="24" fillId="0" borderId="14" xfId="0" applyFont="1" applyFill="1" applyBorder="1" applyAlignment="1" applyProtection="1">
      <alignment vertical="center" wrapText="1"/>
      <protection locked="0"/>
    </xf>
    <xf numFmtId="0" fontId="26" fillId="2" borderId="0" xfId="8" applyFont="1" applyFill="1" applyProtection="1">
      <alignment vertical="center"/>
    </xf>
    <xf numFmtId="0" fontId="26" fillId="0" borderId="0" xfId="8" applyFont="1" applyProtection="1">
      <alignment vertical="center"/>
    </xf>
    <xf numFmtId="49" fontId="29" fillId="0" borderId="0" xfId="8" applyNumberFormat="1" applyFont="1" applyAlignment="1" applyProtection="1">
      <alignment vertical="center"/>
    </xf>
    <xf numFmtId="14" fontId="29" fillId="0" borderId="0" xfId="8" applyNumberFormat="1" applyFont="1" applyAlignment="1" applyProtection="1">
      <alignment vertical="center"/>
    </xf>
    <xf numFmtId="49" fontId="14" fillId="0" borderId="0" xfId="8" applyNumberFormat="1" applyProtection="1">
      <alignment vertical="center"/>
    </xf>
    <xf numFmtId="0" fontId="14" fillId="0" borderId="0" xfId="8" applyProtection="1">
      <alignment vertical="center"/>
    </xf>
    <xf numFmtId="14" fontId="26" fillId="0" borderId="0" xfId="8" applyNumberFormat="1" applyFont="1" applyProtection="1">
      <alignment vertical="center"/>
    </xf>
    <xf numFmtId="49" fontId="34" fillId="5" borderId="22" xfId="8" applyNumberFormat="1" applyFont="1" applyFill="1" applyBorder="1" applyAlignment="1" applyProtection="1">
      <alignment vertical="center" wrapText="1"/>
    </xf>
    <xf numFmtId="0" fontId="14" fillId="0" borderId="0" xfId="8" applyBorder="1" applyProtection="1">
      <alignment vertical="center"/>
    </xf>
    <xf numFmtId="0" fontId="26" fillId="0" borderId="0" xfId="8" applyFont="1" applyBorder="1" applyProtection="1">
      <alignment vertical="center"/>
    </xf>
    <xf numFmtId="14" fontId="14" fillId="0" borderId="0" xfId="8" applyNumberFormat="1" applyProtection="1">
      <alignment vertical="center"/>
    </xf>
    <xf numFmtId="14" fontId="26" fillId="0" borderId="0" xfId="8" applyNumberFormat="1" applyFont="1" applyBorder="1" applyProtection="1">
      <alignment vertical="center"/>
    </xf>
    <xf numFmtId="0" fontId="26" fillId="0" borderId="14" xfId="8" applyFont="1" applyBorder="1" applyProtection="1">
      <alignment vertical="center"/>
    </xf>
    <xf numFmtId="0" fontId="38" fillId="0" borderId="0" xfId="8" applyFont="1">
      <alignment vertical="center"/>
    </xf>
    <xf numFmtId="0" fontId="14" fillId="0" borderId="0" xfId="8">
      <alignment vertical="center"/>
    </xf>
    <xf numFmtId="0" fontId="39" fillId="2" borderId="0" xfId="8" applyFont="1" applyFill="1" applyBorder="1" applyAlignment="1">
      <alignment horizontal="center" vertical="center"/>
    </xf>
    <xf numFmtId="49" fontId="40" fillId="0" borderId="0" xfId="8" applyNumberFormat="1" applyFont="1" applyBorder="1" applyAlignment="1">
      <alignment horizontal="center" vertical="center"/>
    </xf>
    <xf numFmtId="0" fontId="40" fillId="0" borderId="0" xfId="8" applyFont="1">
      <alignment vertical="center"/>
    </xf>
    <xf numFmtId="0" fontId="41" fillId="5" borderId="14" xfId="8" applyFont="1" applyFill="1" applyBorder="1">
      <alignment vertical="center"/>
    </xf>
    <xf numFmtId="0" fontId="44" fillId="5" borderId="14" xfId="8" applyFont="1" applyFill="1" applyBorder="1" applyAlignment="1">
      <alignment horizontal="center" vertical="center"/>
    </xf>
    <xf numFmtId="0" fontId="44" fillId="8" borderId="14" xfId="8" applyFont="1" applyFill="1" applyBorder="1" applyAlignment="1">
      <alignment horizontal="center" vertical="center"/>
    </xf>
    <xf numFmtId="0" fontId="45" fillId="5" borderId="14" xfId="8" applyFont="1" applyFill="1" applyBorder="1" applyAlignment="1">
      <alignment horizontal="center" vertical="center"/>
    </xf>
    <xf numFmtId="0" fontId="48" fillId="0" borderId="0" xfId="8" applyFont="1">
      <alignment vertical="center"/>
    </xf>
    <xf numFmtId="0" fontId="14" fillId="3" borderId="18" xfId="8" applyFill="1" applyBorder="1" applyAlignment="1">
      <alignment horizontal="center" vertical="center"/>
    </xf>
    <xf numFmtId="0" fontId="14" fillId="3" borderId="14" xfId="8" applyFill="1" applyBorder="1" applyAlignment="1">
      <alignment horizontal="center" vertical="center"/>
    </xf>
    <xf numFmtId="0" fontId="14" fillId="3" borderId="9" xfId="8" applyFill="1" applyBorder="1" applyAlignment="1">
      <alignment horizontal="center" vertical="center"/>
    </xf>
    <xf numFmtId="0" fontId="14" fillId="0" borderId="14" xfId="8" applyBorder="1" applyAlignment="1">
      <alignment horizontal="center" vertical="center"/>
    </xf>
    <xf numFmtId="0" fontId="49" fillId="0" borderId="0" xfId="8" applyFont="1" applyAlignment="1">
      <alignment vertical="center" wrapText="1"/>
    </xf>
    <xf numFmtId="0" fontId="49" fillId="0" borderId="0" xfId="8" applyFont="1">
      <alignment vertical="center"/>
    </xf>
    <xf numFmtId="0" fontId="19" fillId="2" borderId="0" xfId="10" applyFont="1" applyFill="1" applyBorder="1" applyAlignment="1" applyProtection="1">
      <alignment vertical="center"/>
      <protection hidden="1"/>
    </xf>
    <xf numFmtId="0" fontId="20" fillId="2" borderId="0" xfId="10" applyFont="1" applyFill="1" applyBorder="1" applyAlignment="1" applyProtection="1"/>
    <xf numFmtId="0" fontId="20" fillId="2" borderId="0" xfId="10" applyFont="1" applyFill="1" applyBorder="1" applyAlignment="1" applyProtection="1">
      <alignment vertical="center"/>
    </xf>
    <xf numFmtId="0" fontId="20" fillId="0" borderId="0" xfId="10" applyFont="1" applyAlignment="1" applyProtection="1"/>
    <xf numFmtId="0" fontId="32" fillId="5" borderId="1" xfId="11" applyFont="1" applyFill="1" applyBorder="1" applyAlignment="1" applyProtection="1">
      <alignment vertical="center"/>
    </xf>
    <xf numFmtId="0" fontId="32" fillId="5" borderId="0" xfId="11" applyFont="1" applyFill="1" applyBorder="1" applyAlignment="1" applyProtection="1">
      <alignment vertical="center"/>
    </xf>
    <xf numFmtId="0" fontId="13" fillId="0" borderId="0" xfId="12">
      <alignment vertical="center"/>
    </xf>
    <xf numFmtId="0" fontId="13" fillId="0" borderId="0" xfId="12" applyAlignment="1">
      <alignment horizontal="center" vertical="center"/>
    </xf>
    <xf numFmtId="0" fontId="46" fillId="0" borderId="0" xfId="12" applyFont="1">
      <alignment vertical="center"/>
    </xf>
    <xf numFmtId="0" fontId="58" fillId="0" borderId="0" xfId="8" applyFont="1" applyFill="1">
      <alignment vertical="center"/>
    </xf>
    <xf numFmtId="0" fontId="58" fillId="0" borderId="0" xfId="8" applyFont="1" applyFill="1" applyAlignment="1">
      <alignment horizontal="left" vertical="center"/>
    </xf>
    <xf numFmtId="0" fontId="47" fillId="0" borderId="0" xfId="8" applyFont="1" applyFill="1">
      <alignment vertical="center"/>
    </xf>
    <xf numFmtId="0" fontId="47" fillId="0" borderId="0" xfId="12" applyFont="1" applyFill="1">
      <alignment vertical="center"/>
    </xf>
    <xf numFmtId="0" fontId="11" fillId="0" borderId="14" xfId="13" applyBorder="1">
      <alignment vertical="center"/>
    </xf>
    <xf numFmtId="0" fontId="11" fillId="0" borderId="17" xfId="13" applyBorder="1">
      <alignment vertical="center"/>
    </xf>
    <xf numFmtId="0" fontId="11" fillId="0" borderId="0" xfId="13">
      <alignment vertical="center"/>
    </xf>
    <xf numFmtId="0" fontId="59" fillId="18" borderId="18" xfId="13" applyFont="1" applyFill="1" applyBorder="1" applyAlignment="1">
      <alignment horizontal="center" vertical="center"/>
    </xf>
    <xf numFmtId="0" fontId="11" fillId="0" borderId="0" xfId="13" applyAlignment="1">
      <alignment horizontal="center" vertical="center"/>
    </xf>
    <xf numFmtId="0" fontId="63" fillId="21" borderId="14" xfId="13" applyFont="1" applyFill="1" applyBorder="1" applyAlignment="1">
      <alignment horizontal="center" vertical="center"/>
    </xf>
    <xf numFmtId="0" fontId="64" fillId="0" borderId="14" xfId="13" applyFont="1" applyFill="1" applyBorder="1" applyAlignment="1">
      <alignment horizontal="center" vertical="center"/>
    </xf>
    <xf numFmtId="0" fontId="65" fillId="21" borderId="15" xfId="14" applyFont="1" applyFill="1" applyBorder="1" applyAlignment="1">
      <alignment horizontal="center" vertical="center"/>
    </xf>
    <xf numFmtId="0" fontId="66" fillId="21" borderId="46" xfId="13" applyFont="1" applyFill="1" applyBorder="1" applyAlignment="1">
      <alignment horizontal="center" vertical="center" wrapText="1"/>
    </xf>
    <xf numFmtId="0" fontId="66" fillId="20" borderId="47" xfId="13" applyFont="1" applyFill="1" applyBorder="1" applyAlignment="1">
      <alignment horizontal="center" vertical="center" wrapText="1"/>
    </xf>
    <xf numFmtId="0" fontId="66" fillId="21" borderId="17" xfId="13" applyFont="1" applyFill="1" applyBorder="1" applyAlignment="1">
      <alignment horizontal="center" vertical="center" textRotation="255"/>
    </xf>
    <xf numFmtId="0" fontId="66" fillId="21" borderId="14" xfId="13" applyFont="1" applyFill="1" applyBorder="1" applyAlignment="1">
      <alignment horizontal="center" vertical="center" textRotation="255"/>
    </xf>
    <xf numFmtId="0" fontId="66" fillId="21" borderId="15" xfId="13" applyFont="1" applyFill="1" applyBorder="1" applyAlignment="1">
      <alignment horizontal="center" vertical="center" textRotation="255"/>
    </xf>
    <xf numFmtId="0" fontId="66" fillId="21" borderId="47" xfId="13" applyFont="1" applyFill="1" applyBorder="1" applyAlignment="1">
      <alignment horizontal="center" vertical="center" wrapText="1"/>
    </xf>
    <xf numFmtId="0" fontId="66" fillId="21" borderId="14" xfId="13" applyFont="1" applyFill="1" applyBorder="1" applyAlignment="1">
      <alignment horizontal="center" vertical="center" wrapText="1"/>
    </xf>
    <xf numFmtId="0" fontId="66" fillId="21" borderId="15" xfId="13" applyFont="1" applyFill="1" applyBorder="1" applyAlignment="1">
      <alignment horizontal="center" vertical="center" wrapText="1"/>
    </xf>
    <xf numFmtId="0" fontId="66" fillId="21" borderId="17" xfId="13" applyFont="1" applyFill="1" applyBorder="1" applyAlignment="1">
      <alignment horizontal="center" vertical="center" wrapText="1"/>
    </xf>
    <xf numFmtId="0" fontId="66" fillId="20" borderId="14" xfId="13" applyFont="1" applyFill="1" applyBorder="1" applyAlignment="1">
      <alignment horizontal="center" vertical="center" wrapText="1"/>
    </xf>
    <xf numFmtId="0" fontId="66" fillId="0" borderId="0" xfId="13" applyFont="1" applyAlignment="1">
      <alignment horizontal="center" vertical="center"/>
    </xf>
    <xf numFmtId="14" fontId="66" fillId="22" borderId="14" xfId="13" applyNumberFormat="1" applyFont="1" applyFill="1" applyBorder="1">
      <alignment vertical="center"/>
    </xf>
    <xf numFmtId="0" fontId="66" fillId="0" borderId="14" xfId="13" applyFont="1" applyFill="1" applyBorder="1" applyAlignment="1">
      <alignment horizontal="center" vertical="center" wrapText="1"/>
    </xf>
    <xf numFmtId="0" fontId="66" fillId="0" borderId="46" xfId="13" applyFont="1" applyFill="1" applyBorder="1" applyAlignment="1">
      <alignment horizontal="center" vertical="center" wrapText="1"/>
    </xf>
    <xf numFmtId="0" fontId="66" fillId="0" borderId="17" xfId="13" applyFont="1" applyFill="1" applyBorder="1">
      <alignment vertical="center"/>
    </xf>
    <xf numFmtId="0" fontId="66" fillId="0" borderId="15" xfId="13" applyFont="1" applyFill="1" applyBorder="1" applyAlignment="1">
      <alignment horizontal="center" vertical="center" wrapText="1"/>
    </xf>
    <xf numFmtId="0" fontId="66" fillId="0" borderId="47" xfId="13" applyFont="1" applyFill="1" applyBorder="1" applyAlignment="1">
      <alignment horizontal="center" vertical="center" wrapText="1"/>
    </xf>
    <xf numFmtId="0" fontId="66" fillId="0" borderId="17" xfId="13" applyFont="1" applyFill="1" applyBorder="1" applyAlignment="1">
      <alignment horizontal="center" vertical="center" wrapText="1"/>
    </xf>
    <xf numFmtId="0" fontId="11" fillId="0" borderId="0" xfId="13" applyAlignment="1">
      <alignment horizontal="center" vertical="center" wrapText="1"/>
    </xf>
    <xf numFmtId="0" fontId="11" fillId="0" borderId="0" xfId="13" applyAlignment="1">
      <alignment vertical="center" wrapText="1"/>
    </xf>
    <xf numFmtId="0" fontId="11" fillId="0" borderId="0" xfId="13" applyAlignment="1">
      <alignment vertical="center" textRotation="255"/>
    </xf>
    <xf numFmtId="0" fontId="62" fillId="19" borderId="15" xfId="14" applyFont="1" applyFill="1" applyBorder="1" applyAlignment="1">
      <alignment horizontal="center" vertical="center" wrapText="1"/>
    </xf>
    <xf numFmtId="0" fontId="11" fillId="0" borderId="46" xfId="13" applyBorder="1" applyAlignment="1">
      <alignment horizontal="center" vertical="center"/>
    </xf>
    <xf numFmtId="0" fontId="11" fillId="20" borderId="14" xfId="13" applyFill="1" applyBorder="1" applyAlignment="1">
      <alignment horizontal="center" vertical="top" textRotation="255"/>
    </xf>
    <xf numFmtId="0" fontId="11" fillId="0" borderId="47" xfId="13" applyBorder="1" applyAlignment="1">
      <alignment horizontal="center" vertical="center"/>
    </xf>
    <xf numFmtId="0" fontId="11" fillId="0" borderId="17" xfId="13" applyBorder="1" applyAlignment="1">
      <alignment horizontal="center" vertical="center"/>
    </xf>
    <xf numFmtId="0" fontId="46" fillId="6" borderId="14" xfId="13" applyFont="1" applyFill="1" applyBorder="1" applyAlignment="1">
      <alignment horizontal="center" vertical="center"/>
    </xf>
    <xf numFmtId="0" fontId="66" fillId="20" borderId="14" xfId="13" applyFont="1" applyFill="1" applyBorder="1" applyAlignment="1">
      <alignment horizontal="center" vertical="center" textRotation="255"/>
    </xf>
    <xf numFmtId="0" fontId="66" fillId="21" borderId="47" xfId="13" applyFont="1" applyFill="1" applyBorder="1" applyAlignment="1">
      <alignment horizontal="center" vertical="center" textRotation="255"/>
    </xf>
    <xf numFmtId="0" fontId="65" fillId="19" borderId="15" xfId="14" applyNumberFormat="1" applyFont="1" applyFill="1" applyBorder="1" applyAlignment="1">
      <alignment vertical="center"/>
    </xf>
    <xf numFmtId="0" fontId="66" fillId="0" borderId="14" xfId="13" applyFont="1" applyFill="1" applyBorder="1">
      <alignment vertical="center"/>
    </xf>
    <xf numFmtId="0" fontId="66" fillId="0" borderId="47" xfId="13" applyFont="1" applyFill="1" applyBorder="1">
      <alignment vertical="center"/>
    </xf>
    <xf numFmtId="0" fontId="66" fillId="0" borderId="0" xfId="13" applyFont="1">
      <alignment vertical="center"/>
    </xf>
    <xf numFmtId="0" fontId="62" fillId="19" borderId="14" xfId="14" applyFont="1" applyFill="1" applyBorder="1" applyAlignment="1">
      <alignment horizontal="center" vertical="center" wrapText="1"/>
    </xf>
    <xf numFmtId="0" fontId="65" fillId="21" borderId="14" xfId="14" applyFont="1" applyFill="1" applyBorder="1" applyAlignment="1">
      <alignment horizontal="center" vertical="center"/>
    </xf>
    <xf numFmtId="0" fontId="65" fillId="21" borderId="46" xfId="14" applyFont="1" applyFill="1" applyBorder="1" applyAlignment="1">
      <alignment horizontal="center" vertical="center"/>
    </xf>
    <xf numFmtId="0" fontId="65" fillId="21" borderId="47" xfId="14" applyFont="1" applyFill="1" applyBorder="1" applyAlignment="1">
      <alignment horizontal="center" vertical="center"/>
    </xf>
    <xf numFmtId="0" fontId="65" fillId="19" borderId="14" xfId="14" applyNumberFormat="1" applyFont="1" applyFill="1" applyBorder="1" applyAlignment="1">
      <alignment horizontal="center" vertical="center"/>
    </xf>
    <xf numFmtId="0" fontId="59" fillId="18" borderId="7" xfId="13" applyFont="1" applyFill="1" applyBorder="1" applyAlignment="1">
      <alignment horizontal="center" vertical="center"/>
    </xf>
    <xf numFmtId="0" fontId="64" fillId="0" borderId="15" xfId="13" applyFont="1" applyFill="1" applyBorder="1" applyAlignment="1">
      <alignment horizontal="center" vertical="center"/>
    </xf>
    <xf numFmtId="14" fontId="66" fillId="22" borderId="14" xfId="13" applyNumberFormat="1" applyFont="1" applyFill="1" applyBorder="1" applyAlignment="1">
      <alignment horizontal="center" vertical="center"/>
    </xf>
    <xf numFmtId="14" fontId="65" fillId="19" borderId="15" xfId="14" applyNumberFormat="1" applyFont="1" applyFill="1" applyBorder="1" applyAlignment="1">
      <alignment horizontal="center" vertical="center"/>
    </xf>
    <xf numFmtId="0" fontId="66" fillId="20" borderId="15" xfId="13" applyFont="1" applyFill="1" applyBorder="1" applyAlignment="1">
      <alignment horizontal="center" vertical="center"/>
    </xf>
    <xf numFmtId="0" fontId="66" fillId="0" borderId="46" xfId="13" applyFont="1" applyFill="1" applyBorder="1" applyAlignment="1">
      <alignment horizontal="center" vertical="center"/>
    </xf>
    <xf numFmtId="0" fontId="66" fillId="0" borderId="14" xfId="13" applyFont="1" applyFill="1" applyBorder="1" applyAlignment="1">
      <alignment horizontal="center" vertical="center"/>
    </xf>
    <xf numFmtId="0" fontId="66" fillId="0" borderId="47" xfId="13" applyFont="1" applyFill="1" applyBorder="1" applyAlignment="1">
      <alignment horizontal="center" vertical="center"/>
    </xf>
    <xf numFmtId="0" fontId="66" fillId="0" borderId="17" xfId="13" applyFont="1" applyFill="1" applyBorder="1" applyAlignment="1">
      <alignment horizontal="center" vertical="center"/>
    </xf>
    <xf numFmtId="0" fontId="66" fillId="0" borderId="0" xfId="13" applyFont="1" applyBorder="1" applyAlignment="1">
      <alignment horizontal="center" vertical="center"/>
    </xf>
    <xf numFmtId="0" fontId="25" fillId="0" borderId="5" xfId="8" applyFont="1" applyBorder="1" applyAlignment="1">
      <alignment vertical="center"/>
    </xf>
    <xf numFmtId="0" fontId="50" fillId="0" borderId="5" xfId="8" applyFont="1" applyBorder="1" applyAlignment="1">
      <alignment vertical="center"/>
    </xf>
    <xf numFmtId="0" fontId="25" fillId="0" borderId="0" xfId="16" applyFont="1">
      <alignment vertical="center"/>
    </xf>
    <xf numFmtId="0" fontId="66" fillId="20" borderId="14" xfId="13" applyFont="1" applyFill="1" applyBorder="1">
      <alignment vertical="center"/>
    </xf>
    <xf numFmtId="0" fontId="11" fillId="0" borderId="15" xfId="13" applyFill="1" applyBorder="1">
      <alignment vertical="center"/>
    </xf>
    <xf numFmtId="0" fontId="11" fillId="0" borderId="47" xfId="13" applyFill="1" applyBorder="1">
      <alignment vertical="center"/>
    </xf>
    <xf numFmtId="14" fontId="26" fillId="0" borderId="0" xfId="8" applyNumberFormat="1" applyFont="1" applyAlignment="1" applyProtection="1">
      <alignment vertical="center"/>
    </xf>
    <xf numFmtId="0" fontId="20" fillId="2" borderId="0" xfId="10" applyFont="1" applyFill="1" applyAlignment="1" applyProtection="1"/>
    <xf numFmtId="0" fontId="14" fillId="2" borderId="34" xfId="8" applyFill="1" applyBorder="1" applyAlignment="1" applyProtection="1">
      <alignment horizontal="center" vertical="center"/>
    </xf>
    <xf numFmtId="0" fontId="14" fillId="2" borderId="0" xfId="8" applyFill="1" applyBorder="1" applyAlignment="1" applyProtection="1">
      <alignment horizontal="center" vertical="center"/>
    </xf>
    <xf numFmtId="0" fontId="14" fillId="2" borderId="27" xfId="8" applyFill="1" applyBorder="1" applyAlignment="1" applyProtection="1">
      <alignment horizontal="center" vertical="center"/>
    </xf>
    <xf numFmtId="0" fontId="26" fillId="2" borderId="0" xfId="8" applyFont="1" applyFill="1" applyBorder="1" applyAlignment="1" applyProtection="1">
      <alignment horizontal="center" vertical="center"/>
    </xf>
    <xf numFmtId="0" fontId="14" fillId="0" borderId="0" xfId="8" applyAlignment="1">
      <alignment horizontal="center" vertical="center"/>
    </xf>
    <xf numFmtId="14" fontId="14" fillId="0" borderId="0" xfId="8" applyNumberFormat="1" applyAlignment="1" applyProtection="1">
      <alignment horizontal="center" vertical="center"/>
    </xf>
    <xf numFmtId="49" fontId="29" fillId="5" borderId="22" xfId="8" applyNumberFormat="1" applyFont="1" applyFill="1" applyBorder="1" applyAlignment="1" applyProtection="1">
      <alignment horizontal="center" vertical="center"/>
    </xf>
    <xf numFmtId="49" fontId="29" fillId="5" borderId="33" xfId="8" applyNumberFormat="1" applyFont="1" applyFill="1" applyBorder="1" applyAlignment="1" applyProtection="1">
      <alignment horizontal="center" vertical="center"/>
    </xf>
    <xf numFmtId="0" fontId="14" fillId="2" borderId="35" xfId="8" applyFill="1" applyBorder="1" applyAlignment="1" applyProtection="1">
      <alignment horizontal="center" vertical="center"/>
    </xf>
    <xf numFmtId="0" fontId="14" fillId="2" borderId="36" xfId="8" applyFill="1" applyBorder="1" applyAlignment="1" applyProtection="1">
      <alignment horizontal="center" vertical="center"/>
    </xf>
    <xf numFmtId="0" fontId="14" fillId="2" borderId="31" xfId="8" applyFill="1" applyBorder="1" applyAlignment="1" applyProtection="1">
      <alignment horizontal="center" vertical="center"/>
    </xf>
    <xf numFmtId="0" fontId="14" fillId="2" borderId="26" xfId="8" applyFill="1" applyBorder="1" applyAlignment="1" applyProtection="1">
      <alignment horizontal="center" vertical="center"/>
    </xf>
    <xf numFmtId="0" fontId="14" fillId="2" borderId="37" xfId="8" applyFill="1" applyBorder="1" applyAlignment="1" applyProtection="1">
      <alignment horizontal="center" vertical="center"/>
    </xf>
    <xf numFmtId="0" fontId="14" fillId="2" borderId="32" xfId="8" applyFill="1" applyBorder="1" applyAlignment="1" applyProtection="1">
      <alignment horizontal="center" vertical="center"/>
    </xf>
    <xf numFmtId="0" fontId="26" fillId="2" borderId="0" xfId="19" applyFont="1" applyFill="1" applyProtection="1">
      <alignment vertical="center"/>
    </xf>
    <xf numFmtId="0" fontId="52" fillId="2" borderId="0" xfId="19" applyFont="1" applyFill="1" applyProtection="1">
      <alignment vertical="center"/>
    </xf>
    <xf numFmtId="0" fontId="53" fillId="2" borderId="0" xfId="19" applyFont="1" applyFill="1" applyAlignment="1" applyProtection="1">
      <alignment horizontal="left" vertical="center"/>
    </xf>
    <xf numFmtId="0" fontId="54" fillId="2" borderId="0" xfId="19" applyFont="1" applyFill="1" applyProtection="1">
      <alignment vertical="center"/>
    </xf>
    <xf numFmtId="0" fontId="55" fillId="2" borderId="0" xfId="19" applyFont="1" applyFill="1" applyProtection="1">
      <alignment vertical="center"/>
    </xf>
    <xf numFmtId="0" fontId="34" fillId="0" borderId="0" xfId="19" applyFont="1" applyProtection="1">
      <alignment vertical="center"/>
    </xf>
    <xf numFmtId="0" fontId="26" fillId="2" borderId="4" xfId="19" applyFont="1" applyFill="1" applyBorder="1" applyProtection="1">
      <alignment vertical="center"/>
    </xf>
    <xf numFmtId="0" fontId="26" fillId="2" borderId="5" xfId="19" applyFont="1" applyFill="1" applyBorder="1" applyProtection="1">
      <alignment vertical="center"/>
    </xf>
    <xf numFmtId="0" fontId="27" fillId="2" borderId="5" xfId="19" applyNumberFormat="1" applyFont="1" applyFill="1" applyBorder="1" applyAlignment="1" applyProtection="1">
      <alignment horizontal="center" vertical="center" wrapText="1" shrinkToFit="1"/>
    </xf>
    <xf numFmtId="0" fontId="27" fillId="2" borderId="0" xfId="19" applyNumberFormat="1" applyFont="1" applyFill="1" applyBorder="1" applyAlignment="1" applyProtection="1">
      <alignment horizontal="center" vertical="center" wrapText="1" shrinkToFit="1"/>
    </xf>
    <xf numFmtId="0" fontId="28" fillId="2" borderId="0" xfId="19" applyNumberFormat="1" applyFont="1" applyFill="1" applyBorder="1" applyAlignment="1" applyProtection="1">
      <alignment horizontal="center" vertical="center" wrapText="1" shrinkToFit="1"/>
    </xf>
    <xf numFmtId="0" fontId="56" fillId="2" borderId="0" xfId="19" applyFont="1" applyFill="1" applyProtection="1">
      <alignment vertical="center"/>
    </xf>
    <xf numFmtId="0" fontId="32" fillId="0" borderId="0" xfId="19" applyFont="1" applyAlignment="1" applyProtection="1">
      <alignment vertical="center"/>
    </xf>
    <xf numFmtId="49" fontId="32" fillId="2" borderId="0" xfId="19" applyNumberFormat="1" applyFont="1" applyFill="1" applyBorder="1" applyAlignment="1" applyProtection="1">
      <alignment horizontal="center" vertical="center"/>
    </xf>
    <xf numFmtId="0" fontId="56" fillId="2" borderId="0" xfId="19" applyFont="1" applyFill="1" applyBorder="1" applyAlignment="1" applyProtection="1">
      <alignment horizontal="center" vertical="center" wrapText="1"/>
    </xf>
    <xf numFmtId="0" fontId="56" fillId="2" borderId="0" xfId="19" applyFont="1" applyFill="1" applyBorder="1" applyAlignment="1" applyProtection="1">
      <alignment horizontal="center" vertical="center"/>
    </xf>
    <xf numFmtId="0" fontId="34" fillId="0" borderId="0" xfId="19" applyFont="1" applyAlignment="1" applyProtection="1">
      <alignment vertical="center"/>
    </xf>
    <xf numFmtId="0" fontId="32" fillId="2" borderId="0" xfId="19" applyFont="1" applyFill="1" applyAlignment="1" applyProtection="1">
      <alignment vertical="center"/>
    </xf>
    <xf numFmtId="0" fontId="56" fillId="2" borderId="0" xfId="19" applyFont="1" applyFill="1" applyAlignment="1" applyProtection="1">
      <alignment vertical="center" wrapText="1"/>
    </xf>
    <xf numFmtId="0" fontId="7" fillId="0" borderId="14" xfId="20" applyBorder="1">
      <alignment vertical="center"/>
    </xf>
    <xf numFmtId="0" fontId="7" fillId="0" borderId="17" xfId="20" applyBorder="1">
      <alignment vertical="center"/>
    </xf>
    <xf numFmtId="0" fontId="7" fillId="0" borderId="0" xfId="20">
      <alignment vertical="center"/>
    </xf>
    <xf numFmtId="0" fontId="7" fillId="0" borderId="13" xfId="20" applyBorder="1" applyAlignment="1">
      <alignment horizontal="center" vertical="center"/>
    </xf>
    <xf numFmtId="0" fontId="7" fillId="0" borderId="4" xfId="20" applyBorder="1" applyAlignment="1">
      <alignment horizontal="center" vertical="center"/>
    </xf>
    <xf numFmtId="0" fontId="7" fillId="0" borderId="52" xfId="20" applyBorder="1" applyAlignment="1">
      <alignment horizontal="center" vertical="top" textRotation="255" shrinkToFit="1"/>
    </xf>
    <xf numFmtId="0" fontId="7" fillId="0" borderId="13" xfId="20" applyBorder="1" applyAlignment="1">
      <alignment horizontal="center" vertical="top" textRotation="255" shrinkToFit="1"/>
    </xf>
    <xf numFmtId="0" fontId="7" fillId="0" borderId="14" xfId="20" applyBorder="1" applyAlignment="1">
      <alignment horizontal="center" vertical="top" textRotation="255" shrinkToFit="1"/>
    </xf>
    <xf numFmtId="0" fontId="7" fillId="0" borderId="53" xfId="20" applyBorder="1" applyAlignment="1">
      <alignment horizontal="center" vertical="top" textRotation="255" shrinkToFit="1"/>
    </xf>
    <xf numFmtId="0" fontId="7" fillId="0" borderId="46" xfId="20" applyBorder="1" applyAlignment="1">
      <alignment horizontal="center" vertical="top" textRotation="255" shrinkToFit="1"/>
    </xf>
    <xf numFmtId="0" fontId="7" fillId="0" borderId="0" xfId="20" applyFont="1" applyBorder="1" applyAlignment="1">
      <alignment horizontal="center" vertical="top" textRotation="255"/>
    </xf>
    <xf numFmtId="0" fontId="7" fillId="0" borderId="47" xfId="20" applyBorder="1" applyAlignment="1">
      <alignment horizontal="center" vertical="top" textRotation="255" shrinkToFit="1"/>
    </xf>
    <xf numFmtId="0" fontId="7" fillId="0" borderId="47" xfId="20" applyFont="1" applyBorder="1" applyAlignment="1">
      <alignment horizontal="center" vertical="top" textRotation="255" shrinkToFit="1"/>
    </xf>
    <xf numFmtId="0" fontId="7" fillId="0" borderId="14" xfId="20" applyFont="1" applyBorder="1" applyAlignment="1">
      <alignment horizontal="center" vertical="top" textRotation="255" wrapText="1" shrinkToFit="1"/>
    </xf>
    <xf numFmtId="0" fontId="7" fillId="0" borderId="14" xfId="20" applyBorder="1" applyAlignment="1">
      <alignment horizontal="center" vertical="top" textRotation="255"/>
    </xf>
    <xf numFmtId="0" fontId="7" fillId="0" borderId="47" xfId="20" applyFont="1" applyBorder="1" applyAlignment="1">
      <alignment horizontal="center" vertical="top" textRotation="255"/>
    </xf>
    <xf numFmtId="0" fontId="7" fillId="0" borderId="0" xfId="20" applyAlignment="1">
      <alignment horizontal="center" vertical="center"/>
    </xf>
    <xf numFmtId="0" fontId="63" fillId="21" borderId="14" xfId="20" applyFont="1" applyFill="1" applyBorder="1" applyAlignment="1">
      <alignment horizontal="center" vertical="center"/>
    </xf>
    <xf numFmtId="0" fontId="64" fillId="0" borderId="14" xfId="21" applyFont="1" applyFill="1" applyBorder="1" applyAlignment="1">
      <alignment horizontal="center" vertical="center"/>
    </xf>
    <xf numFmtId="0" fontId="64" fillId="0" borderId="15" xfId="21" applyFont="1" applyFill="1" applyBorder="1" applyAlignment="1">
      <alignment horizontal="center" vertical="center"/>
    </xf>
    <xf numFmtId="0" fontId="66" fillId="0" borderId="0" xfId="20" applyFont="1" applyAlignment="1">
      <alignment horizontal="center" vertical="center"/>
    </xf>
    <xf numFmtId="0" fontId="66" fillId="0" borderId="14" xfId="21" applyFont="1" applyFill="1" applyBorder="1" applyAlignment="1">
      <alignment horizontal="center" vertical="center" wrapText="1"/>
    </xf>
    <xf numFmtId="0" fontId="66" fillId="0" borderId="14" xfId="20" applyFont="1" applyFill="1" applyBorder="1" applyAlignment="1">
      <alignment horizontal="center" vertical="center"/>
    </xf>
    <xf numFmtId="0" fontId="66" fillId="0" borderId="15" xfId="20" applyFont="1" applyFill="1" applyBorder="1" applyAlignment="1">
      <alignment horizontal="center" vertical="center"/>
    </xf>
    <xf numFmtId="0" fontId="66" fillId="0" borderId="46" xfId="20" applyFont="1" applyFill="1" applyBorder="1" applyAlignment="1">
      <alignment horizontal="center" vertical="center"/>
    </xf>
    <xf numFmtId="0" fontId="66" fillId="0" borderId="47" xfId="20" applyFont="1" applyFill="1" applyBorder="1" applyAlignment="1">
      <alignment horizontal="center" vertical="center"/>
    </xf>
    <xf numFmtId="0" fontId="59" fillId="18" borderId="7" xfId="22" applyFont="1" applyFill="1" applyBorder="1" applyAlignment="1">
      <alignment horizontal="center" vertical="center" wrapText="1"/>
    </xf>
    <xf numFmtId="0" fontId="66" fillId="0" borderId="14" xfId="23" applyFont="1" applyFill="1" applyBorder="1" applyAlignment="1">
      <alignment horizontal="center" vertical="center" wrapText="1"/>
    </xf>
    <xf numFmtId="0" fontId="49" fillId="0" borderId="0" xfId="22" applyFont="1" applyAlignment="1">
      <alignment horizontal="center" vertical="center"/>
    </xf>
    <xf numFmtId="0" fontId="49" fillId="0" borderId="46" xfId="22" applyFont="1" applyBorder="1" applyAlignment="1">
      <alignment horizontal="center" vertical="center"/>
    </xf>
    <xf numFmtId="0" fontId="66" fillId="21" borderId="46" xfId="22" applyFont="1" applyFill="1" applyBorder="1" applyAlignment="1">
      <alignment horizontal="center" vertical="center" wrapText="1"/>
    </xf>
    <xf numFmtId="0" fontId="59" fillId="18" borderId="18" xfId="22" applyFont="1" applyFill="1" applyBorder="1" applyAlignment="1">
      <alignment horizontal="center" vertical="center"/>
    </xf>
    <xf numFmtId="0" fontId="59" fillId="18" borderId="7" xfId="22" applyFont="1" applyFill="1" applyBorder="1" applyAlignment="1">
      <alignment horizontal="center" vertical="center"/>
    </xf>
    <xf numFmtId="0" fontId="64" fillId="0" borderId="15" xfId="23" applyFont="1" applyFill="1" applyBorder="1" applyAlignment="1">
      <alignment horizontal="center" vertical="center"/>
    </xf>
    <xf numFmtId="0" fontId="6" fillId="0" borderId="0" xfId="22">
      <alignment vertical="center"/>
    </xf>
    <xf numFmtId="0" fontId="5" fillId="0" borderId="14" xfId="22" applyFont="1" applyBorder="1" applyAlignment="1">
      <alignment horizontal="center" vertical="center"/>
    </xf>
    <xf numFmtId="0" fontId="66" fillId="0" borderId="14" xfId="22" applyFont="1" applyBorder="1" applyAlignment="1">
      <alignment horizontal="center" vertical="center"/>
    </xf>
    <xf numFmtId="0" fontId="66" fillId="0" borderId="14" xfId="22" applyFont="1" applyBorder="1">
      <alignment vertical="center"/>
    </xf>
    <xf numFmtId="0" fontId="6" fillId="0" borderId="14" xfId="22" applyBorder="1">
      <alignment vertical="center"/>
    </xf>
    <xf numFmtId="0" fontId="26" fillId="0" borderId="0" xfId="16" applyFont="1" applyProtection="1">
      <alignment vertical="center"/>
    </xf>
    <xf numFmtId="49" fontId="34" fillId="2" borderId="29" xfId="8" applyNumberFormat="1" applyFont="1" applyFill="1" applyBorder="1" applyAlignment="1" applyProtection="1">
      <alignment vertical="center"/>
    </xf>
    <xf numFmtId="49" fontId="34" fillId="2" borderId="26" xfId="8" applyNumberFormat="1" applyFont="1" applyFill="1" applyBorder="1" applyAlignment="1" applyProtection="1">
      <alignment vertical="center"/>
    </xf>
    <xf numFmtId="49" fontId="34" fillId="2" borderId="29" xfId="8" applyNumberFormat="1" applyFont="1" applyFill="1" applyBorder="1" applyAlignment="1" applyProtection="1">
      <alignment horizontal="center" vertical="center"/>
    </xf>
    <xf numFmtId="0" fontId="56" fillId="7" borderId="0" xfId="19" applyFont="1" applyFill="1" applyProtection="1">
      <alignment vertical="center"/>
    </xf>
    <xf numFmtId="0" fontId="56" fillId="7" borderId="0" xfId="19" applyFont="1" applyFill="1" applyBorder="1" applyAlignment="1" applyProtection="1">
      <alignment horizontal="center" vertical="center"/>
    </xf>
    <xf numFmtId="0" fontId="32" fillId="7" borderId="0" xfId="19" applyFont="1" applyFill="1" applyBorder="1" applyAlignment="1" applyProtection="1">
      <alignment horizontal="center" vertical="center"/>
    </xf>
    <xf numFmtId="49" fontId="34" fillId="25" borderId="26" xfId="8" applyNumberFormat="1" applyFont="1" applyFill="1" applyBorder="1" applyAlignment="1" applyProtection="1">
      <alignment vertical="center"/>
    </xf>
    <xf numFmtId="49" fontId="34" fillId="25" borderId="29" xfId="8" applyNumberFormat="1" applyFont="1" applyFill="1" applyBorder="1" applyAlignment="1" applyProtection="1">
      <alignment vertical="center"/>
    </xf>
    <xf numFmtId="49" fontId="34" fillId="2" borderId="29" xfId="8" applyNumberFormat="1" applyFont="1" applyFill="1" applyBorder="1" applyAlignment="1" applyProtection="1">
      <alignment horizontal="center" vertical="center"/>
      <protection locked="0"/>
    </xf>
    <xf numFmtId="49" fontId="34" fillId="2" borderId="23" xfId="8" applyNumberFormat="1" applyFont="1" applyFill="1" applyBorder="1" applyAlignment="1" applyProtection="1">
      <alignment vertical="center"/>
    </xf>
    <xf numFmtId="0" fontId="26" fillId="2" borderId="0" xfId="8" applyFont="1" applyFill="1" applyBorder="1" applyAlignment="1" applyProtection="1">
      <alignment horizontal="left" vertical="center"/>
    </xf>
    <xf numFmtId="0" fontId="26" fillId="2" borderId="0" xfId="8" applyFont="1" applyFill="1" applyBorder="1" applyAlignment="1" applyProtection="1"/>
    <xf numFmtId="0" fontId="66" fillId="0" borderId="46" xfId="13" applyFont="1" applyFill="1" applyBorder="1" applyAlignment="1">
      <alignment horizontal="right" vertical="center"/>
    </xf>
    <xf numFmtId="49" fontId="31" fillId="2" borderId="22" xfId="8" applyNumberFormat="1" applyFont="1" applyFill="1" applyBorder="1" applyAlignment="1" applyProtection="1">
      <alignment horizontal="center" vertical="center"/>
      <protection locked="0"/>
    </xf>
    <xf numFmtId="49" fontId="31" fillId="2" borderId="22" xfId="8" applyNumberFormat="1" applyFont="1" applyFill="1" applyBorder="1" applyAlignment="1" applyProtection="1">
      <alignment horizontal="center" vertical="center" wrapText="1"/>
      <protection locked="0"/>
    </xf>
    <xf numFmtId="0" fontId="74" fillId="7" borderId="0" xfId="19" applyFont="1" applyFill="1" applyProtection="1">
      <alignment vertical="center"/>
    </xf>
    <xf numFmtId="0" fontId="74" fillId="7" borderId="0" xfId="11" applyFont="1" applyFill="1" applyBorder="1" applyAlignment="1" applyProtection="1">
      <alignment vertical="center"/>
    </xf>
    <xf numFmtId="0" fontId="14" fillId="7" borderId="18" xfId="8" applyFill="1" applyBorder="1" applyAlignment="1" applyProtection="1">
      <alignment horizontal="center" vertical="center"/>
      <protection locked="0"/>
    </xf>
    <xf numFmtId="0" fontId="14" fillId="7" borderId="14" xfId="8" applyFill="1" applyBorder="1" applyProtection="1">
      <alignment vertical="center"/>
      <protection locked="0"/>
    </xf>
    <xf numFmtId="0" fontId="9" fillId="7" borderId="18" xfId="8" applyFont="1" applyFill="1" applyBorder="1" applyAlignment="1" applyProtection="1">
      <alignment horizontal="center" vertical="center"/>
      <protection locked="0"/>
    </xf>
    <xf numFmtId="0" fontId="9" fillId="7" borderId="14" xfId="8" applyFont="1" applyFill="1" applyBorder="1" applyProtection="1">
      <alignment vertical="center"/>
      <protection locked="0"/>
    </xf>
    <xf numFmtId="0" fontId="26" fillId="2" borderId="0" xfId="8" applyNumberFormat="1" applyFont="1" applyFill="1" applyProtection="1">
      <alignment vertical="center"/>
    </xf>
    <xf numFmtId="0" fontId="75" fillId="2" borderId="0" xfId="8" applyFont="1" applyFill="1" applyProtection="1">
      <alignment vertical="center"/>
    </xf>
    <xf numFmtId="49" fontId="34" fillId="25" borderId="37" xfId="8" applyNumberFormat="1" applyFont="1" applyFill="1" applyBorder="1" applyAlignment="1" applyProtection="1">
      <alignment vertical="center"/>
    </xf>
    <xf numFmtId="14" fontId="66" fillId="22" borderId="14" xfId="20" applyNumberFormat="1" applyFont="1" applyFill="1" applyBorder="1" applyAlignment="1">
      <alignment horizontal="center" vertical="center"/>
    </xf>
    <xf numFmtId="0" fontId="4" fillId="7" borderId="18" xfId="8" applyFont="1" applyFill="1" applyBorder="1" applyAlignment="1" applyProtection="1">
      <alignment horizontal="center" vertical="center" wrapText="1"/>
      <protection locked="0"/>
    </xf>
    <xf numFmtId="0" fontId="4" fillId="7" borderId="14" xfId="8" applyFont="1" applyFill="1" applyBorder="1" applyProtection="1">
      <alignment vertical="center"/>
      <protection locked="0"/>
    </xf>
    <xf numFmtId="0" fontId="3" fillId="0" borderId="0" xfId="12" applyFont="1">
      <alignment vertical="center"/>
    </xf>
    <xf numFmtId="0" fontId="76" fillId="22" borderId="14" xfId="22" applyFont="1" applyFill="1" applyBorder="1">
      <alignment vertical="center"/>
    </xf>
    <xf numFmtId="0" fontId="78" fillId="22" borderId="14" xfId="22" applyFont="1" applyFill="1" applyBorder="1">
      <alignment vertical="center"/>
    </xf>
    <xf numFmtId="0" fontId="76" fillId="22" borderId="14" xfId="22" applyFont="1" applyFill="1" applyBorder="1" applyAlignment="1">
      <alignment horizontal="center" vertical="center" wrapText="1"/>
    </xf>
    <xf numFmtId="0" fontId="77" fillId="26" borderId="18" xfId="22" applyFont="1" applyFill="1" applyBorder="1" applyAlignment="1">
      <alignment horizontal="center" vertical="top" textRotation="255" wrapText="1"/>
    </xf>
    <xf numFmtId="0" fontId="78" fillId="22" borderId="14" xfId="22" applyFont="1" applyFill="1" applyBorder="1" applyAlignment="1">
      <alignment horizontal="center" vertical="center" wrapText="1"/>
    </xf>
    <xf numFmtId="0" fontId="76" fillId="22" borderId="14" xfId="22" applyFont="1" applyFill="1" applyBorder="1" applyAlignment="1">
      <alignment horizontal="center" vertical="center"/>
    </xf>
    <xf numFmtId="0" fontId="77" fillId="21" borderId="14" xfId="22" applyFont="1" applyFill="1" applyBorder="1" applyAlignment="1">
      <alignment horizontal="center" vertical="center" wrapText="1"/>
    </xf>
    <xf numFmtId="0" fontId="78" fillId="22" borderId="14" xfId="22" applyFont="1" applyFill="1" applyBorder="1" applyAlignment="1">
      <alignment horizontal="center" vertical="center"/>
    </xf>
    <xf numFmtId="0" fontId="76" fillId="0" borderId="14" xfId="22" applyFont="1" applyFill="1" applyBorder="1" applyAlignment="1">
      <alignment horizontal="center" vertical="center" wrapText="1"/>
    </xf>
    <xf numFmtId="0" fontId="76" fillId="27" borderId="18" xfId="22" applyFont="1" applyFill="1" applyBorder="1" applyAlignment="1">
      <alignment horizontal="center" vertical="top" textRotation="255" wrapText="1"/>
    </xf>
    <xf numFmtId="0" fontId="28" fillId="2" borderId="0" xfId="0" applyFont="1" applyFill="1" applyProtection="1">
      <alignment vertical="center"/>
    </xf>
    <xf numFmtId="0" fontId="79" fillId="2" borderId="0" xfId="0" applyFont="1" applyFill="1" applyProtection="1">
      <alignment vertical="center"/>
    </xf>
    <xf numFmtId="49" fontId="29" fillId="5" borderId="36" xfId="8" applyNumberFormat="1" applyFont="1" applyFill="1" applyBorder="1" applyAlignment="1" applyProtection="1">
      <alignment horizontal="center" vertical="center"/>
    </xf>
    <xf numFmtId="49" fontId="29" fillId="5" borderId="32" xfId="8" applyNumberFormat="1" applyFont="1" applyFill="1" applyBorder="1" applyAlignment="1" applyProtection="1">
      <alignment horizontal="center" vertical="center"/>
    </xf>
    <xf numFmtId="49" fontId="34" fillId="2" borderId="29" xfId="8" applyNumberFormat="1" applyFont="1" applyFill="1" applyBorder="1" applyAlignment="1" applyProtection="1">
      <alignment horizontal="center" vertical="center"/>
      <protection locked="0"/>
    </xf>
    <xf numFmtId="14" fontId="14" fillId="0" borderId="0" xfId="8" applyNumberFormat="1" applyAlignment="1" applyProtection="1">
      <alignment horizontal="center" vertical="center"/>
    </xf>
    <xf numFmtId="49" fontId="34" fillId="2" borderId="0" xfId="8" applyNumberFormat="1" applyFont="1" applyFill="1" applyBorder="1" applyAlignment="1" applyProtection="1">
      <alignment horizontal="left" vertical="center"/>
    </xf>
    <xf numFmtId="49" fontId="34" fillId="2" borderId="26" xfId="8" applyNumberFormat="1" applyFont="1" applyFill="1" applyBorder="1" applyAlignment="1" applyProtection="1">
      <alignment horizontal="left" vertical="center"/>
    </xf>
    <xf numFmtId="49" fontId="29" fillId="7" borderId="36" xfId="8" applyNumberFormat="1" applyFont="1" applyFill="1" applyBorder="1" applyAlignment="1" applyProtection="1">
      <alignment horizontal="center" vertical="center"/>
    </xf>
    <xf numFmtId="49" fontId="29" fillId="7" borderId="32" xfId="8" applyNumberFormat="1" applyFont="1" applyFill="1" applyBorder="1" applyAlignment="1" applyProtection="1">
      <alignment horizontal="center" vertical="center"/>
    </xf>
    <xf numFmtId="49" fontId="29" fillId="7" borderId="0" xfId="8" applyNumberFormat="1" applyFont="1" applyFill="1" applyBorder="1" applyAlignment="1" applyProtection="1">
      <alignment horizontal="center" vertical="center"/>
    </xf>
    <xf numFmtId="49" fontId="29" fillId="7" borderId="0" xfId="8" applyNumberFormat="1" applyFont="1" applyFill="1" applyBorder="1" applyAlignment="1" applyProtection="1">
      <alignment horizontal="center" vertical="center" wrapText="1"/>
    </xf>
    <xf numFmtId="49" fontId="31" fillId="2" borderId="0" xfId="8" applyNumberFormat="1" applyFont="1" applyFill="1" applyBorder="1" applyAlignment="1" applyProtection="1">
      <alignment horizontal="center" vertical="center"/>
    </xf>
    <xf numFmtId="0" fontId="29" fillId="5" borderId="34" xfId="16" applyNumberFormat="1" applyFont="1" applyFill="1" applyBorder="1" applyAlignment="1" applyProtection="1">
      <alignment horizontal="left" vertical="center" wrapText="1"/>
    </xf>
    <xf numFmtId="0" fontId="29" fillId="5" borderId="0" xfId="16" applyNumberFormat="1" applyFont="1" applyFill="1" applyBorder="1" applyAlignment="1" applyProtection="1">
      <alignment horizontal="left" vertical="center" wrapText="1"/>
    </xf>
    <xf numFmtId="0" fontId="29" fillId="5" borderId="27" xfId="16" applyNumberFormat="1" applyFont="1" applyFill="1" applyBorder="1" applyAlignment="1" applyProtection="1">
      <alignment horizontal="left" vertical="center" wrapText="1"/>
    </xf>
    <xf numFmtId="49" fontId="29" fillId="7" borderId="0" xfId="16" applyNumberFormat="1" applyFont="1" applyFill="1" applyBorder="1" applyAlignment="1" applyProtection="1">
      <alignment horizontal="center" vertical="center" wrapText="1"/>
    </xf>
    <xf numFmtId="49" fontId="34" fillId="2" borderId="62" xfId="8" applyNumberFormat="1" applyFont="1" applyFill="1" applyBorder="1" applyAlignment="1" applyProtection="1">
      <alignment horizontal="left" vertical="center"/>
    </xf>
    <xf numFmtId="14" fontId="26" fillId="0" borderId="0" xfId="8" applyNumberFormat="1" applyFont="1" applyBorder="1" applyAlignment="1" applyProtection="1">
      <alignment horizontal="center" vertical="center"/>
    </xf>
    <xf numFmtId="180" fontId="32" fillId="2" borderId="29" xfId="8" applyNumberFormat="1" applyFont="1" applyFill="1" applyBorder="1" applyAlignment="1" applyProtection="1">
      <alignment horizontal="center" vertical="center"/>
      <protection locked="0"/>
    </xf>
    <xf numFmtId="49" fontId="29" fillId="2" borderId="29" xfId="8" applyNumberFormat="1" applyFont="1" applyFill="1" applyBorder="1" applyAlignment="1" applyProtection="1">
      <alignment horizontal="center" vertical="center"/>
    </xf>
    <xf numFmtId="0" fontId="66" fillId="27" borderId="14" xfId="13" applyFont="1" applyFill="1" applyBorder="1" applyAlignment="1">
      <alignment horizontal="center" vertical="center" wrapText="1"/>
    </xf>
    <xf numFmtId="0" fontId="66" fillId="27" borderId="46" xfId="13" applyFont="1" applyFill="1" applyBorder="1" applyAlignment="1">
      <alignment horizontal="center" vertical="center" wrapText="1"/>
    </xf>
    <xf numFmtId="0" fontId="66" fillId="27" borderId="47" xfId="13" applyFont="1" applyFill="1" applyBorder="1" applyAlignment="1">
      <alignment horizontal="center" vertical="center" wrapText="1"/>
    </xf>
    <xf numFmtId="0" fontId="76" fillId="27" borderId="14" xfId="22" applyFont="1" applyFill="1" applyBorder="1" applyAlignment="1">
      <alignment horizontal="center" vertical="center" wrapText="1"/>
    </xf>
    <xf numFmtId="0" fontId="66" fillId="27" borderId="17" xfId="13" applyFont="1" applyFill="1" applyBorder="1" applyAlignment="1">
      <alignment horizontal="center" vertical="center" wrapText="1"/>
    </xf>
    <xf numFmtId="0" fontId="66" fillId="27" borderId="15" xfId="13" applyFont="1" applyFill="1" applyBorder="1" applyAlignment="1">
      <alignment horizontal="center" vertical="center" wrapText="1"/>
    </xf>
    <xf numFmtId="0" fontId="76" fillId="27" borderId="14" xfId="22" applyFont="1" applyFill="1" applyBorder="1" applyAlignment="1">
      <alignment horizontal="center" vertical="center" wrapText="1"/>
    </xf>
    <xf numFmtId="49" fontId="27" fillId="2" borderId="0" xfId="8" applyNumberFormat="1" applyFont="1" applyFill="1" applyBorder="1" applyAlignment="1" applyProtection="1">
      <alignment vertical="center"/>
    </xf>
    <xf numFmtId="0" fontId="31" fillId="2" borderId="0" xfId="8" applyNumberFormat="1" applyFont="1" applyFill="1" applyBorder="1" applyAlignment="1" applyProtection="1">
      <alignment vertical="center"/>
    </xf>
    <xf numFmtId="178" fontId="29" fillId="2" borderId="29" xfId="8" quotePrefix="1" applyNumberFormat="1" applyFont="1" applyFill="1" applyBorder="1" applyAlignment="1" applyProtection="1">
      <alignment horizontal="center" vertical="center"/>
    </xf>
    <xf numFmtId="49" fontId="31" fillId="2" borderId="29" xfId="8" applyNumberFormat="1" applyFont="1" applyFill="1" applyBorder="1" applyAlignment="1" applyProtection="1">
      <alignment vertical="center"/>
    </xf>
    <xf numFmtId="49" fontId="31" fillId="2" borderId="28" xfId="8" applyNumberFormat="1" applyFont="1" applyFill="1" applyBorder="1" applyAlignment="1" applyProtection="1">
      <alignment vertical="center"/>
    </xf>
    <xf numFmtId="49" fontId="31" fillId="2" borderId="36" xfId="8" applyNumberFormat="1" applyFont="1" applyFill="1" applyBorder="1" applyAlignment="1" applyProtection="1">
      <alignment horizontal="left" vertical="center" wrapText="1"/>
    </xf>
    <xf numFmtId="49" fontId="33" fillId="2" borderId="36" xfId="8" applyNumberFormat="1" applyFont="1" applyFill="1" applyBorder="1" applyAlignment="1" applyProtection="1">
      <alignment horizontal="left" vertical="center" wrapText="1"/>
    </xf>
    <xf numFmtId="49" fontId="33" fillId="2" borderId="29" xfId="8" applyNumberFormat="1" applyFont="1" applyFill="1" applyBorder="1" applyAlignment="1" applyProtection="1">
      <alignment horizontal="left" vertical="center" wrapText="1"/>
    </xf>
    <xf numFmtId="49" fontId="33" fillId="2" borderId="28" xfId="8" applyNumberFormat="1" applyFont="1" applyFill="1" applyBorder="1" applyAlignment="1" applyProtection="1">
      <alignment horizontal="left" vertical="center" wrapText="1"/>
    </xf>
    <xf numFmtId="0" fontId="34" fillId="2" borderId="0" xfId="8" applyFont="1" applyFill="1" applyBorder="1" applyProtection="1">
      <alignment vertical="center"/>
    </xf>
    <xf numFmtId="0" fontId="14" fillId="2" borderId="0" xfId="8" applyFill="1" applyBorder="1" applyProtection="1">
      <alignment vertical="center"/>
    </xf>
    <xf numFmtId="0" fontId="26" fillId="2" borderId="0" xfId="8" applyFont="1" applyFill="1" applyBorder="1" applyProtection="1">
      <alignment vertical="center"/>
    </xf>
    <xf numFmtId="0" fontId="0" fillId="2" borderId="61" xfId="0" applyFill="1" applyBorder="1" applyAlignment="1">
      <alignment horizontal="center" vertical="center"/>
    </xf>
    <xf numFmtId="49" fontId="29" fillId="2" borderId="28" xfId="8" applyNumberFormat="1" applyFont="1" applyFill="1" applyBorder="1" applyAlignment="1" applyProtection="1">
      <alignment horizontal="center" vertical="center"/>
    </xf>
    <xf numFmtId="49" fontId="29" fillId="2" borderId="22" xfId="8" applyNumberFormat="1" applyFont="1" applyFill="1" applyBorder="1" applyAlignment="1" applyProtection="1">
      <alignment horizontal="center" vertical="center"/>
    </xf>
    <xf numFmtId="49" fontId="29" fillId="2" borderId="23" xfId="8" applyNumberFormat="1" applyFont="1" applyFill="1" applyBorder="1" applyAlignment="1" applyProtection="1">
      <alignment horizontal="center" vertical="center"/>
    </xf>
    <xf numFmtId="49" fontId="29" fillId="2" borderId="28" xfId="8" applyNumberFormat="1" applyFont="1" applyFill="1" applyBorder="1" applyAlignment="1" applyProtection="1">
      <alignment vertical="center"/>
    </xf>
    <xf numFmtId="178" fontId="29" fillId="2" borderId="29" xfId="8" quotePrefix="1" applyNumberFormat="1" applyFont="1" applyFill="1" applyBorder="1" applyAlignment="1" applyProtection="1">
      <alignment vertical="center"/>
    </xf>
    <xf numFmtId="0" fontId="26" fillId="2" borderId="36" xfId="8" applyFont="1" applyFill="1" applyBorder="1" applyProtection="1">
      <alignment vertical="center"/>
    </xf>
    <xf numFmtId="0" fontId="37" fillId="2" borderId="36" xfId="8" applyFont="1" applyFill="1" applyBorder="1" applyProtection="1">
      <alignment vertical="center"/>
    </xf>
    <xf numFmtId="49" fontId="29" fillId="2" borderId="0" xfId="8" applyNumberFormat="1" applyFont="1" applyFill="1" applyAlignment="1" applyProtection="1">
      <alignment vertical="center"/>
    </xf>
    <xf numFmtId="49" fontId="29" fillId="2" borderId="27" xfId="8" applyNumberFormat="1" applyFont="1" applyFill="1" applyBorder="1" applyAlignment="1" applyProtection="1">
      <alignment vertical="center"/>
    </xf>
    <xf numFmtId="0" fontId="26" fillId="2" borderId="27" xfId="8" applyFont="1" applyFill="1" applyBorder="1" applyProtection="1">
      <alignment vertical="center"/>
    </xf>
    <xf numFmtId="49" fontId="29" fillId="2" borderId="0" xfId="8" applyNumberFormat="1" applyFont="1" applyFill="1" applyBorder="1" applyAlignment="1" applyProtection="1">
      <alignment vertical="center"/>
    </xf>
    <xf numFmtId="0" fontId="14" fillId="2" borderId="0" xfId="8" applyFill="1" applyProtection="1">
      <alignment vertical="center"/>
    </xf>
    <xf numFmtId="0" fontId="0" fillId="2" borderId="0" xfId="0" applyFill="1" applyProtection="1">
      <alignment vertical="center"/>
    </xf>
    <xf numFmtId="49" fontId="27" fillId="2" borderId="0" xfId="8" applyNumberFormat="1" applyFont="1" applyFill="1" applyBorder="1" applyAlignment="1" applyProtection="1">
      <alignment vertical="center" wrapText="1"/>
    </xf>
    <xf numFmtId="49" fontId="31" fillId="2" borderId="28" xfId="8" applyNumberFormat="1" applyFont="1" applyFill="1" applyBorder="1" applyAlignment="1" applyProtection="1">
      <alignment horizontal="left" vertical="center"/>
    </xf>
    <xf numFmtId="0" fontId="46" fillId="0" borderId="0" xfId="13" applyFont="1">
      <alignment vertical="center"/>
    </xf>
    <xf numFmtId="0" fontId="14" fillId="7" borderId="13" xfId="8" applyFill="1" applyBorder="1" applyAlignment="1" applyProtection="1">
      <alignment horizontal="center" vertical="center" wrapText="1"/>
      <protection locked="0"/>
    </xf>
    <xf numFmtId="49" fontId="34" fillId="2" borderId="26" xfId="8" applyNumberFormat="1" applyFont="1" applyFill="1" applyBorder="1" applyAlignment="1" applyProtection="1">
      <alignment horizontal="center" vertical="center"/>
      <protection locked="0"/>
    </xf>
    <xf numFmtId="0" fontId="14" fillId="7" borderId="18" xfId="8" applyFill="1" applyBorder="1" applyAlignment="1" applyProtection="1">
      <alignment horizontal="center" vertical="center" shrinkToFit="1"/>
      <protection locked="0"/>
    </xf>
    <xf numFmtId="0" fontId="0" fillId="2" borderId="57" xfId="0" applyFill="1" applyBorder="1">
      <alignment vertical="center"/>
    </xf>
    <xf numFmtId="0" fontId="0" fillId="2" borderId="75" xfId="0" applyFill="1" applyBorder="1" applyAlignment="1">
      <alignment horizontal="center" vertical="center"/>
    </xf>
    <xf numFmtId="49" fontId="34" fillId="25" borderId="65" xfId="8" applyNumberFormat="1" applyFont="1" applyFill="1" applyBorder="1" applyAlignment="1" applyProtection="1">
      <alignment vertical="center"/>
    </xf>
    <xf numFmtId="49" fontId="34" fillId="2" borderId="36" xfId="8" applyNumberFormat="1" applyFont="1" applyFill="1" applyBorder="1" applyAlignment="1" applyProtection="1">
      <alignment horizontal="center" vertical="center"/>
    </xf>
    <xf numFmtId="49" fontId="29" fillId="2" borderId="72" xfId="8" applyNumberFormat="1" applyFont="1" applyFill="1" applyBorder="1" applyAlignment="1" applyProtection="1">
      <alignment vertical="center"/>
    </xf>
    <xf numFmtId="178" fontId="29" fillId="2" borderId="72" xfId="8" quotePrefix="1" applyNumberFormat="1" applyFont="1" applyFill="1" applyBorder="1" applyAlignment="1" applyProtection="1">
      <alignment vertical="center"/>
    </xf>
    <xf numFmtId="49" fontId="34" fillId="2" borderId="66" xfId="8" applyNumberFormat="1" applyFont="1" applyFill="1" applyBorder="1" applyAlignment="1" applyProtection="1">
      <alignment horizontal="center" vertical="center"/>
    </xf>
    <xf numFmtId="49" fontId="29" fillId="5" borderId="82" xfId="8" applyNumberFormat="1" applyFont="1" applyFill="1" applyBorder="1" applyAlignment="1" applyProtection="1">
      <alignment vertical="center"/>
    </xf>
    <xf numFmtId="49" fontId="29" fillId="5" borderId="83" xfId="8" applyNumberFormat="1" applyFont="1" applyFill="1" applyBorder="1" applyAlignment="1" applyProtection="1">
      <alignment vertical="center"/>
    </xf>
    <xf numFmtId="0" fontId="66" fillId="2" borderId="15" xfId="13" applyFont="1" applyFill="1" applyBorder="1" applyAlignment="1">
      <alignment horizontal="center" vertical="center" wrapText="1"/>
    </xf>
    <xf numFmtId="0" fontId="66" fillId="20" borderId="17" xfId="13" applyFont="1" applyFill="1" applyBorder="1" applyAlignment="1">
      <alignment horizontal="center" vertical="center" wrapText="1"/>
    </xf>
    <xf numFmtId="0" fontId="66" fillId="27" borderId="16" xfId="13" applyFont="1" applyFill="1" applyBorder="1" applyAlignment="1">
      <alignment horizontal="center" vertical="center" wrapText="1"/>
    </xf>
    <xf numFmtId="0" fontId="66" fillId="2" borderId="47" xfId="13" applyFont="1" applyFill="1" applyBorder="1" applyAlignment="1">
      <alignment horizontal="center" vertical="center" wrapText="1"/>
    </xf>
    <xf numFmtId="0" fontId="66" fillId="20" borderId="15" xfId="13" applyFont="1" applyFill="1" applyBorder="1" applyAlignment="1">
      <alignment horizontal="center" vertical="center" wrapText="1"/>
    </xf>
    <xf numFmtId="0" fontId="76" fillId="0" borderId="14" xfId="22" applyFont="1" applyBorder="1">
      <alignment vertical="center"/>
    </xf>
    <xf numFmtId="0" fontId="76" fillId="0" borderId="17" xfId="22" applyFont="1" applyBorder="1">
      <alignment vertical="center"/>
    </xf>
    <xf numFmtId="0" fontId="76" fillId="0" borderId="14" xfId="22" applyFont="1" applyFill="1" applyBorder="1" applyAlignment="1">
      <alignment horizontal="center" vertical="center"/>
    </xf>
    <xf numFmtId="0" fontId="76" fillId="0" borderId="0" xfId="22" applyFont="1">
      <alignment vertical="center"/>
    </xf>
    <xf numFmtId="0" fontId="81" fillId="18" borderId="18" xfId="22" applyFont="1" applyFill="1" applyBorder="1" applyAlignment="1">
      <alignment horizontal="center" vertical="center" wrapText="1"/>
    </xf>
    <xf numFmtId="0" fontId="81" fillId="18" borderId="7" xfId="22" applyFont="1" applyFill="1" applyBorder="1" applyAlignment="1">
      <alignment horizontal="center" vertical="center" wrapText="1"/>
    </xf>
    <xf numFmtId="0" fontId="82" fillId="19" borderId="7" xfId="14" applyFont="1" applyFill="1" applyBorder="1" applyAlignment="1">
      <alignment horizontal="center" vertical="center" wrapText="1"/>
    </xf>
    <xf numFmtId="0" fontId="76" fillId="4" borderId="46" xfId="22" applyFont="1" applyFill="1" applyBorder="1" applyAlignment="1">
      <alignment horizontal="center" vertical="center" wrapText="1"/>
    </xf>
    <xf numFmtId="0" fontId="76" fillId="4" borderId="15" xfId="22" applyFont="1" applyFill="1" applyBorder="1" applyAlignment="1">
      <alignment horizontal="center" vertical="center" wrapText="1"/>
    </xf>
    <xf numFmtId="0" fontId="76" fillId="4" borderId="18" xfId="22" applyFont="1" applyFill="1" applyBorder="1" applyAlignment="1">
      <alignment horizontal="center" vertical="center" wrapText="1"/>
    </xf>
    <xf numFmtId="0" fontId="76" fillId="4" borderId="48" xfId="22" applyFont="1" applyFill="1" applyBorder="1" applyAlignment="1">
      <alignment horizontal="center" vertical="center" wrapText="1"/>
    </xf>
    <xf numFmtId="0" fontId="76" fillId="4" borderId="9" xfId="22" applyFont="1" applyFill="1" applyBorder="1" applyAlignment="1">
      <alignment horizontal="center" vertical="center" wrapText="1"/>
    </xf>
    <xf numFmtId="0" fontId="76" fillId="4" borderId="7" xfId="22" applyFont="1" applyFill="1" applyBorder="1" applyAlignment="1">
      <alignment horizontal="center" vertical="center" wrapText="1"/>
    </xf>
    <xf numFmtId="0" fontId="76" fillId="4" borderId="47" xfId="22" applyFont="1" applyFill="1" applyBorder="1" applyAlignment="1">
      <alignment horizontal="center" vertical="center" wrapText="1"/>
    </xf>
    <xf numFmtId="0" fontId="76" fillId="4" borderId="14" xfId="22" applyFont="1" applyFill="1" applyBorder="1" applyAlignment="1">
      <alignment horizontal="center" vertical="center" wrapText="1"/>
    </xf>
    <xf numFmtId="0" fontId="76" fillId="4" borderId="15" xfId="22" applyFont="1" applyFill="1" applyBorder="1" applyAlignment="1">
      <alignment horizontal="center" vertical="center" textRotation="255" wrapText="1"/>
    </xf>
    <xf numFmtId="0" fontId="76" fillId="4" borderId="54" xfId="22" applyFont="1" applyFill="1" applyBorder="1" applyAlignment="1">
      <alignment horizontal="center" vertical="center" textRotation="255" wrapText="1"/>
    </xf>
    <xf numFmtId="0" fontId="76" fillId="4" borderId="7" xfId="22" applyFont="1" applyFill="1" applyBorder="1" applyAlignment="1">
      <alignment horizontal="center" vertical="top" textRotation="255" wrapText="1"/>
    </xf>
    <xf numFmtId="0" fontId="76" fillId="27" borderId="18" xfId="22" applyFont="1" applyFill="1" applyBorder="1" applyAlignment="1">
      <alignment horizontal="center" vertical="center" wrapText="1"/>
    </xf>
    <xf numFmtId="0" fontId="76" fillId="4" borderId="18" xfId="22" applyFont="1" applyFill="1" applyBorder="1" applyAlignment="1">
      <alignment horizontal="center" vertical="center" textRotation="255" wrapText="1"/>
    </xf>
    <xf numFmtId="0" fontId="76" fillId="4" borderId="7" xfId="22" applyFont="1" applyFill="1" applyBorder="1" applyAlignment="1">
      <alignment horizontal="center" vertical="center" textRotation="255" wrapText="1"/>
    </xf>
    <xf numFmtId="0" fontId="76" fillId="4" borderId="49" xfId="22" applyFont="1" applyFill="1" applyBorder="1" applyAlignment="1">
      <alignment horizontal="center" vertical="center" textRotation="255" wrapText="1"/>
    </xf>
    <xf numFmtId="0" fontId="76" fillId="4" borderId="48" xfId="22" applyFont="1" applyFill="1" applyBorder="1" applyAlignment="1">
      <alignment horizontal="center" vertical="center" textRotation="255" wrapText="1"/>
    </xf>
    <xf numFmtId="0" fontId="76" fillId="26" borderId="18" xfId="22" applyFont="1" applyFill="1" applyBorder="1" applyAlignment="1">
      <alignment horizontal="center" vertical="top" textRotation="255" wrapText="1"/>
    </xf>
    <xf numFmtId="0" fontId="76" fillId="13" borderId="18" xfId="22" applyFont="1" applyFill="1" applyBorder="1" applyAlignment="1">
      <alignment horizontal="center" vertical="top" textRotation="255" wrapText="1"/>
    </xf>
    <xf numFmtId="0" fontId="77" fillId="13" borderId="18" xfId="22" applyFont="1" applyFill="1" applyBorder="1" applyAlignment="1">
      <alignment horizontal="center" vertical="top" textRotation="255" wrapText="1"/>
    </xf>
    <xf numFmtId="0" fontId="76" fillId="26" borderId="9" xfId="22" applyFont="1" applyFill="1" applyBorder="1" applyAlignment="1">
      <alignment horizontal="center" vertical="top" textRotation="255" wrapText="1"/>
    </xf>
    <xf numFmtId="0" fontId="76" fillId="31" borderId="9" xfId="22" applyFont="1" applyFill="1" applyBorder="1" applyAlignment="1">
      <alignment horizontal="center" vertical="top" textRotation="255" wrapText="1"/>
    </xf>
    <xf numFmtId="0" fontId="76" fillId="31" borderId="51" xfId="22" applyFont="1" applyFill="1" applyBorder="1" applyAlignment="1">
      <alignment horizontal="center" vertical="top" textRotation="255" wrapText="1"/>
    </xf>
    <xf numFmtId="0" fontId="76" fillId="26" borderId="7" xfId="22" applyFont="1" applyFill="1" applyBorder="1" applyAlignment="1">
      <alignment horizontal="center" vertical="top" textRotation="255" wrapText="1"/>
    </xf>
    <xf numFmtId="0" fontId="76" fillId="4" borderId="49" xfId="22" applyFont="1" applyFill="1" applyBorder="1" applyAlignment="1">
      <alignment horizontal="center" vertical="top" textRotation="255" wrapText="1"/>
    </xf>
    <xf numFmtId="0" fontId="76" fillId="4" borderId="18" xfId="22" applyFont="1" applyFill="1" applyBorder="1" applyAlignment="1">
      <alignment horizontal="center" vertical="top" textRotation="255" wrapText="1"/>
    </xf>
    <xf numFmtId="0" fontId="76" fillId="4" borderId="48" xfId="22" applyFont="1" applyFill="1" applyBorder="1" applyAlignment="1">
      <alignment horizontal="center" vertical="top" textRotation="255" wrapText="1"/>
    </xf>
    <xf numFmtId="0" fontId="76" fillId="27" borderId="49" xfId="22" applyFont="1" applyFill="1" applyBorder="1" applyAlignment="1">
      <alignment horizontal="center" vertical="top" textRotation="255" wrapText="1"/>
    </xf>
    <xf numFmtId="0" fontId="76" fillId="27" borderId="48" xfId="22" applyFont="1" applyFill="1" applyBorder="1" applyAlignment="1">
      <alignment horizontal="center" vertical="top" textRotation="255" wrapText="1"/>
    </xf>
    <xf numFmtId="0" fontId="76" fillId="4" borderId="17" xfId="22" applyFont="1" applyFill="1" applyBorder="1" applyAlignment="1">
      <alignment horizontal="center" vertical="center" wrapText="1"/>
    </xf>
    <xf numFmtId="0" fontId="76" fillId="4" borderId="49" xfId="22" applyFont="1" applyFill="1" applyBorder="1" applyAlignment="1">
      <alignment horizontal="center" vertical="center" wrapText="1"/>
    </xf>
    <xf numFmtId="0" fontId="76" fillId="0" borderId="0" xfId="22" applyFont="1" applyAlignment="1">
      <alignment horizontal="center" vertical="center" wrapText="1"/>
    </xf>
    <xf numFmtId="0" fontId="66" fillId="20" borderId="14" xfId="21" applyFont="1" applyFill="1" applyBorder="1" applyAlignment="1">
      <alignment horizontal="center" vertical="center" wrapText="1"/>
    </xf>
    <xf numFmtId="0" fontId="66" fillId="22" borderId="14" xfId="13" applyFont="1" applyFill="1" applyBorder="1" applyAlignment="1">
      <alignment horizontal="center" vertical="center" wrapText="1"/>
    </xf>
    <xf numFmtId="0" fontId="66" fillId="22" borderId="15" xfId="13" applyFont="1" applyFill="1" applyBorder="1" applyAlignment="1">
      <alignment horizontal="center" vertical="center" wrapText="1"/>
    </xf>
    <xf numFmtId="0" fontId="66" fillId="2" borderId="16" xfId="13" applyFont="1" applyFill="1" applyBorder="1" applyAlignment="1">
      <alignment horizontal="center" vertical="center" wrapText="1"/>
    </xf>
    <xf numFmtId="0" fontId="76" fillId="27" borderId="49" xfId="22" applyFont="1" applyFill="1" applyBorder="1" applyAlignment="1">
      <alignment horizontal="center" vertical="center" wrapText="1"/>
    </xf>
    <xf numFmtId="0" fontId="77" fillId="13" borderId="51" xfId="22" applyFont="1" applyFill="1" applyBorder="1" applyAlignment="1">
      <alignment horizontal="center" vertical="top" textRotation="255" wrapText="1"/>
    </xf>
    <xf numFmtId="0" fontId="77" fillId="26" borderId="14" xfId="22" applyFont="1" applyFill="1" applyBorder="1" applyAlignment="1">
      <alignment horizontal="center" vertical="top" textRotation="255" wrapText="1"/>
    </xf>
    <xf numFmtId="0" fontId="66" fillId="20" borderId="17" xfId="21" applyFont="1" applyFill="1" applyBorder="1" applyAlignment="1">
      <alignment horizontal="center" vertical="center" wrapText="1"/>
    </xf>
    <xf numFmtId="0" fontId="66" fillId="22" borderId="17" xfId="13" applyFont="1" applyFill="1" applyBorder="1" applyAlignment="1">
      <alignment horizontal="center" vertical="center" wrapText="1"/>
    </xf>
    <xf numFmtId="0" fontId="76" fillId="26" borderId="14" xfId="22" applyFont="1" applyFill="1" applyBorder="1" applyAlignment="1">
      <alignment horizontal="center" vertical="top" textRotation="255" wrapText="1"/>
    </xf>
    <xf numFmtId="0" fontId="76" fillId="31" borderId="14" xfId="22" applyFont="1" applyFill="1" applyBorder="1" applyAlignment="1">
      <alignment horizontal="center" vertical="top" textRotation="255" wrapText="1"/>
    </xf>
    <xf numFmtId="0" fontId="66" fillId="20" borderId="15" xfId="21" applyFont="1" applyFill="1" applyBorder="1" applyAlignment="1">
      <alignment horizontal="center" vertical="center" wrapText="1"/>
    </xf>
    <xf numFmtId="0" fontId="77" fillId="26" borderId="9" xfId="22" applyFont="1" applyFill="1" applyBorder="1" applyAlignment="1">
      <alignment horizontal="center" vertical="top" textRotation="255" wrapText="1"/>
    </xf>
    <xf numFmtId="0" fontId="76" fillId="21" borderId="14" xfId="22" applyFont="1" applyFill="1" applyBorder="1" applyAlignment="1">
      <alignment horizontal="center" vertical="center"/>
    </xf>
    <xf numFmtId="0" fontId="76" fillId="21" borderId="17" xfId="22" applyFont="1" applyFill="1" applyBorder="1" applyAlignment="1">
      <alignment horizontal="center" vertical="center"/>
    </xf>
    <xf numFmtId="0" fontId="76" fillId="21" borderId="47" xfId="22" applyFont="1" applyFill="1" applyBorder="1" applyAlignment="1">
      <alignment horizontal="center" vertical="center"/>
    </xf>
    <xf numFmtId="0" fontId="78" fillId="21" borderId="14" xfId="22" applyFont="1" applyFill="1" applyBorder="1" applyAlignment="1">
      <alignment horizontal="center" vertical="center"/>
    </xf>
    <xf numFmtId="0" fontId="66" fillId="2" borderId="17" xfId="13" applyFont="1" applyFill="1" applyBorder="1" applyAlignment="1">
      <alignment horizontal="center" vertical="center" wrapText="1"/>
    </xf>
    <xf numFmtId="0" fontId="66" fillId="2" borderId="14" xfId="13" applyFont="1" applyFill="1" applyBorder="1" applyAlignment="1">
      <alignment horizontal="center" vertical="center" wrapText="1"/>
    </xf>
    <xf numFmtId="0" fontId="76" fillId="2" borderId="14" xfId="22" applyFont="1" applyFill="1" applyBorder="1" applyAlignment="1">
      <alignment horizontal="center" vertical="center" wrapText="1"/>
    </xf>
    <xf numFmtId="49" fontId="34" fillId="2" borderId="29" xfId="8" applyNumberFormat="1" applyFont="1" applyFill="1" applyBorder="1" applyAlignment="1" applyProtection="1">
      <alignment horizontal="center" vertical="center"/>
      <protection locked="0"/>
    </xf>
    <xf numFmtId="49" fontId="29" fillId="7" borderId="36" xfId="8" applyNumberFormat="1" applyFont="1" applyFill="1" applyBorder="1" applyAlignment="1" applyProtection="1">
      <alignment horizontal="center" vertical="center"/>
    </xf>
    <xf numFmtId="49" fontId="29" fillId="7" borderId="0" xfId="8" applyNumberFormat="1" applyFont="1" applyFill="1" applyBorder="1" applyAlignment="1" applyProtection="1">
      <alignment horizontal="center" vertical="center"/>
    </xf>
    <xf numFmtId="14" fontId="14" fillId="0" borderId="0" xfId="8" applyNumberFormat="1" applyAlignment="1" applyProtection="1">
      <alignment horizontal="center" vertical="center"/>
    </xf>
    <xf numFmtId="49" fontId="29" fillId="7" borderId="0" xfId="8" applyNumberFormat="1" applyFont="1" applyFill="1" applyBorder="1" applyAlignment="1" applyProtection="1">
      <alignment horizontal="center" vertical="center" wrapText="1"/>
    </xf>
    <xf numFmtId="49" fontId="31" fillId="2" borderId="0" xfId="8" applyNumberFormat="1" applyFont="1" applyFill="1" applyBorder="1" applyAlignment="1" applyProtection="1">
      <alignment horizontal="center" vertical="center"/>
    </xf>
    <xf numFmtId="0" fontId="14" fillId="2" borderId="31" xfId="8" applyFill="1" applyBorder="1" applyAlignment="1" applyProtection="1">
      <alignment horizontal="center" vertical="center"/>
    </xf>
    <xf numFmtId="0" fontId="14" fillId="2" borderId="26" xfId="8" applyFill="1" applyBorder="1" applyAlignment="1" applyProtection="1">
      <alignment horizontal="center" vertical="center"/>
    </xf>
    <xf numFmtId="0" fontId="14" fillId="2" borderId="37" xfId="8" applyFill="1" applyBorder="1" applyAlignment="1" applyProtection="1">
      <alignment horizontal="center" vertical="center"/>
    </xf>
    <xf numFmtId="0" fontId="14" fillId="2" borderId="35" xfId="8" applyFill="1" applyBorder="1" applyAlignment="1" applyProtection="1">
      <alignment horizontal="center" vertical="center"/>
    </xf>
    <xf numFmtId="0" fontId="14" fillId="2" borderId="36" xfId="8" applyFill="1" applyBorder="1" applyAlignment="1" applyProtection="1">
      <alignment horizontal="center" vertical="center"/>
    </xf>
    <xf numFmtId="0" fontId="14" fillId="2" borderId="32" xfId="8" applyFill="1" applyBorder="1" applyAlignment="1" applyProtection="1">
      <alignment horizontal="center" vertical="center"/>
    </xf>
    <xf numFmtId="49" fontId="29" fillId="7" borderId="32" xfId="8" applyNumberFormat="1" applyFont="1" applyFill="1" applyBorder="1" applyAlignment="1" applyProtection="1">
      <alignment horizontal="center" vertical="center"/>
    </xf>
    <xf numFmtId="49" fontId="34" fillId="2" borderId="29" xfId="8" applyNumberFormat="1" applyFont="1" applyFill="1" applyBorder="1" applyAlignment="1" applyProtection="1">
      <alignment horizontal="center" vertical="center"/>
    </xf>
    <xf numFmtId="49" fontId="29" fillId="2" borderId="23" xfId="8" applyNumberFormat="1" applyFont="1" applyFill="1" applyBorder="1" applyAlignment="1" applyProtection="1">
      <alignment horizontal="center" vertical="center"/>
    </xf>
    <xf numFmtId="49" fontId="29" fillId="2" borderId="28" xfId="8" applyNumberFormat="1" applyFont="1" applyFill="1" applyBorder="1" applyAlignment="1" applyProtection="1">
      <alignment horizontal="center" vertical="center"/>
    </xf>
    <xf numFmtId="49" fontId="29" fillId="5" borderId="22" xfId="8" applyNumberFormat="1" applyFont="1" applyFill="1" applyBorder="1" applyAlignment="1" applyProtection="1">
      <alignment horizontal="center" vertical="center"/>
    </xf>
    <xf numFmtId="49" fontId="29" fillId="5" borderId="32" xfId="8" applyNumberFormat="1" applyFont="1" applyFill="1" applyBorder="1" applyAlignment="1" applyProtection="1">
      <alignment horizontal="center" vertical="center"/>
    </xf>
    <xf numFmtId="49" fontId="29" fillId="5" borderId="33" xfId="8" applyNumberFormat="1" applyFont="1" applyFill="1" applyBorder="1" applyAlignment="1" applyProtection="1">
      <alignment horizontal="center" vertical="center"/>
    </xf>
    <xf numFmtId="49" fontId="29" fillId="5" borderId="36" xfId="8" applyNumberFormat="1" applyFont="1" applyFill="1" applyBorder="1" applyAlignment="1" applyProtection="1">
      <alignment horizontal="center" vertical="center"/>
    </xf>
    <xf numFmtId="49" fontId="34" fillId="2" borderId="26" xfId="8" applyNumberFormat="1" applyFont="1" applyFill="1" applyBorder="1" applyAlignment="1" applyProtection="1">
      <alignment horizontal="center" vertical="center"/>
      <protection locked="0"/>
    </xf>
    <xf numFmtId="49" fontId="34" fillId="2" borderId="31" xfId="8" applyNumberFormat="1" applyFont="1" applyFill="1" applyBorder="1" applyAlignment="1" applyProtection="1">
      <alignment vertical="center"/>
    </xf>
    <xf numFmtId="49" fontId="34" fillId="2" borderId="15" xfId="8" applyNumberFormat="1" applyFont="1" applyFill="1" applyBorder="1" applyAlignment="1" applyProtection="1">
      <alignment vertical="center"/>
    </xf>
    <xf numFmtId="49" fontId="34" fillId="2" borderId="16" xfId="8" applyNumberFormat="1" applyFont="1" applyFill="1" applyBorder="1" applyAlignment="1" applyProtection="1">
      <alignment horizontal="center" vertical="center"/>
      <protection locked="0"/>
    </xf>
    <xf numFmtId="49" fontId="34" fillId="2" borderId="34" xfId="0" applyNumberFormat="1" applyFont="1" applyFill="1" applyBorder="1" applyAlignment="1" applyProtection="1">
      <alignment vertical="center"/>
    </xf>
    <xf numFmtId="0" fontId="26" fillId="2" borderId="34" xfId="0" applyFont="1" applyFill="1" applyBorder="1" applyAlignment="1" applyProtection="1">
      <alignment vertical="center"/>
    </xf>
    <xf numFmtId="0" fontId="26" fillId="2" borderId="0" xfId="0" applyFont="1" applyFill="1" applyBorder="1" applyAlignment="1" applyProtection="1">
      <alignment horizontal="left" vertical="center"/>
    </xf>
    <xf numFmtId="0" fontId="26" fillId="2" borderId="0" xfId="0" applyFont="1" applyFill="1" applyBorder="1" applyAlignment="1" applyProtection="1">
      <alignment horizontal="center" vertical="center"/>
    </xf>
    <xf numFmtId="49" fontId="29" fillId="2" borderId="34" xfId="0" applyNumberFormat="1" applyFont="1" applyFill="1" applyBorder="1" applyAlignment="1" applyProtection="1">
      <alignment vertical="center"/>
    </xf>
    <xf numFmtId="0" fontId="26" fillId="2" borderId="0" xfId="0" applyFont="1" applyFill="1" applyProtection="1">
      <alignment vertical="center"/>
    </xf>
    <xf numFmtId="0" fontId="26" fillId="2" borderId="0" xfId="0" applyFont="1" applyFill="1" applyBorder="1" applyAlignment="1" applyProtection="1"/>
    <xf numFmtId="0" fontId="26" fillId="2" borderId="0" xfId="16" applyFont="1" applyFill="1" applyProtection="1">
      <alignment vertical="center"/>
    </xf>
    <xf numFmtId="0" fontId="73" fillId="2" borderId="0" xfId="16" applyFont="1" applyFill="1" applyAlignment="1" applyProtection="1">
      <alignment horizontal="center" vertical="center"/>
    </xf>
    <xf numFmtId="0" fontId="26" fillId="2" borderId="0" xfId="16" applyFont="1" applyFill="1" applyAlignment="1" applyProtection="1">
      <alignment vertical="center" wrapText="1"/>
    </xf>
    <xf numFmtId="0" fontId="75" fillId="2" borderId="0" xfId="16" applyFont="1" applyFill="1" applyProtection="1">
      <alignment vertical="center"/>
    </xf>
    <xf numFmtId="0" fontId="85" fillId="2" borderId="0" xfId="16" applyFont="1" applyFill="1" applyAlignment="1" applyProtection="1">
      <alignment vertical="center"/>
    </xf>
    <xf numFmtId="0" fontId="85" fillId="2" borderId="0" xfId="16" applyFont="1" applyFill="1" applyProtection="1">
      <alignment vertical="center"/>
    </xf>
    <xf numFmtId="0" fontId="26" fillId="2" borderId="0" xfId="8" applyFont="1" applyFill="1" applyAlignment="1" applyProtection="1">
      <alignment horizontal="right" vertical="center"/>
    </xf>
    <xf numFmtId="0" fontId="26" fillId="2" borderId="0" xfId="8" applyFont="1" applyFill="1" applyAlignment="1" applyProtection="1">
      <alignment vertical="center"/>
    </xf>
    <xf numFmtId="0" fontId="31" fillId="2" borderId="0" xfId="8" applyNumberFormat="1" applyFont="1" applyFill="1" applyBorder="1" applyAlignment="1" applyProtection="1">
      <alignment horizontal="right" vertical="center"/>
    </xf>
    <xf numFmtId="0" fontId="40" fillId="0" borderId="0" xfId="8" applyNumberFormat="1" applyFont="1" applyBorder="1" applyAlignment="1">
      <alignment horizontal="right" vertical="center"/>
    </xf>
    <xf numFmtId="0" fontId="40" fillId="0" borderId="0" xfId="8" applyNumberFormat="1" applyFont="1" applyBorder="1" applyAlignment="1">
      <alignment horizontal="left" vertical="center"/>
    </xf>
    <xf numFmtId="49" fontId="29" fillId="5" borderId="29" xfId="8" applyNumberFormat="1" applyFont="1" applyFill="1" applyBorder="1" applyAlignment="1" applyProtection="1">
      <alignment horizontal="center" vertical="center"/>
    </xf>
    <xf numFmtId="49" fontId="34" fillId="5" borderId="29" xfId="8" applyNumberFormat="1" applyFont="1" applyFill="1" applyBorder="1" applyAlignment="1" applyProtection="1">
      <alignment horizontal="left" vertical="center"/>
    </xf>
    <xf numFmtId="49" fontId="29" fillId="5" borderId="88" xfId="8" applyNumberFormat="1" applyFont="1" applyFill="1" applyBorder="1" applyAlignment="1" applyProtection="1">
      <alignment horizontal="center" vertical="center"/>
    </xf>
    <xf numFmtId="49" fontId="34" fillId="5" borderId="28" xfId="8" applyNumberFormat="1" applyFont="1" applyFill="1" applyBorder="1" applyAlignment="1" applyProtection="1">
      <alignment horizontal="left" vertical="center"/>
    </xf>
    <xf numFmtId="0" fontId="0" fillId="2" borderId="89" xfId="0" applyFill="1" applyBorder="1">
      <alignment vertical="center"/>
    </xf>
    <xf numFmtId="0" fontId="86" fillId="2" borderId="57" xfId="17" applyFont="1" applyFill="1" applyBorder="1" applyAlignment="1" applyProtection="1">
      <alignment vertical="center" wrapText="1"/>
      <protection locked="0"/>
    </xf>
    <xf numFmtId="0" fontId="87" fillId="2" borderId="0" xfId="17" applyFont="1" applyFill="1" applyBorder="1" applyAlignment="1" applyProtection="1">
      <alignment vertical="center" wrapText="1"/>
      <protection locked="0"/>
    </xf>
    <xf numFmtId="0" fontId="87" fillId="2" borderId="58" xfId="17" applyFont="1" applyFill="1" applyBorder="1" applyAlignment="1" applyProtection="1">
      <alignment vertical="center" wrapText="1"/>
      <protection locked="0"/>
    </xf>
    <xf numFmtId="0" fontId="87" fillId="2" borderId="59" xfId="17" applyFont="1" applyFill="1" applyBorder="1" applyAlignment="1" applyProtection="1">
      <alignment vertical="center" wrapText="1"/>
      <protection locked="0"/>
    </xf>
    <xf numFmtId="0" fontId="87" fillId="2" borderId="40" xfId="17" applyFont="1" applyFill="1" applyBorder="1" applyAlignment="1" applyProtection="1">
      <alignment vertical="center" wrapText="1"/>
      <protection locked="0"/>
    </xf>
    <xf numFmtId="0" fontId="87" fillId="2" borderId="60" xfId="17" applyFont="1" applyFill="1" applyBorder="1" applyAlignment="1" applyProtection="1">
      <alignment vertical="center" wrapText="1"/>
      <protection locked="0"/>
    </xf>
    <xf numFmtId="0" fontId="76" fillId="0" borderId="17" xfId="22" applyFont="1" applyBorder="1" applyAlignment="1">
      <alignment horizontal="center" vertical="center"/>
    </xf>
    <xf numFmtId="0" fontId="76" fillId="0" borderId="14" xfId="22" applyFont="1" applyBorder="1" applyAlignment="1">
      <alignment horizontal="center" vertical="center"/>
    </xf>
    <xf numFmtId="0" fontId="76" fillId="0" borderId="17" xfId="22" applyFont="1" applyBorder="1" applyAlignment="1">
      <alignment horizontal="center" vertical="center" wrapText="1"/>
    </xf>
    <xf numFmtId="0" fontId="76" fillId="0" borderId="14" xfId="22" applyFont="1" applyBorder="1" applyAlignment="1">
      <alignment horizontal="center" vertical="center" wrapText="1"/>
    </xf>
    <xf numFmtId="0" fontId="76" fillId="9" borderId="14" xfId="22" applyFont="1" applyFill="1" applyBorder="1" applyAlignment="1">
      <alignment horizontal="center" vertical="center" wrapText="1"/>
    </xf>
    <xf numFmtId="0" fontId="76" fillId="9" borderId="47" xfId="22" applyFont="1" applyFill="1" applyBorder="1" applyAlignment="1">
      <alignment horizontal="center" vertical="center" wrapText="1"/>
    </xf>
    <xf numFmtId="0" fontId="76" fillId="0" borderId="47" xfId="22" applyFont="1" applyBorder="1" applyAlignment="1">
      <alignment horizontal="center" vertical="center"/>
    </xf>
    <xf numFmtId="0" fontId="78" fillId="22" borderId="15" xfId="22" applyFont="1" applyFill="1" applyBorder="1" applyAlignment="1">
      <alignment horizontal="center" vertical="center"/>
    </xf>
    <xf numFmtId="0" fontId="78" fillId="22" borderId="17" xfId="22" applyFont="1" applyFill="1" applyBorder="1" applyAlignment="1">
      <alignment horizontal="center" vertical="center"/>
    </xf>
    <xf numFmtId="0" fontId="76" fillId="0" borderId="54" xfId="22" applyFont="1" applyBorder="1" applyAlignment="1">
      <alignment horizontal="center" vertical="center"/>
    </xf>
    <xf numFmtId="0" fontId="76" fillId="0" borderId="16" xfId="22" applyFont="1" applyBorder="1" applyAlignment="1">
      <alignment horizontal="center" vertical="center"/>
    </xf>
    <xf numFmtId="0" fontId="76" fillId="0" borderId="45" xfId="22" applyFont="1" applyBorder="1" applyAlignment="1">
      <alignment horizontal="center" vertical="center"/>
    </xf>
    <xf numFmtId="0" fontId="76" fillId="10" borderId="46" xfId="22" applyFont="1" applyFill="1" applyBorder="1" applyAlignment="1">
      <alignment horizontal="center" vertical="center"/>
    </xf>
    <xf numFmtId="0" fontId="76" fillId="10" borderId="14" xfId="22" applyFont="1" applyFill="1" applyBorder="1" applyAlignment="1">
      <alignment horizontal="center" vertical="center"/>
    </xf>
    <xf numFmtId="0" fontId="76" fillId="10" borderId="47" xfId="22" applyFont="1" applyFill="1" applyBorder="1" applyAlignment="1">
      <alignment horizontal="center" vertical="center"/>
    </xf>
    <xf numFmtId="0" fontId="76" fillId="29" borderId="54" xfId="22" applyFont="1" applyFill="1" applyBorder="1" applyAlignment="1">
      <alignment horizontal="center" vertical="center"/>
    </xf>
    <xf numFmtId="0" fontId="76" fillId="29" borderId="16" xfId="22" applyFont="1" applyFill="1" applyBorder="1" applyAlignment="1">
      <alignment horizontal="center" vertical="center"/>
    </xf>
    <xf numFmtId="0" fontId="76" fillId="29" borderId="45" xfId="22" applyFont="1" applyFill="1" applyBorder="1" applyAlignment="1">
      <alignment horizontal="center" vertical="center"/>
    </xf>
    <xf numFmtId="0" fontId="76" fillId="30" borderId="46" xfId="22" applyFont="1" applyFill="1" applyBorder="1" applyAlignment="1">
      <alignment horizontal="center" vertical="center"/>
    </xf>
    <xf numFmtId="0" fontId="76" fillId="30" borderId="14" xfId="22" applyFont="1" applyFill="1" applyBorder="1" applyAlignment="1">
      <alignment horizontal="center" vertical="center"/>
    </xf>
    <xf numFmtId="0" fontId="76" fillId="30" borderId="47" xfId="22" applyFont="1" applyFill="1" applyBorder="1" applyAlignment="1">
      <alignment horizontal="center" vertical="center"/>
    </xf>
    <xf numFmtId="0" fontId="76" fillId="11" borderId="46" xfId="22" applyFont="1" applyFill="1" applyBorder="1" applyAlignment="1">
      <alignment horizontal="center" vertical="center"/>
    </xf>
    <xf numFmtId="0" fontId="76" fillId="11" borderId="14" xfId="22" applyFont="1" applyFill="1" applyBorder="1" applyAlignment="1">
      <alignment horizontal="center" vertical="center"/>
    </xf>
    <xf numFmtId="0" fontId="76" fillId="11" borderId="47" xfId="22" applyFont="1" applyFill="1" applyBorder="1" applyAlignment="1">
      <alignment horizontal="center" vertical="center"/>
    </xf>
    <xf numFmtId="0" fontId="76" fillId="14" borderId="46" xfId="22" applyFont="1" applyFill="1" applyBorder="1" applyAlignment="1">
      <alignment horizontal="center" vertical="center" wrapText="1"/>
    </xf>
    <xf numFmtId="0" fontId="76" fillId="14" borderId="14" xfId="22" applyFont="1" applyFill="1" applyBorder="1" applyAlignment="1">
      <alignment horizontal="center" vertical="center" wrapText="1"/>
    </xf>
    <xf numFmtId="0" fontId="76" fillId="14" borderId="47" xfId="22" applyFont="1" applyFill="1" applyBorder="1" applyAlignment="1">
      <alignment horizontal="center" vertical="center" wrapText="1"/>
    </xf>
    <xf numFmtId="0" fontId="76" fillId="0" borderId="46" xfId="22" applyFont="1" applyBorder="1" applyAlignment="1">
      <alignment horizontal="center" vertical="center"/>
    </xf>
    <xf numFmtId="0" fontId="76" fillId="15" borderId="46" xfId="22" applyFont="1" applyFill="1" applyBorder="1" applyAlignment="1">
      <alignment horizontal="center" vertical="center"/>
    </xf>
    <xf numFmtId="0" fontId="76" fillId="15" borderId="14" xfId="22" applyFont="1" applyFill="1" applyBorder="1" applyAlignment="1">
      <alignment horizontal="center" vertical="center"/>
    </xf>
    <xf numFmtId="0" fontId="76" fillId="15" borderId="47" xfId="22" applyFont="1" applyFill="1" applyBorder="1" applyAlignment="1">
      <alignment horizontal="center" vertical="center"/>
    </xf>
    <xf numFmtId="0" fontId="76" fillId="12" borderId="46" xfId="22" applyFont="1" applyFill="1" applyBorder="1" applyAlignment="1">
      <alignment horizontal="center" vertical="center"/>
    </xf>
    <xf numFmtId="0" fontId="76" fillId="12" borderId="14" xfId="22" applyFont="1" applyFill="1" applyBorder="1" applyAlignment="1">
      <alignment horizontal="center" vertical="center"/>
    </xf>
    <xf numFmtId="0" fontId="76" fillId="12" borderId="47" xfId="22" applyFont="1" applyFill="1" applyBorder="1" applyAlignment="1">
      <alignment horizontal="center" vertical="center"/>
    </xf>
    <xf numFmtId="0" fontId="76" fillId="16" borderId="46" xfId="22" applyFont="1" applyFill="1" applyBorder="1" applyAlignment="1">
      <alignment horizontal="center" vertical="center"/>
    </xf>
    <xf numFmtId="0" fontId="76" fillId="16" borderId="14" xfId="22" applyFont="1" applyFill="1" applyBorder="1" applyAlignment="1">
      <alignment horizontal="center" vertical="center"/>
    </xf>
    <xf numFmtId="0" fontId="76" fillId="16" borderId="47" xfId="22" applyFont="1" applyFill="1" applyBorder="1" applyAlignment="1">
      <alignment horizontal="center" vertical="center"/>
    </xf>
    <xf numFmtId="0" fontId="81" fillId="17" borderId="46" xfId="22" applyFont="1" applyFill="1" applyBorder="1" applyAlignment="1">
      <alignment horizontal="center" vertical="center"/>
    </xf>
    <xf numFmtId="0" fontId="81" fillId="17" borderId="14" xfId="22" applyFont="1" applyFill="1" applyBorder="1" applyAlignment="1">
      <alignment horizontal="center" vertical="center"/>
    </xf>
    <xf numFmtId="0" fontId="81" fillId="17" borderId="15" xfId="22" applyFont="1" applyFill="1" applyBorder="1" applyAlignment="1">
      <alignment horizontal="center" vertical="center"/>
    </xf>
    <xf numFmtId="0" fontId="76" fillId="27" borderId="46" xfId="22" applyFont="1" applyFill="1" applyBorder="1" applyAlignment="1">
      <alignment horizontal="center" vertical="center"/>
    </xf>
    <xf numFmtId="0" fontId="76" fillId="27" borderId="14" xfId="22" applyFont="1" applyFill="1" applyBorder="1" applyAlignment="1">
      <alignment horizontal="center" vertical="center"/>
    </xf>
    <xf numFmtId="0" fontId="76" fillId="27" borderId="47" xfId="22" applyFont="1" applyFill="1" applyBorder="1" applyAlignment="1">
      <alignment horizontal="center" vertical="center"/>
    </xf>
    <xf numFmtId="0" fontId="76" fillId="13" borderId="46" xfId="22" applyFont="1" applyFill="1" applyBorder="1" applyAlignment="1">
      <alignment horizontal="center" vertical="center"/>
    </xf>
    <xf numFmtId="0" fontId="76" fillId="13" borderId="14" xfId="22" applyFont="1" applyFill="1" applyBorder="1" applyAlignment="1">
      <alignment horizontal="center" vertical="center"/>
    </xf>
    <xf numFmtId="0" fontId="76" fillId="13" borderId="47" xfId="22" applyFont="1" applyFill="1" applyBorder="1" applyAlignment="1">
      <alignment horizontal="center" vertical="center"/>
    </xf>
    <xf numFmtId="0" fontId="11" fillId="0" borderId="46" xfId="13" applyFill="1" applyBorder="1" applyAlignment="1">
      <alignment horizontal="center" vertical="center"/>
    </xf>
    <xf numFmtId="0" fontId="11" fillId="0" borderId="14" xfId="13" applyFill="1" applyBorder="1" applyAlignment="1">
      <alignment horizontal="center" vertical="center"/>
    </xf>
    <xf numFmtId="0" fontId="11" fillId="0" borderId="47" xfId="13" applyFill="1" applyBorder="1" applyAlignment="1">
      <alignment horizontal="center" vertical="center"/>
    </xf>
    <xf numFmtId="0" fontId="11" fillId="0" borderId="17" xfId="13" applyFill="1" applyBorder="1" applyAlignment="1">
      <alignment horizontal="center" vertical="center"/>
    </xf>
    <xf numFmtId="0" fontId="7" fillId="24" borderId="50" xfId="20" applyFill="1" applyBorder="1" applyAlignment="1">
      <alignment horizontal="center" vertical="center"/>
    </xf>
    <xf numFmtId="0" fontId="7" fillId="24" borderId="8" xfId="20" applyFill="1" applyBorder="1" applyAlignment="1">
      <alignment horizontal="center" vertical="center"/>
    </xf>
    <xf numFmtId="0" fontId="7" fillId="24" borderId="51" xfId="20" applyFill="1" applyBorder="1" applyAlignment="1">
      <alignment horizontal="center" vertical="center"/>
    </xf>
    <xf numFmtId="0" fontId="7" fillId="14" borderId="50" xfId="20" applyFill="1" applyBorder="1" applyAlignment="1">
      <alignment horizontal="center" vertical="center"/>
    </xf>
    <xf numFmtId="0" fontId="7" fillId="14" borderId="8" xfId="20" applyFill="1" applyBorder="1" applyAlignment="1">
      <alignment horizontal="center" vertical="center"/>
    </xf>
    <xf numFmtId="0" fontId="7" fillId="14" borderId="51" xfId="20" applyFill="1" applyBorder="1" applyAlignment="1">
      <alignment horizontal="center" vertical="center"/>
    </xf>
    <xf numFmtId="0" fontId="7" fillId="9" borderId="50" xfId="20" applyFill="1" applyBorder="1" applyAlignment="1">
      <alignment horizontal="center" vertical="center"/>
    </xf>
    <xf numFmtId="0" fontId="7" fillId="9" borderId="8" xfId="20" applyFill="1" applyBorder="1" applyAlignment="1">
      <alignment horizontal="center" vertical="center"/>
    </xf>
    <xf numFmtId="0" fontId="7" fillId="9" borderId="51" xfId="20" applyFill="1" applyBorder="1" applyAlignment="1">
      <alignment horizontal="center" vertical="center"/>
    </xf>
    <xf numFmtId="0" fontId="7" fillId="0" borderId="50" xfId="20" applyBorder="1" applyAlignment="1">
      <alignment horizontal="center" vertical="center"/>
    </xf>
    <xf numFmtId="0" fontId="7" fillId="0" borderId="51" xfId="20" applyBorder="1" applyAlignment="1">
      <alignment horizontal="center" vertical="center"/>
    </xf>
    <xf numFmtId="0" fontId="7" fillId="12" borderId="50" xfId="20" applyFill="1" applyBorder="1" applyAlignment="1">
      <alignment horizontal="center" vertical="center"/>
    </xf>
    <xf numFmtId="0" fontId="7" fillId="12" borderId="8" xfId="20" applyFill="1" applyBorder="1" applyAlignment="1">
      <alignment horizontal="center" vertical="center"/>
    </xf>
    <xf numFmtId="0" fontId="7" fillId="12" borderId="51" xfId="20" applyFill="1" applyBorder="1" applyAlignment="1">
      <alignment horizontal="center" vertical="center"/>
    </xf>
    <xf numFmtId="0" fontId="7" fillId="23" borderId="50" xfId="20" applyFill="1" applyBorder="1" applyAlignment="1">
      <alignment horizontal="center" vertical="center"/>
    </xf>
    <xf numFmtId="0" fontId="7" fillId="23" borderId="8" xfId="20" applyFill="1" applyBorder="1" applyAlignment="1">
      <alignment horizontal="center" vertical="center"/>
    </xf>
    <xf numFmtId="0" fontId="7" fillId="23" borderId="51" xfId="20" applyFill="1" applyBorder="1" applyAlignment="1">
      <alignment horizontal="center" vertical="center"/>
    </xf>
    <xf numFmtId="0" fontId="26" fillId="7" borderId="22" xfId="8" applyFont="1" applyFill="1" applyBorder="1" applyAlignment="1" applyProtection="1">
      <alignment horizontal="center" vertical="center"/>
    </xf>
    <xf numFmtId="0" fontId="26" fillId="7" borderId="23" xfId="8" applyFont="1" applyFill="1" applyBorder="1" applyAlignment="1" applyProtection="1">
      <alignment horizontal="center" vertical="center"/>
    </xf>
    <xf numFmtId="0" fontId="69" fillId="2" borderId="55" xfId="17" applyFill="1" applyBorder="1" applyAlignment="1" applyProtection="1">
      <alignment horizontal="center" wrapText="1"/>
      <protection locked="0"/>
    </xf>
    <xf numFmtId="0" fontId="69" fillId="2" borderId="25" xfId="17" applyFill="1" applyBorder="1" applyAlignment="1" applyProtection="1">
      <alignment horizontal="center" wrapText="1"/>
      <protection locked="0"/>
    </xf>
    <xf numFmtId="0" fontId="69" fillId="2" borderId="56" xfId="17" applyFill="1" applyBorder="1" applyAlignment="1" applyProtection="1">
      <alignment horizontal="center" wrapText="1"/>
      <protection locked="0"/>
    </xf>
    <xf numFmtId="0" fontId="69" fillId="2" borderId="57" xfId="17" applyFill="1" applyBorder="1" applyAlignment="1" applyProtection="1">
      <alignment horizontal="center" wrapText="1"/>
      <protection locked="0"/>
    </xf>
    <xf numFmtId="0" fontId="69" fillId="2" borderId="0" xfId="17" applyFill="1" applyBorder="1" applyAlignment="1" applyProtection="1">
      <alignment horizontal="center" wrapText="1"/>
      <protection locked="0"/>
    </xf>
    <xf numFmtId="0" fontId="69" fillId="2" borderId="58" xfId="17" applyFill="1" applyBorder="1" applyAlignment="1" applyProtection="1">
      <alignment horizontal="center" wrapText="1"/>
      <protection locked="0"/>
    </xf>
    <xf numFmtId="0" fontId="87" fillId="2" borderId="57" xfId="17" applyFont="1" applyFill="1" applyBorder="1" applyAlignment="1" applyProtection="1">
      <alignment horizontal="left" vertical="center" wrapText="1"/>
      <protection locked="0"/>
    </xf>
    <xf numFmtId="0" fontId="87" fillId="2" borderId="0" xfId="17" applyFont="1" applyFill="1" applyBorder="1" applyAlignment="1" applyProtection="1">
      <alignment horizontal="left" vertical="center" wrapText="1"/>
      <protection locked="0"/>
    </xf>
    <xf numFmtId="0" fontId="87" fillId="2" borderId="58" xfId="17" applyFont="1" applyFill="1" applyBorder="1" applyAlignment="1" applyProtection="1">
      <alignment horizontal="left" vertical="center" wrapText="1"/>
      <protection locked="0"/>
    </xf>
    <xf numFmtId="0" fontId="87" fillId="2" borderId="91" xfId="17" applyFont="1" applyFill="1" applyBorder="1" applyAlignment="1" applyProtection="1">
      <alignment horizontal="left" vertical="center" wrapText="1"/>
      <protection locked="0"/>
    </xf>
    <xf numFmtId="0" fontId="87" fillId="2" borderId="8" xfId="17" applyFont="1" applyFill="1" applyBorder="1" applyAlignment="1" applyProtection="1">
      <alignment horizontal="left" vertical="center" wrapText="1"/>
      <protection locked="0"/>
    </xf>
    <xf numFmtId="0" fontId="87" fillId="2" borderId="92" xfId="17" applyFont="1" applyFill="1" applyBorder="1" applyAlignment="1" applyProtection="1">
      <alignment horizontal="left" vertical="center" wrapText="1"/>
      <protection locked="0"/>
    </xf>
    <xf numFmtId="0" fontId="80" fillId="2" borderId="0" xfId="16" applyFont="1" applyFill="1" applyAlignment="1" applyProtection="1">
      <alignment horizontal="center" vertical="center"/>
    </xf>
    <xf numFmtId="0" fontId="26" fillId="5" borderId="22" xfId="8" applyFont="1" applyFill="1" applyBorder="1" applyAlignment="1" applyProtection="1">
      <alignment horizontal="center" vertical="center"/>
    </xf>
    <xf numFmtId="0" fontId="26" fillId="5" borderId="24" xfId="8" applyFont="1" applyFill="1" applyBorder="1" applyAlignment="1" applyProtection="1">
      <alignment horizontal="center" vertical="center"/>
    </xf>
    <xf numFmtId="0" fontId="26" fillId="7" borderId="22" xfId="0" applyFont="1" applyFill="1" applyBorder="1" applyAlignment="1" applyProtection="1">
      <alignment horizontal="center" vertical="center"/>
    </xf>
    <xf numFmtId="49" fontId="27" fillId="2" borderId="0" xfId="8" applyNumberFormat="1" applyFont="1" applyFill="1" applyBorder="1" applyAlignment="1" applyProtection="1">
      <alignment horizontal="center" vertical="center"/>
    </xf>
    <xf numFmtId="0" fontId="26" fillId="5" borderId="22" xfId="8" applyFont="1" applyFill="1" applyBorder="1" applyAlignment="1" applyProtection="1">
      <alignment horizontal="center" vertical="center" wrapText="1"/>
    </xf>
    <xf numFmtId="0" fontId="26" fillId="5" borderId="23" xfId="8" applyFont="1" applyFill="1" applyBorder="1" applyAlignment="1" applyProtection="1">
      <alignment horizontal="center" vertical="center"/>
    </xf>
    <xf numFmtId="0" fontId="26" fillId="2" borderId="22" xfId="8" applyFont="1" applyFill="1" applyBorder="1" applyAlignment="1" applyProtection="1">
      <alignment horizontal="center" vertical="center"/>
      <protection locked="0"/>
    </xf>
    <xf numFmtId="0" fontId="26" fillId="0" borderId="35" xfId="16" applyFont="1" applyBorder="1" applyAlignment="1" applyProtection="1">
      <alignment horizontal="center" vertical="center"/>
      <protection locked="0"/>
    </xf>
    <xf numFmtId="0" fontId="26" fillId="0" borderId="36" xfId="16" applyFont="1" applyBorder="1" applyAlignment="1" applyProtection="1">
      <alignment horizontal="center" vertical="center"/>
      <protection locked="0"/>
    </xf>
    <xf numFmtId="0" fontId="26" fillId="0" borderId="32" xfId="16" applyFont="1" applyBorder="1" applyAlignment="1" applyProtection="1">
      <alignment horizontal="center" vertical="center"/>
      <protection locked="0"/>
    </xf>
    <xf numFmtId="0" fontId="26" fillId="0" borderId="34" xfId="16" applyFont="1" applyBorder="1" applyAlignment="1" applyProtection="1">
      <alignment horizontal="center" vertical="center"/>
      <protection locked="0"/>
    </xf>
    <xf numFmtId="0" fontId="26" fillId="0" borderId="0" xfId="16" applyFont="1" applyBorder="1" applyAlignment="1" applyProtection="1">
      <alignment horizontal="center" vertical="center"/>
      <protection locked="0"/>
    </xf>
    <xf numFmtId="0" fontId="26" fillId="0" borderId="27" xfId="16" applyFont="1" applyBorder="1" applyAlignment="1" applyProtection="1">
      <alignment horizontal="center" vertical="center"/>
      <protection locked="0"/>
    </xf>
    <xf numFmtId="0" fontId="26" fillId="0" borderId="31" xfId="16" applyFont="1" applyBorder="1" applyAlignment="1" applyProtection="1">
      <alignment horizontal="center" vertical="center"/>
      <protection locked="0"/>
    </xf>
    <xf numFmtId="0" fontId="26" fillId="0" borderId="26" xfId="16" applyFont="1" applyBorder="1" applyAlignment="1" applyProtection="1">
      <alignment horizontal="center" vertical="center"/>
      <protection locked="0"/>
    </xf>
    <xf numFmtId="0" fontId="26" fillId="0" borderId="37" xfId="16" applyFont="1" applyBorder="1" applyAlignment="1" applyProtection="1">
      <alignment horizontal="center" vertical="center"/>
      <protection locked="0"/>
    </xf>
    <xf numFmtId="0" fontId="79" fillId="2" borderId="0" xfId="8" applyFont="1" applyFill="1" applyAlignment="1" applyProtection="1">
      <alignment vertical="center" wrapText="1"/>
    </xf>
    <xf numFmtId="0" fontId="26" fillId="2" borderId="0" xfId="8" applyFont="1" applyFill="1" applyBorder="1" applyAlignment="1" applyProtection="1">
      <alignment horizontal="left"/>
    </xf>
    <xf numFmtId="49" fontId="34" fillId="2" borderId="22" xfId="8" applyNumberFormat="1" applyFont="1" applyFill="1" applyBorder="1" applyAlignment="1" applyProtection="1">
      <alignment horizontal="center" vertical="center"/>
      <protection locked="0"/>
    </xf>
    <xf numFmtId="49" fontId="29" fillId="2" borderId="22" xfId="8" applyNumberFormat="1" applyFont="1" applyFill="1" applyBorder="1" applyAlignment="1" applyProtection="1">
      <alignment horizontal="left" vertical="center"/>
    </xf>
    <xf numFmtId="0" fontId="26" fillId="7" borderId="22" xfId="8" applyFont="1" applyFill="1" applyBorder="1" applyAlignment="1" applyProtection="1">
      <alignment horizontal="left" vertical="center"/>
    </xf>
    <xf numFmtId="0" fontId="69" fillId="0" borderId="22" xfId="17" applyFill="1" applyBorder="1" applyAlignment="1" applyProtection="1">
      <alignment horizontal="center" vertical="center"/>
      <protection locked="0"/>
    </xf>
    <xf numFmtId="0" fontId="26" fillId="0" borderId="22" xfId="8" applyFont="1" applyFill="1" applyBorder="1" applyAlignment="1" applyProtection="1">
      <alignment horizontal="center" vertical="center"/>
      <protection locked="0"/>
    </xf>
    <xf numFmtId="0" fontId="26" fillId="2" borderId="23" xfId="8" applyFont="1" applyFill="1" applyBorder="1" applyAlignment="1" applyProtection="1">
      <alignment horizontal="center" vertical="center"/>
      <protection locked="0"/>
    </xf>
    <xf numFmtId="0" fontId="26" fillId="2" borderId="29" xfId="8" applyFont="1" applyFill="1" applyBorder="1" applyAlignment="1" applyProtection="1">
      <alignment horizontal="center" vertical="center"/>
      <protection locked="0"/>
    </xf>
    <xf numFmtId="0" fontId="26" fillId="2" borderId="28" xfId="8" applyFont="1" applyFill="1" applyBorder="1" applyAlignment="1" applyProtection="1">
      <alignment horizontal="center" vertical="center"/>
      <protection locked="0"/>
    </xf>
    <xf numFmtId="0" fontId="26" fillId="7" borderId="23" xfId="8" applyFont="1" applyFill="1" applyBorder="1" applyAlignment="1" applyProtection="1">
      <alignment horizontal="left" vertical="center"/>
    </xf>
    <xf numFmtId="0" fontId="26" fillId="7" borderId="29" xfId="8" applyFont="1" applyFill="1" applyBorder="1" applyAlignment="1" applyProtection="1">
      <alignment horizontal="left" vertical="center"/>
    </xf>
    <xf numFmtId="0" fontId="26" fillId="7" borderId="28" xfId="8" applyFont="1" applyFill="1" applyBorder="1" applyAlignment="1" applyProtection="1">
      <alignment horizontal="left" vertical="center"/>
    </xf>
    <xf numFmtId="49" fontId="34" fillId="2" borderId="23" xfId="8" applyNumberFormat="1" applyFont="1" applyFill="1" applyBorder="1" applyAlignment="1" applyProtection="1">
      <alignment horizontal="center" vertical="center"/>
      <protection locked="0"/>
    </xf>
    <xf numFmtId="49" fontId="34" fillId="2" borderId="29" xfId="8" applyNumberFormat="1" applyFont="1" applyFill="1" applyBorder="1" applyAlignment="1" applyProtection="1">
      <alignment horizontal="center" vertical="center"/>
      <protection locked="0"/>
    </xf>
    <xf numFmtId="49" fontId="34" fillId="2" borderId="28" xfId="8" applyNumberFormat="1" applyFont="1" applyFill="1" applyBorder="1" applyAlignment="1" applyProtection="1">
      <alignment horizontal="center" vertical="center"/>
      <protection locked="0"/>
    </xf>
    <xf numFmtId="0" fontId="29" fillId="0" borderId="15" xfId="0" applyFont="1" applyBorder="1" applyAlignment="1" applyProtection="1">
      <alignment horizontal="left" vertical="center"/>
      <protection locked="0"/>
    </xf>
    <xf numFmtId="0" fontId="29" fillId="0" borderId="16" xfId="0" applyFont="1" applyBorder="1" applyAlignment="1" applyProtection="1">
      <alignment horizontal="left" vertical="center"/>
      <protection locked="0"/>
    </xf>
    <xf numFmtId="0" fontId="29" fillId="0" borderId="17" xfId="0" applyFont="1" applyBorder="1" applyAlignment="1" applyProtection="1">
      <alignment horizontal="left" vertical="center"/>
      <protection locked="0"/>
    </xf>
    <xf numFmtId="0" fontId="26" fillId="7" borderId="23" xfId="8" applyFont="1" applyFill="1" applyBorder="1" applyAlignment="1" applyProtection="1">
      <alignment vertical="center"/>
    </xf>
    <xf numFmtId="0" fontId="26" fillId="7" borderId="29" xfId="8" applyFont="1" applyFill="1" applyBorder="1" applyAlignment="1" applyProtection="1">
      <alignment vertical="center"/>
    </xf>
    <xf numFmtId="0" fontId="26" fillId="7" borderId="28" xfId="8" applyFont="1" applyFill="1" applyBorder="1" applyAlignment="1" applyProtection="1">
      <alignment vertical="center"/>
    </xf>
    <xf numFmtId="0" fontId="26" fillId="2" borderId="29" xfId="8" applyFont="1" applyFill="1" applyBorder="1" applyAlignment="1" applyProtection="1">
      <alignment horizontal="left" vertical="center"/>
    </xf>
    <xf numFmtId="0" fontId="26" fillId="0" borderId="29" xfId="8" applyFont="1" applyFill="1" applyBorder="1" applyAlignment="1" applyProtection="1">
      <alignment horizontal="left" vertical="center"/>
    </xf>
    <xf numFmtId="0" fontId="26" fillId="0" borderId="28" xfId="8" applyFont="1" applyFill="1" applyBorder="1" applyAlignment="1" applyProtection="1">
      <alignment horizontal="left" vertical="center"/>
    </xf>
    <xf numFmtId="49" fontId="34" fillId="2" borderId="23" xfId="8" applyNumberFormat="1" applyFont="1" applyFill="1" applyBorder="1" applyAlignment="1" applyProtection="1">
      <alignment horizontal="right" vertical="center"/>
      <protection locked="0"/>
    </xf>
    <xf numFmtId="49" fontId="34" fillId="0" borderId="29" xfId="8" applyNumberFormat="1" applyFont="1" applyFill="1" applyBorder="1" applyAlignment="1" applyProtection="1">
      <alignment horizontal="right" vertical="center"/>
      <protection locked="0"/>
    </xf>
    <xf numFmtId="0" fontId="35" fillId="5" borderId="29" xfId="8" applyFont="1" applyFill="1" applyBorder="1" applyAlignment="1" applyProtection="1">
      <alignment horizontal="left" vertical="center"/>
    </xf>
    <xf numFmtId="0" fontId="26" fillId="2" borderId="29" xfId="8" applyFont="1" applyFill="1" applyBorder="1" applyAlignment="1" applyProtection="1">
      <alignment horizontal="left" vertical="center" wrapText="1"/>
    </xf>
    <xf numFmtId="49" fontId="31" fillId="2" borderId="71" xfId="8" applyNumberFormat="1" applyFont="1" applyFill="1" applyBorder="1" applyAlignment="1" applyProtection="1">
      <alignment horizontal="left" vertical="center"/>
    </xf>
    <xf numFmtId="49" fontId="31" fillId="0" borderId="72" xfId="8" applyNumberFormat="1" applyFont="1" applyFill="1" applyBorder="1" applyAlignment="1" applyProtection="1">
      <alignment horizontal="left" vertical="center"/>
    </xf>
    <xf numFmtId="49" fontId="31" fillId="7" borderId="72" xfId="8" applyNumberFormat="1" applyFont="1" applyFill="1" applyBorder="1" applyAlignment="1" applyProtection="1">
      <alignment horizontal="left" vertical="center" wrapText="1"/>
    </xf>
    <xf numFmtId="49" fontId="31" fillId="7" borderId="31" xfId="8" applyNumberFormat="1" applyFont="1" applyFill="1" applyBorder="1" applyAlignment="1" applyProtection="1">
      <alignment horizontal="center" vertical="center"/>
    </xf>
    <xf numFmtId="49" fontId="31" fillId="7" borderId="26" xfId="8" applyNumberFormat="1" applyFont="1" applyFill="1" applyBorder="1" applyAlignment="1" applyProtection="1">
      <alignment horizontal="center" vertical="center"/>
    </xf>
    <xf numFmtId="49" fontId="31" fillId="7" borderId="37" xfId="8" applyNumberFormat="1" applyFont="1" applyFill="1" applyBorder="1" applyAlignment="1" applyProtection="1">
      <alignment horizontal="center" vertical="center"/>
    </xf>
    <xf numFmtId="49" fontId="31" fillId="2" borderId="31" xfId="8" applyNumberFormat="1" applyFont="1" applyFill="1" applyBorder="1" applyAlignment="1" applyProtection="1">
      <alignment horizontal="left" vertical="center"/>
      <protection locked="0"/>
    </xf>
    <xf numFmtId="49" fontId="31" fillId="0" borderId="26" xfId="8" applyNumberFormat="1" applyFont="1" applyFill="1" applyBorder="1" applyAlignment="1" applyProtection="1">
      <alignment horizontal="left" vertical="center"/>
      <protection locked="0"/>
    </xf>
    <xf numFmtId="49" fontId="31" fillId="0" borderId="37" xfId="8" applyNumberFormat="1" applyFont="1" applyFill="1" applyBorder="1" applyAlignment="1" applyProtection="1">
      <alignment horizontal="left" vertical="center"/>
      <protection locked="0"/>
    </xf>
    <xf numFmtId="49" fontId="32" fillId="2" borderId="35" xfId="8" applyNumberFormat="1" applyFont="1" applyFill="1" applyBorder="1" applyAlignment="1" applyProtection="1">
      <alignment horizontal="left" vertical="center"/>
      <protection locked="0"/>
    </xf>
    <xf numFmtId="49" fontId="32" fillId="0" borderId="36" xfId="8" applyNumberFormat="1" applyFont="1" applyFill="1" applyBorder="1" applyAlignment="1" applyProtection="1">
      <alignment horizontal="left" vertical="center"/>
      <protection locked="0"/>
    </xf>
    <xf numFmtId="49" fontId="32" fillId="0" borderId="32" xfId="8" applyNumberFormat="1" applyFont="1" applyFill="1" applyBorder="1" applyAlignment="1" applyProtection="1">
      <alignment horizontal="left" vertical="center"/>
      <protection locked="0"/>
    </xf>
    <xf numFmtId="49" fontId="32" fillId="0" borderId="31" xfId="8" applyNumberFormat="1" applyFont="1" applyFill="1" applyBorder="1" applyAlignment="1" applyProtection="1">
      <alignment horizontal="left" vertical="center"/>
      <protection locked="0"/>
    </xf>
    <xf numFmtId="49" fontId="32" fillId="0" borderId="26" xfId="8" applyNumberFormat="1" applyFont="1" applyFill="1" applyBorder="1" applyAlignment="1" applyProtection="1">
      <alignment horizontal="left" vertical="center"/>
      <protection locked="0"/>
    </xf>
    <xf numFmtId="49" fontId="32" fillId="0" borderId="37" xfId="8" applyNumberFormat="1" applyFont="1" applyFill="1" applyBorder="1" applyAlignment="1" applyProtection="1">
      <alignment horizontal="left" vertical="center"/>
      <protection locked="0"/>
    </xf>
    <xf numFmtId="49" fontId="29" fillId="7" borderId="36" xfId="8" applyNumberFormat="1" applyFont="1" applyFill="1" applyBorder="1" applyAlignment="1" applyProtection="1">
      <alignment horizontal="center" vertical="center"/>
    </xf>
    <xf numFmtId="49" fontId="29" fillId="7" borderId="0" xfId="8" applyNumberFormat="1" applyFont="1" applyFill="1" applyBorder="1" applyAlignment="1" applyProtection="1">
      <alignment horizontal="center" vertical="center"/>
    </xf>
    <xf numFmtId="49" fontId="29" fillId="7" borderId="27" xfId="8" applyNumberFormat="1" applyFont="1" applyFill="1" applyBorder="1" applyAlignment="1" applyProtection="1">
      <alignment horizontal="center" vertical="center"/>
    </xf>
    <xf numFmtId="49" fontId="29" fillId="7" borderId="26" xfId="8" applyNumberFormat="1" applyFont="1" applyFill="1" applyBorder="1" applyAlignment="1" applyProtection="1">
      <alignment horizontal="center" vertical="center"/>
    </xf>
    <xf numFmtId="49" fontId="29" fillId="7" borderId="37" xfId="8" applyNumberFormat="1" applyFont="1" applyFill="1" applyBorder="1" applyAlignment="1" applyProtection="1">
      <alignment horizontal="center" vertical="center"/>
    </xf>
    <xf numFmtId="49" fontId="34" fillId="2" borderId="72" xfId="8" applyNumberFormat="1" applyFont="1" applyFill="1" applyBorder="1" applyAlignment="1" applyProtection="1">
      <alignment horizontal="center" vertical="center"/>
      <protection locked="0"/>
    </xf>
    <xf numFmtId="49" fontId="34" fillId="0" borderId="72" xfId="8" applyNumberFormat="1" applyFont="1" applyFill="1" applyBorder="1" applyAlignment="1" applyProtection="1">
      <alignment horizontal="center" vertical="center"/>
      <protection locked="0"/>
    </xf>
    <xf numFmtId="0" fontId="26" fillId="5" borderId="36" xfId="8" applyFont="1" applyFill="1" applyBorder="1" applyAlignment="1" applyProtection="1">
      <alignment horizontal="left" vertical="center"/>
    </xf>
    <xf numFmtId="0" fontId="26" fillId="5" borderId="32" xfId="8" applyFont="1" applyFill="1" applyBorder="1" applyAlignment="1" applyProtection="1">
      <alignment horizontal="left" vertical="center"/>
    </xf>
    <xf numFmtId="0" fontId="26" fillId="2" borderId="35" xfId="8" applyFont="1" applyFill="1" applyBorder="1" applyAlignment="1" applyProtection="1">
      <alignment horizontal="left" vertical="center"/>
      <protection locked="0"/>
    </xf>
    <xf numFmtId="0" fontId="26" fillId="2" borderId="36" xfId="8" applyFont="1" applyFill="1" applyBorder="1" applyAlignment="1" applyProtection="1">
      <alignment horizontal="left" vertical="center"/>
      <protection locked="0"/>
    </xf>
    <xf numFmtId="0" fontId="26" fillId="2" borderId="32" xfId="8" applyFont="1" applyFill="1" applyBorder="1" applyAlignment="1" applyProtection="1">
      <alignment horizontal="left" vertical="center"/>
      <protection locked="0"/>
    </xf>
    <xf numFmtId="49" fontId="31" fillId="7" borderId="72" xfId="8" applyNumberFormat="1" applyFont="1" applyFill="1" applyBorder="1" applyAlignment="1" applyProtection="1">
      <alignment horizontal="center" vertical="center" wrapText="1"/>
    </xf>
    <xf numFmtId="49" fontId="31" fillId="7" borderId="72" xfId="8" applyNumberFormat="1" applyFont="1" applyFill="1" applyBorder="1" applyAlignment="1" applyProtection="1">
      <alignment horizontal="center" vertical="center"/>
    </xf>
    <xf numFmtId="0" fontId="32" fillId="2" borderId="72" xfId="8" applyNumberFormat="1" applyFont="1" applyFill="1" applyBorder="1" applyAlignment="1" applyProtection="1">
      <alignment horizontal="center" vertical="center" wrapText="1"/>
      <protection locked="0"/>
    </xf>
    <xf numFmtId="0" fontId="32" fillId="0" borderId="72" xfId="8" applyNumberFormat="1" applyFont="1" applyFill="1" applyBorder="1" applyAlignment="1" applyProtection="1">
      <alignment horizontal="center" vertical="center" wrapText="1"/>
      <protection locked="0"/>
    </xf>
    <xf numFmtId="49" fontId="33" fillId="2" borderId="72" xfId="8" applyNumberFormat="1" applyFont="1" applyFill="1" applyBorder="1" applyAlignment="1" applyProtection="1">
      <alignment horizontal="left" vertical="center" wrapText="1"/>
      <protection locked="0"/>
    </xf>
    <xf numFmtId="49" fontId="33" fillId="0" borderId="72" xfId="8" applyNumberFormat="1" applyFont="1" applyFill="1" applyBorder="1" applyAlignment="1" applyProtection="1">
      <alignment horizontal="left" vertical="center" wrapText="1"/>
      <protection locked="0"/>
    </xf>
    <xf numFmtId="49" fontId="29" fillId="2" borderId="72" xfId="8" applyNumberFormat="1" applyFont="1" applyFill="1" applyBorder="1" applyAlignment="1" applyProtection="1">
      <alignment horizontal="left" vertical="center"/>
    </xf>
    <xf numFmtId="49" fontId="29" fillId="0" borderId="72" xfId="8" applyNumberFormat="1" applyFont="1" applyFill="1" applyBorder="1" applyAlignment="1" applyProtection="1">
      <alignment horizontal="left" vertical="center"/>
    </xf>
    <xf numFmtId="49" fontId="29" fillId="2" borderId="72" xfId="8" quotePrefix="1" applyNumberFormat="1" applyFont="1" applyFill="1" applyBorder="1" applyAlignment="1" applyProtection="1">
      <alignment horizontal="center" vertical="center"/>
      <protection locked="0"/>
    </xf>
    <xf numFmtId="49" fontId="29" fillId="0" borderId="72" xfId="8" quotePrefix="1" applyNumberFormat="1" applyFont="1" applyFill="1" applyBorder="1" applyAlignment="1" applyProtection="1">
      <alignment horizontal="center" vertical="center"/>
      <protection locked="0"/>
    </xf>
    <xf numFmtId="49" fontId="31" fillId="2" borderId="72" xfId="8" applyNumberFormat="1" applyFont="1" applyFill="1" applyBorder="1" applyAlignment="1" applyProtection="1">
      <alignment horizontal="center" vertical="center"/>
    </xf>
    <xf numFmtId="49" fontId="31" fillId="0" borderId="72" xfId="8" applyNumberFormat="1" applyFont="1" applyFill="1" applyBorder="1" applyAlignment="1" applyProtection="1">
      <alignment horizontal="center" vertical="center"/>
    </xf>
    <xf numFmtId="49" fontId="31" fillId="2" borderId="72" xfId="8" applyNumberFormat="1" applyFont="1" applyFill="1" applyBorder="1" applyAlignment="1" applyProtection="1">
      <alignment horizontal="left" vertical="center"/>
      <protection locked="0"/>
    </xf>
    <xf numFmtId="49" fontId="31" fillId="0" borderId="72" xfId="8" applyNumberFormat="1" applyFont="1" applyFill="1" applyBorder="1" applyAlignment="1" applyProtection="1">
      <alignment horizontal="left" vertical="center"/>
      <protection locked="0"/>
    </xf>
    <xf numFmtId="0" fontId="32" fillId="2" borderId="72" xfId="8" applyNumberFormat="1" applyFont="1" applyFill="1" applyBorder="1" applyAlignment="1" applyProtection="1">
      <alignment horizontal="left" vertical="center" wrapText="1"/>
      <protection locked="0"/>
    </xf>
    <xf numFmtId="0" fontId="32" fillId="0" borderId="72" xfId="8" applyNumberFormat="1" applyFont="1" applyFill="1" applyBorder="1" applyAlignment="1" applyProtection="1">
      <alignment horizontal="left" vertical="center" wrapText="1"/>
      <protection locked="0"/>
    </xf>
    <xf numFmtId="49" fontId="34" fillId="0" borderId="81" xfId="8" applyNumberFormat="1" applyFont="1" applyFill="1" applyBorder="1" applyAlignment="1" applyProtection="1">
      <alignment horizontal="center" vertical="center"/>
      <protection locked="0"/>
    </xf>
    <xf numFmtId="0" fontId="26" fillId="5" borderId="29" xfId="8" applyFont="1" applyFill="1" applyBorder="1" applyAlignment="1" applyProtection="1">
      <alignment horizontal="left" vertical="center"/>
    </xf>
    <xf numFmtId="14" fontId="14" fillId="0" borderId="0" xfId="8" applyNumberFormat="1" applyAlignment="1" applyProtection="1">
      <alignment horizontal="center" vertical="center"/>
    </xf>
    <xf numFmtId="0" fontId="26" fillId="0" borderId="0" xfId="8" applyFont="1" applyBorder="1" applyAlignment="1" applyProtection="1">
      <alignment horizontal="left"/>
    </xf>
    <xf numFmtId="49" fontId="34" fillId="5" borderId="23" xfId="8" applyNumberFormat="1" applyFont="1" applyFill="1" applyBorder="1" applyAlignment="1" applyProtection="1">
      <alignment horizontal="left" vertical="center"/>
    </xf>
    <xf numFmtId="49" fontId="34" fillId="5" borderId="29" xfId="8" applyNumberFormat="1" applyFont="1" applyFill="1" applyBorder="1" applyAlignment="1" applyProtection="1">
      <alignment horizontal="left" vertical="center"/>
    </xf>
    <xf numFmtId="49" fontId="34" fillId="7" borderId="23" xfId="8" applyNumberFormat="1" applyFont="1" applyFill="1" applyBorder="1" applyAlignment="1" applyProtection="1">
      <alignment horizontal="left" vertical="center"/>
    </xf>
    <xf numFmtId="49" fontId="34" fillId="7" borderId="29" xfId="8" applyNumberFormat="1" applyFont="1" applyFill="1" applyBorder="1" applyAlignment="1" applyProtection="1">
      <alignment horizontal="left" vertical="center"/>
    </xf>
    <xf numFmtId="49" fontId="34" fillId="7" borderId="28" xfId="8" applyNumberFormat="1" applyFont="1" applyFill="1" applyBorder="1" applyAlignment="1" applyProtection="1">
      <alignment horizontal="left" vertical="center"/>
    </xf>
    <xf numFmtId="0" fontId="70" fillId="5" borderId="29" xfId="8" applyFont="1" applyFill="1" applyBorder="1" applyAlignment="1" applyProtection="1">
      <alignment horizontal="left" vertical="center"/>
    </xf>
    <xf numFmtId="0" fontId="70" fillId="5" borderId="28" xfId="8" applyFont="1" applyFill="1" applyBorder="1" applyAlignment="1" applyProtection="1">
      <alignment horizontal="left" vertical="center"/>
    </xf>
    <xf numFmtId="49" fontId="29" fillId="7" borderId="35" xfId="8" applyNumberFormat="1" applyFont="1" applyFill="1" applyBorder="1" applyAlignment="1" applyProtection="1">
      <alignment horizontal="center" vertical="center" wrapText="1"/>
    </xf>
    <xf numFmtId="49" fontId="29" fillId="7" borderId="36" xfId="8" applyNumberFormat="1" applyFont="1" applyFill="1" applyBorder="1" applyAlignment="1" applyProtection="1">
      <alignment horizontal="center" vertical="center" wrapText="1"/>
    </xf>
    <xf numFmtId="49" fontId="29" fillId="7" borderId="32" xfId="8" applyNumberFormat="1" applyFont="1" applyFill="1" applyBorder="1" applyAlignment="1" applyProtection="1">
      <alignment horizontal="center" vertical="center" wrapText="1"/>
    </xf>
    <xf numFmtId="49" fontId="29" fillId="7" borderId="34" xfId="8" applyNumberFormat="1" applyFont="1" applyFill="1" applyBorder="1" applyAlignment="1" applyProtection="1">
      <alignment horizontal="center" vertical="center" wrapText="1"/>
    </xf>
    <xf numFmtId="49" fontId="29" fillId="7" borderId="0" xfId="8" applyNumberFormat="1" applyFont="1" applyFill="1" applyBorder="1" applyAlignment="1" applyProtection="1">
      <alignment horizontal="center" vertical="center" wrapText="1"/>
    </xf>
    <xf numFmtId="49" fontId="29" fillId="7" borderId="27" xfId="8" applyNumberFormat="1" applyFont="1" applyFill="1" applyBorder="1" applyAlignment="1" applyProtection="1">
      <alignment horizontal="center" vertical="center" wrapText="1"/>
    </xf>
    <xf numFmtId="49" fontId="29" fillId="7" borderId="31" xfId="8" applyNumberFormat="1" applyFont="1" applyFill="1" applyBorder="1" applyAlignment="1" applyProtection="1">
      <alignment horizontal="center" vertical="center" wrapText="1"/>
    </xf>
    <xf numFmtId="49" fontId="29" fillId="7" borderId="26" xfId="8" applyNumberFormat="1" applyFont="1" applyFill="1" applyBorder="1" applyAlignment="1" applyProtection="1">
      <alignment horizontal="center" vertical="center" wrapText="1"/>
    </xf>
    <xf numFmtId="49" fontId="29" fillId="7" borderId="37" xfId="8" applyNumberFormat="1" applyFont="1" applyFill="1" applyBorder="1" applyAlignment="1" applyProtection="1">
      <alignment horizontal="center" vertical="center" wrapText="1"/>
    </xf>
    <xf numFmtId="49" fontId="31" fillId="2" borderId="36" xfId="8" applyNumberFormat="1" applyFont="1" applyFill="1" applyBorder="1" applyAlignment="1" applyProtection="1">
      <alignment horizontal="center" vertical="center"/>
    </xf>
    <xf numFmtId="49" fontId="31" fillId="2" borderId="32" xfId="8" applyNumberFormat="1" applyFont="1" applyFill="1" applyBorder="1" applyAlignment="1" applyProtection="1">
      <alignment horizontal="center" vertical="center"/>
    </xf>
    <xf numFmtId="49" fontId="31" fillId="2" borderId="0" xfId="8" applyNumberFormat="1" applyFont="1" applyFill="1" applyBorder="1" applyAlignment="1" applyProtection="1">
      <alignment horizontal="center" vertical="center"/>
    </xf>
    <xf numFmtId="49" fontId="31" fillId="2" borderId="27" xfId="8" applyNumberFormat="1" applyFont="1" applyFill="1" applyBorder="1" applyAlignment="1" applyProtection="1">
      <alignment horizontal="center" vertical="center"/>
    </xf>
    <xf numFmtId="49" fontId="31" fillId="2" borderId="26" xfId="8" applyNumberFormat="1" applyFont="1" applyFill="1" applyBorder="1" applyAlignment="1" applyProtection="1">
      <alignment horizontal="center" vertical="center"/>
    </xf>
    <xf numFmtId="49" fontId="31" fillId="2" borderId="37" xfId="8" applyNumberFormat="1" applyFont="1" applyFill="1" applyBorder="1" applyAlignment="1" applyProtection="1">
      <alignment horizontal="center" vertical="center"/>
    </xf>
    <xf numFmtId="49" fontId="35" fillId="2" borderId="0" xfId="8" applyNumberFormat="1" applyFont="1" applyFill="1" applyBorder="1" applyAlignment="1" applyProtection="1">
      <alignment horizontal="center" vertical="center"/>
      <protection locked="0"/>
    </xf>
    <xf numFmtId="49" fontId="35" fillId="2" borderId="27" xfId="8" applyNumberFormat="1" applyFont="1" applyFill="1" applyBorder="1" applyAlignment="1" applyProtection="1">
      <alignment horizontal="center" vertical="center"/>
      <protection locked="0"/>
    </xf>
    <xf numFmtId="49" fontId="32" fillId="2" borderId="34" xfId="8" applyNumberFormat="1" applyFont="1" applyFill="1" applyBorder="1" applyAlignment="1" applyProtection="1">
      <alignment horizontal="center" vertical="center"/>
      <protection locked="0"/>
    </xf>
    <xf numFmtId="49" fontId="32" fillId="0" borderId="0" xfId="8" applyNumberFormat="1" applyFont="1" applyFill="1" applyBorder="1" applyAlignment="1" applyProtection="1">
      <alignment horizontal="center" vertical="center"/>
      <protection locked="0"/>
    </xf>
    <xf numFmtId="49" fontId="32" fillId="0" borderId="27" xfId="8" applyNumberFormat="1" applyFont="1" applyFill="1" applyBorder="1" applyAlignment="1" applyProtection="1">
      <alignment horizontal="center" vertical="center"/>
      <protection locked="0"/>
    </xf>
    <xf numFmtId="49" fontId="32" fillId="0" borderId="34" xfId="8" applyNumberFormat="1" applyFont="1" applyFill="1" applyBorder="1" applyAlignment="1" applyProtection="1">
      <alignment horizontal="center" vertical="center"/>
      <protection locked="0"/>
    </xf>
    <xf numFmtId="49" fontId="32" fillId="0" borderId="31" xfId="8" applyNumberFormat="1" applyFont="1" applyFill="1" applyBorder="1" applyAlignment="1" applyProtection="1">
      <alignment horizontal="center" vertical="center"/>
      <protection locked="0"/>
    </xf>
    <xf numFmtId="49" fontId="32" fillId="0" borderId="26" xfId="8" applyNumberFormat="1" applyFont="1" applyFill="1" applyBorder="1" applyAlignment="1" applyProtection="1">
      <alignment horizontal="center" vertical="center"/>
      <protection locked="0"/>
    </xf>
    <xf numFmtId="49" fontId="32" fillId="0" borderId="37" xfId="8" applyNumberFormat="1" applyFont="1" applyFill="1" applyBorder="1" applyAlignment="1" applyProtection="1">
      <alignment horizontal="center" vertical="center"/>
      <protection locked="0"/>
    </xf>
    <xf numFmtId="49" fontId="29" fillId="7" borderId="30" xfId="8" applyNumberFormat="1" applyFont="1" applyFill="1" applyBorder="1" applyAlignment="1" applyProtection="1">
      <alignment horizontal="center" vertical="center" wrapText="1"/>
    </xf>
    <xf numFmtId="49" fontId="29" fillId="7" borderId="22" xfId="8" applyNumberFormat="1" applyFont="1" applyFill="1" applyBorder="1" applyAlignment="1" applyProtection="1">
      <alignment horizontal="center" vertical="center" wrapText="1"/>
    </xf>
    <xf numFmtId="0" fontId="14" fillId="2" borderId="31" xfId="8" applyFill="1" applyBorder="1" applyAlignment="1" applyProtection="1">
      <alignment horizontal="center" vertical="center"/>
    </xf>
    <xf numFmtId="0" fontId="14" fillId="2" borderId="26" xfId="8" applyFill="1" applyBorder="1" applyAlignment="1" applyProtection="1">
      <alignment horizontal="center" vertical="center"/>
    </xf>
    <xf numFmtId="0" fontId="14" fillId="2" borderId="37" xfId="8" applyFill="1" applyBorder="1" applyAlignment="1" applyProtection="1">
      <alignment horizontal="center" vertical="center"/>
    </xf>
    <xf numFmtId="0" fontId="14" fillId="2" borderId="35" xfId="8" applyFill="1" applyBorder="1" applyAlignment="1" applyProtection="1">
      <alignment horizontal="center" vertical="center"/>
    </xf>
    <xf numFmtId="0" fontId="14" fillId="2" borderId="36" xfId="8" applyFill="1" applyBorder="1" applyAlignment="1" applyProtection="1">
      <alignment horizontal="center" vertical="center"/>
    </xf>
    <xf numFmtId="0" fontId="14" fillId="2" borderId="32" xfId="8" applyFill="1" applyBorder="1" applyAlignment="1" applyProtection="1">
      <alignment horizontal="center" vertical="center"/>
    </xf>
    <xf numFmtId="49" fontId="29" fillId="7" borderId="32" xfId="8" applyNumberFormat="1" applyFont="1" applyFill="1" applyBorder="1" applyAlignment="1" applyProtection="1">
      <alignment horizontal="center" vertical="center"/>
    </xf>
    <xf numFmtId="49" fontId="29" fillId="2" borderId="31" xfId="8" applyNumberFormat="1" applyFont="1" applyFill="1" applyBorder="1" applyAlignment="1" applyProtection="1">
      <alignment horizontal="center" vertical="center"/>
    </xf>
    <xf numFmtId="49" fontId="29" fillId="0" borderId="26" xfId="8" applyNumberFormat="1" applyFont="1" applyFill="1" applyBorder="1" applyAlignment="1" applyProtection="1">
      <alignment horizontal="center" vertical="center"/>
    </xf>
    <xf numFmtId="49" fontId="29" fillId="0" borderId="29" xfId="8" applyNumberFormat="1" applyFont="1" applyFill="1" applyBorder="1" applyAlignment="1" applyProtection="1">
      <alignment horizontal="center" vertical="center"/>
    </xf>
    <xf numFmtId="49" fontId="29" fillId="0" borderId="28" xfId="8" applyNumberFormat="1" applyFont="1" applyFill="1" applyBorder="1" applyAlignment="1" applyProtection="1">
      <alignment horizontal="center" vertical="center"/>
    </xf>
    <xf numFmtId="49" fontId="29" fillId="2" borderId="23" xfId="8" quotePrefix="1" applyNumberFormat="1" applyFont="1" applyFill="1" applyBorder="1" applyAlignment="1" applyProtection="1">
      <alignment horizontal="center" vertical="center"/>
      <protection locked="0"/>
    </xf>
    <xf numFmtId="49" fontId="29" fillId="0" borderId="29" xfId="8" quotePrefix="1" applyNumberFormat="1" applyFont="1" applyFill="1" applyBorder="1" applyAlignment="1" applyProtection="1">
      <alignment horizontal="center" vertical="center"/>
      <protection locked="0"/>
    </xf>
    <xf numFmtId="49" fontId="29" fillId="2" borderId="29" xfId="8" quotePrefix="1" applyNumberFormat="1" applyFont="1" applyFill="1" applyBorder="1" applyAlignment="1" applyProtection="1">
      <alignment horizontal="center" vertical="center"/>
      <protection locked="0"/>
    </xf>
    <xf numFmtId="49" fontId="29" fillId="0" borderId="28" xfId="8" quotePrefix="1" applyNumberFormat="1" applyFont="1" applyFill="1" applyBorder="1" applyAlignment="1" applyProtection="1">
      <alignment horizontal="center" vertical="center"/>
      <protection locked="0"/>
    </xf>
    <xf numFmtId="49" fontId="31" fillId="2" borderId="22" xfId="8" applyNumberFormat="1" applyFont="1" applyFill="1" applyBorder="1" applyAlignment="1" applyProtection="1">
      <alignment horizontal="center" vertical="center"/>
    </xf>
    <xf numFmtId="49" fontId="31" fillId="0" borderId="22" xfId="8" applyNumberFormat="1" applyFont="1" applyFill="1" applyBorder="1" applyAlignment="1" applyProtection="1">
      <alignment horizontal="center" vertical="center"/>
    </xf>
    <xf numFmtId="49" fontId="31" fillId="2" borderId="22" xfId="8" applyNumberFormat="1" applyFont="1" applyFill="1" applyBorder="1" applyAlignment="1" applyProtection="1">
      <alignment horizontal="left" vertical="center"/>
      <protection locked="0"/>
    </xf>
    <xf numFmtId="49" fontId="31" fillId="0" borderId="22" xfId="8" applyNumberFormat="1" applyFont="1" applyFill="1" applyBorder="1" applyAlignment="1" applyProtection="1">
      <alignment horizontal="left" vertical="center"/>
      <protection locked="0"/>
    </xf>
    <xf numFmtId="49" fontId="34" fillId="0" borderId="29" xfId="8" applyNumberFormat="1" applyFont="1" applyFill="1" applyBorder="1" applyAlignment="1" applyProtection="1">
      <alignment horizontal="center" vertical="center"/>
      <protection locked="0"/>
    </xf>
    <xf numFmtId="49" fontId="34" fillId="2" borderId="29" xfId="8" applyNumberFormat="1" applyFont="1" applyFill="1" applyBorder="1" applyAlignment="1" applyProtection="1">
      <alignment horizontal="center" vertical="center"/>
    </xf>
    <xf numFmtId="49" fontId="34" fillId="0" borderId="29" xfId="8" applyNumberFormat="1" applyFont="1" applyFill="1" applyBorder="1" applyAlignment="1" applyProtection="1">
      <alignment horizontal="center" vertical="center"/>
    </xf>
    <xf numFmtId="49" fontId="34" fillId="0" borderId="28" xfId="8" applyNumberFormat="1" applyFont="1" applyFill="1" applyBorder="1" applyAlignment="1" applyProtection="1">
      <alignment horizontal="center" vertical="center"/>
    </xf>
    <xf numFmtId="49" fontId="31" fillId="7" borderId="35" xfId="8" applyNumberFormat="1" applyFont="1" applyFill="1" applyBorder="1" applyAlignment="1" applyProtection="1">
      <alignment horizontal="center" vertical="center" wrapText="1"/>
    </xf>
    <xf numFmtId="49" fontId="31" fillId="7" borderId="36" xfId="8" applyNumberFormat="1" applyFont="1" applyFill="1" applyBorder="1" applyAlignment="1" applyProtection="1">
      <alignment horizontal="center" vertical="center"/>
    </xf>
    <xf numFmtId="49" fontId="31" fillId="7" borderId="32" xfId="8" applyNumberFormat="1" applyFont="1" applyFill="1" applyBorder="1" applyAlignment="1" applyProtection="1">
      <alignment horizontal="center" vertical="center"/>
    </xf>
    <xf numFmtId="0" fontId="32" fillId="2" borderId="35" xfId="8" applyNumberFormat="1" applyFont="1" applyFill="1" applyBorder="1" applyAlignment="1" applyProtection="1">
      <alignment horizontal="center" vertical="center" wrapText="1"/>
      <protection locked="0"/>
    </xf>
    <xf numFmtId="0" fontId="32" fillId="0" borderId="36" xfId="8" applyNumberFormat="1" applyFont="1" applyFill="1" applyBorder="1" applyAlignment="1" applyProtection="1">
      <alignment horizontal="center" vertical="center" wrapText="1"/>
      <protection locked="0"/>
    </xf>
    <xf numFmtId="0" fontId="32" fillId="0" borderId="32" xfId="8" applyNumberFormat="1" applyFont="1" applyFill="1" applyBorder="1" applyAlignment="1" applyProtection="1">
      <alignment horizontal="center" vertical="center" wrapText="1"/>
      <protection locked="0"/>
    </xf>
    <xf numFmtId="0" fontId="32" fillId="0" borderId="31" xfId="8" applyNumberFormat="1" applyFont="1" applyFill="1" applyBorder="1" applyAlignment="1" applyProtection="1">
      <alignment horizontal="center" vertical="center" wrapText="1"/>
      <protection locked="0"/>
    </xf>
    <xf numFmtId="0" fontId="32" fillId="0" borderId="26" xfId="8" applyNumberFormat="1" applyFont="1" applyFill="1" applyBorder="1" applyAlignment="1" applyProtection="1">
      <alignment horizontal="center" vertical="center" wrapText="1"/>
      <protection locked="0"/>
    </xf>
    <xf numFmtId="0" fontId="32" fillId="0" borderId="37" xfId="8" applyNumberFormat="1" applyFont="1" applyFill="1" applyBorder="1" applyAlignment="1" applyProtection="1">
      <alignment horizontal="center" vertical="center" wrapText="1"/>
      <protection locked="0"/>
    </xf>
    <xf numFmtId="49" fontId="31" fillId="7" borderId="36" xfId="8" applyNumberFormat="1" applyFont="1" applyFill="1" applyBorder="1" applyAlignment="1" applyProtection="1">
      <alignment horizontal="center" vertical="center" wrapText="1"/>
    </xf>
    <xf numFmtId="49" fontId="31" fillId="7" borderId="32" xfId="8" applyNumberFormat="1" applyFont="1" applyFill="1" applyBorder="1" applyAlignment="1" applyProtection="1">
      <alignment horizontal="center" vertical="center" wrapText="1"/>
    </xf>
    <xf numFmtId="49" fontId="31" fillId="7" borderId="31" xfId="8" applyNumberFormat="1" applyFont="1" applyFill="1" applyBorder="1" applyAlignment="1" applyProtection="1">
      <alignment horizontal="center" vertical="center" wrapText="1"/>
    </xf>
    <xf numFmtId="49" fontId="31" fillId="7" borderId="26" xfId="8" applyNumberFormat="1" applyFont="1" applyFill="1" applyBorder="1" applyAlignment="1" applyProtection="1">
      <alignment horizontal="center" vertical="center" wrapText="1"/>
    </xf>
    <xf numFmtId="49" fontId="31" fillId="7" borderId="37" xfId="8" applyNumberFormat="1" applyFont="1" applyFill="1" applyBorder="1" applyAlignment="1" applyProtection="1">
      <alignment horizontal="center" vertical="center" wrapText="1"/>
    </xf>
    <xf numFmtId="0" fontId="32" fillId="2" borderId="35" xfId="8" applyNumberFormat="1" applyFont="1" applyFill="1" applyBorder="1" applyAlignment="1" applyProtection="1">
      <alignment horizontal="left" vertical="center" wrapText="1"/>
      <protection locked="0"/>
    </xf>
    <xf numFmtId="0" fontId="32" fillId="0" borderId="36" xfId="8" applyNumberFormat="1" applyFont="1" applyFill="1" applyBorder="1" applyAlignment="1" applyProtection="1">
      <alignment horizontal="left" vertical="center" wrapText="1"/>
      <protection locked="0"/>
    </xf>
    <xf numFmtId="0" fontId="32" fillId="0" borderId="32" xfId="8" applyNumberFormat="1" applyFont="1" applyFill="1" applyBorder="1" applyAlignment="1" applyProtection="1">
      <alignment horizontal="left" vertical="center" wrapText="1"/>
      <protection locked="0"/>
    </xf>
    <xf numFmtId="0" fontId="32" fillId="0" borderId="31" xfId="8" applyNumberFormat="1" applyFont="1" applyFill="1" applyBorder="1" applyAlignment="1" applyProtection="1">
      <alignment horizontal="left" vertical="center" wrapText="1"/>
      <protection locked="0"/>
    </xf>
    <xf numFmtId="0" fontId="32" fillId="0" borderId="26" xfId="8" applyNumberFormat="1" applyFont="1" applyFill="1" applyBorder="1" applyAlignment="1" applyProtection="1">
      <alignment horizontal="left" vertical="center" wrapText="1"/>
      <protection locked="0"/>
    </xf>
    <xf numFmtId="0" fontId="32" fillId="0" borderId="37" xfId="8" applyNumberFormat="1" applyFont="1" applyFill="1" applyBorder="1" applyAlignment="1" applyProtection="1">
      <alignment horizontal="left" vertical="center" wrapText="1"/>
      <protection locked="0"/>
    </xf>
    <xf numFmtId="49" fontId="34" fillId="2" borderId="36" xfId="8" applyNumberFormat="1" applyFont="1" applyFill="1" applyBorder="1" applyAlignment="1" applyProtection="1">
      <alignment horizontal="center" vertical="center"/>
      <protection locked="0"/>
    </xf>
    <xf numFmtId="49" fontId="34" fillId="0" borderId="36" xfId="8" applyNumberFormat="1" applyFont="1" applyFill="1" applyBorder="1" applyAlignment="1" applyProtection="1">
      <alignment horizontal="center" vertical="center"/>
      <protection locked="0"/>
    </xf>
    <xf numFmtId="49" fontId="31" fillId="2" borderId="36" xfId="8" applyNumberFormat="1" applyFont="1" applyFill="1" applyBorder="1" applyAlignment="1" applyProtection="1">
      <alignment horizontal="left" vertical="center"/>
    </xf>
    <xf numFmtId="49" fontId="31" fillId="0" borderId="36" xfId="8" applyNumberFormat="1" applyFont="1" applyFill="1" applyBorder="1" applyAlignment="1" applyProtection="1">
      <alignment horizontal="left" vertical="center"/>
    </xf>
    <xf numFmtId="49" fontId="31" fillId="0" borderId="32" xfId="8" applyNumberFormat="1" applyFont="1" applyFill="1" applyBorder="1" applyAlignment="1" applyProtection="1">
      <alignment horizontal="left" vertical="center"/>
    </xf>
    <xf numFmtId="49" fontId="31" fillId="7" borderId="35" xfId="8" applyNumberFormat="1" applyFont="1" applyFill="1" applyBorder="1" applyAlignment="1" applyProtection="1">
      <alignment horizontal="left" vertical="center" wrapText="1"/>
    </xf>
    <xf numFmtId="49" fontId="31" fillId="7" borderId="36" xfId="8" applyNumberFormat="1" applyFont="1" applyFill="1" applyBorder="1" applyAlignment="1" applyProtection="1">
      <alignment horizontal="left" vertical="center" wrapText="1"/>
    </xf>
    <xf numFmtId="49" fontId="31" fillId="7" borderId="32" xfId="8" applyNumberFormat="1" applyFont="1" applyFill="1" applyBorder="1" applyAlignment="1" applyProtection="1">
      <alignment horizontal="left" vertical="center" wrapText="1"/>
    </xf>
    <xf numFmtId="49" fontId="33" fillId="2" borderId="35" xfId="8" applyNumberFormat="1" applyFont="1" applyFill="1" applyBorder="1" applyAlignment="1" applyProtection="1">
      <alignment horizontal="left" vertical="center" wrapText="1"/>
      <protection locked="0"/>
    </xf>
    <xf numFmtId="49" fontId="33" fillId="0" borderId="36" xfId="8" applyNumberFormat="1" applyFont="1" applyFill="1" applyBorder="1" applyAlignment="1" applyProtection="1">
      <alignment horizontal="left" vertical="center" wrapText="1"/>
      <protection locked="0"/>
    </xf>
    <xf numFmtId="49" fontId="33" fillId="0" borderId="32" xfId="8" applyNumberFormat="1" applyFont="1" applyFill="1" applyBorder="1" applyAlignment="1" applyProtection="1">
      <alignment horizontal="left" vertical="center" wrapText="1"/>
      <protection locked="0"/>
    </xf>
    <xf numFmtId="14" fontId="26" fillId="0" borderId="15" xfId="8" applyNumberFormat="1" applyFont="1" applyBorder="1" applyAlignment="1" applyProtection="1">
      <alignment horizontal="center" vertical="center"/>
    </xf>
    <xf numFmtId="14" fontId="26" fillId="0" borderId="16" xfId="8" applyNumberFormat="1" applyFont="1" applyBorder="1" applyAlignment="1" applyProtection="1">
      <alignment horizontal="center" vertical="center"/>
    </xf>
    <xf numFmtId="14" fontId="26" fillId="0" borderId="17" xfId="8" applyNumberFormat="1" applyFont="1" applyBorder="1" applyAlignment="1" applyProtection="1">
      <alignment horizontal="center" vertical="center"/>
    </xf>
    <xf numFmtId="49" fontId="29" fillId="7" borderId="29" xfId="8" applyNumberFormat="1" applyFont="1" applyFill="1" applyBorder="1" applyAlignment="1" applyProtection="1">
      <alignment horizontal="center" vertical="center"/>
    </xf>
    <xf numFmtId="49" fontId="29" fillId="7" borderId="28" xfId="8" applyNumberFormat="1" applyFont="1" applyFill="1" applyBorder="1" applyAlignment="1" applyProtection="1">
      <alignment horizontal="center" vertical="center"/>
    </xf>
    <xf numFmtId="49" fontId="29" fillId="2" borderId="23" xfId="8" applyNumberFormat="1" applyFont="1" applyFill="1" applyBorder="1" applyAlignment="1" applyProtection="1">
      <alignment horizontal="center" vertical="center"/>
    </xf>
    <xf numFmtId="180" fontId="32" fillId="2" borderId="23" xfId="8" applyNumberFormat="1" applyFont="1" applyFill="1" applyBorder="1" applyAlignment="1" applyProtection="1">
      <alignment horizontal="center" vertical="center"/>
      <protection locked="0"/>
    </xf>
    <xf numFmtId="180" fontId="32" fillId="0" borderId="29" xfId="8" applyNumberFormat="1" applyFont="1" applyFill="1" applyBorder="1" applyAlignment="1" applyProtection="1">
      <alignment horizontal="center" vertical="center"/>
      <protection locked="0"/>
    </xf>
    <xf numFmtId="180" fontId="32" fillId="0" borderId="28" xfId="8" applyNumberFormat="1" applyFont="1" applyFill="1" applyBorder="1" applyAlignment="1" applyProtection="1">
      <alignment horizontal="center" vertical="center"/>
      <protection locked="0"/>
    </xf>
    <xf numFmtId="0" fontId="29" fillId="5" borderId="35" xfId="16" applyNumberFormat="1" applyFont="1" applyFill="1" applyBorder="1" applyAlignment="1" applyProtection="1">
      <alignment horizontal="left" vertical="center" wrapText="1"/>
    </xf>
    <xf numFmtId="0" fontId="29" fillId="5" borderId="36" xfId="16" applyNumberFormat="1" applyFont="1" applyFill="1" applyBorder="1" applyAlignment="1" applyProtection="1">
      <alignment horizontal="left" vertical="center" wrapText="1"/>
    </xf>
    <xf numFmtId="0" fontId="29" fillId="5" borderId="32" xfId="16" applyNumberFormat="1" applyFont="1" applyFill="1" applyBorder="1" applyAlignment="1" applyProtection="1">
      <alignment horizontal="left" vertical="center" wrapText="1"/>
    </xf>
    <xf numFmtId="0" fontId="29" fillId="5" borderId="64" xfId="16" applyNumberFormat="1" applyFont="1" applyFill="1" applyBorder="1" applyAlignment="1" applyProtection="1">
      <alignment horizontal="left" vertical="center" wrapText="1"/>
    </xf>
    <xf numFmtId="0" fontId="29" fillId="5" borderId="40" xfId="16" applyNumberFormat="1" applyFont="1" applyFill="1" applyBorder="1" applyAlignment="1" applyProtection="1">
      <alignment horizontal="left" vertical="center" wrapText="1"/>
    </xf>
    <xf numFmtId="0" fontId="29" fillId="5" borderId="65" xfId="16" applyNumberFormat="1" applyFont="1" applyFill="1" applyBorder="1" applyAlignment="1" applyProtection="1">
      <alignment horizontal="left" vertical="center" wrapText="1"/>
    </xf>
    <xf numFmtId="49" fontId="29" fillId="2" borderId="28" xfId="8" applyNumberFormat="1" applyFont="1" applyFill="1" applyBorder="1" applyAlignment="1" applyProtection="1">
      <alignment horizontal="center" vertical="center"/>
    </xf>
    <xf numFmtId="49" fontId="29" fillId="0" borderId="23" xfId="8" applyNumberFormat="1" applyFont="1" applyFill="1" applyBorder="1" applyAlignment="1" applyProtection="1">
      <alignment horizontal="center" vertical="center"/>
    </xf>
    <xf numFmtId="180" fontId="32" fillId="2" borderId="22" xfId="8" applyNumberFormat="1" applyFont="1" applyFill="1" applyBorder="1" applyAlignment="1" applyProtection="1">
      <alignment horizontal="center" vertical="center"/>
      <protection locked="0"/>
    </xf>
    <xf numFmtId="180" fontId="32" fillId="0" borderId="22" xfId="8" applyNumberFormat="1" applyFont="1" applyFill="1" applyBorder="1" applyAlignment="1" applyProtection="1">
      <alignment horizontal="center" vertical="center"/>
      <protection locked="0"/>
    </xf>
    <xf numFmtId="49" fontId="34" fillId="7" borderId="31" xfId="8" applyNumberFormat="1" applyFont="1" applyFill="1" applyBorder="1" applyAlignment="1" applyProtection="1">
      <alignment horizontal="center" vertical="center"/>
    </xf>
    <xf numFmtId="49" fontId="34" fillId="7" borderId="26" xfId="8" applyNumberFormat="1" applyFont="1" applyFill="1" applyBorder="1" applyAlignment="1" applyProtection="1">
      <alignment horizontal="center" vertical="center"/>
    </xf>
    <xf numFmtId="49" fontId="34" fillId="7" borderId="37" xfId="8" applyNumberFormat="1" applyFont="1" applyFill="1" applyBorder="1" applyAlignment="1" applyProtection="1">
      <alignment horizontal="center" vertical="center"/>
    </xf>
    <xf numFmtId="49" fontId="34" fillId="25" borderId="63" xfId="8" applyNumberFormat="1" applyFont="1" applyFill="1" applyBorder="1" applyAlignment="1" applyProtection="1">
      <alignment horizontal="left" vertical="center"/>
    </xf>
    <xf numFmtId="49" fontId="34" fillId="25" borderId="40" xfId="8" applyNumberFormat="1" applyFont="1" applyFill="1" applyBorder="1" applyAlignment="1" applyProtection="1">
      <alignment horizontal="left" vertical="center"/>
    </xf>
    <xf numFmtId="49" fontId="34" fillId="28" borderId="64" xfId="8" applyNumberFormat="1" applyFont="1" applyFill="1" applyBorder="1" applyAlignment="1" applyProtection="1">
      <alignment horizontal="center" vertical="center"/>
      <protection locked="0"/>
    </xf>
    <xf numFmtId="49" fontId="34" fillId="25" borderId="65" xfId="8" applyNumberFormat="1" applyFont="1" applyFill="1" applyBorder="1" applyAlignment="1" applyProtection="1">
      <alignment horizontal="center" vertical="center"/>
      <protection locked="0"/>
    </xf>
    <xf numFmtId="49" fontId="29" fillId="5" borderId="36" xfId="8" applyNumberFormat="1" applyFont="1" applyFill="1" applyBorder="1" applyAlignment="1" applyProtection="1">
      <alignment horizontal="center" vertical="center" wrapText="1"/>
    </xf>
    <xf numFmtId="49" fontId="29" fillId="5" borderId="32" xfId="8" applyNumberFormat="1" applyFont="1" applyFill="1" applyBorder="1" applyAlignment="1" applyProtection="1">
      <alignment horizontal="center" vertical="center" wrapText="1"/>
    </xf>
    <xf numFmtId="49" fontId="29" fillId="5" borderId="0" xfId="8" applyNumberFormat="1" applyFont="1" applyFill="1" applyBorder="1" applyAlignment="1" applyProtection="1">
      <alignment horizontal="center" vertical="center" wrapText="1"/>
    </xf>
    <xf numFmtId="49" fontId="29" fillId="5" borderId="27" xfId="8" applyNumberFormat="1" applyFont="1" applyFill="1" applyBorder="1" applyAlignment="1" applyProtection="1">
      <alignment horizontal="center" vertical="center" wrapText="1"/>
    </xf>
    <xf numFmtId="49" fontId="26" fillId="25" borderId="0" xfId="8" applyNumberFormat="1" applyFont="1" applyFill="1" applyBorder="1" applyAlignment="1" applyProtection="1">
      <alignment horizontal="left" vertical="center"/>
    </xf>
    <xf numFmtId="49" fontId="34" fillId="28" borderId="31" xfId="8" applyNumberFormat="1" applyFont="1" applyFill="1" applyBorder="1" applyAlignment="1" applyProtection="1">
      <alignment horizontal="center" vertical="center"/>
      <protection locked="0"/>
    </xf>
    <xf numFmtId="49" fontId="34" fillId="25" borderId="37" xfId="8" applyNumberFormat="1" applyFont="1" applyFill="1" applyBorder="1" applyAlignment="1" applyProtection="1">
      <alignment horizontal="center" vertical="center"/>
      <protection locked="0"/>
    </xf>
    <xf numFmtId="49" fontId="34" fillId="28" borderId="23" xfId="8" applyNumberFormat="1" applyFont="1" applyFill="1" applyBorder="1" applyAlignment="1" applyProtection="1">
      <alignment horizontal="center" vertical="center"/>
      <protection locked="0"/>
    </xf>
    <xf numFmtId="49" fontId="34" fillId="25" borderId="29" xfId="8" applyNumberFormat="1" applyFont="1" applyFill="1" applyBorder="1" applyAlignment="1" applyProtection="1">
      <alignment horizontal="center" vertical="center"/>
      <protection locked="0"/>
    </xf>
    <xf numFmtId="49" fontId="26" fillId="25" borderId="63" xfId="8" applyNumberFormat="1" applyFont="1" applyFill="1" applyBorder="1" applyAlignment="1" applyProtection="1">
      <alignment horizontal="left" vertical="center"/>
    </xf>
    <xf numFmtId="49" fontId="34" fillId="28" borderId="39" xfId="8" applyNumberFormat="1" applyFont="1" applyFill="1" applyBorder="1" applyAlignment="1" applyProtection="1">
      <alignment horizontal="center" vertical="center"/>
      <protection locked="0"/>
    </xf>
    <xf numFmtId="49" fontId="34" fillId="25" borderId="38" xfId="8" applyNumberFormat="1" applyFont="1" applyFill="1" applyBorder="1" applyAlignment="1" applyProtection="1">
      <alignment horizontal="center" vertical="center"/>
      <protection locked="0"/>
    </xf>
    <xf numFmtId="49" fontId="34" fillId="7" borderId="23" xfId="8" applyNumberFormat="1" applyFont="1" applyFill="1" applyBorder="1" applyAlignment="1" applyProtection="1">
      <alignment horizontal="center" vertical="center"/>
    </xf>
    <xf numFmtId="49" fontId="34" fillId="7" borderId="29" xfId="8" applyNumberFormat="1" applyFont="1" applyFill="1" applyBorder="1" applyAlignment="1" applyProtection="1">
      <alignment horizontal="center" vertical="center"/>
    </xf>
    <xf numFmtId="49" fontId="34" fillId="7" borderId="28" xfId="8" applyNumberFormat="1" applyFont="1" applyFill="1" applyBorder="1" applyAlignment="1" applyProtection="1">
      <alignment horizontal="center" vertical="center"/>
    </xf>
    <xf numFmtId="49" fontId="26" fillId="25" borderId="69" xfId="8" applyNumberFormat="1" applyFont="1" applyFill="1" applyBorder="1" applyAlignment="1" applyProtection="1">
      <alignment horizontal="left" vertical="center"/>
    </xf>
    <xf numFmtId="49" fontId="34" fillId="25" borderId="26" xfId="8" applyNumberFormat="1" applyFont="1" applyFill="1" applyBorder="1" applyAlignment="1" applyProtection="1">
      <alignment horizontal="center" vertical="center"/>
      <protection locked="0"/>
    </xf>
    <xf numFmtId="49" fontId="26" fillId="25" borderId="26" xfId="8" applyNumberFormat="1" applyFont="1" applyFill="1" applyBorder="1" applyAlignment="1" applyProtection="1">
      <alignment horizontal="left" vertical="center"/>
    </xf>
    <xf numFmtId="49" fontId="35" fillId="0" borderId="0" xfId="8" applyNumberFormat="1" applyFont="1" applyFill="1" applyBorder="1" applyAlignment="1" applyProtection="1">
      <alignment horizontal="center" vertical="center"/>
      <protection locked="0"/>
    </xf>
    <xf numFmtId="49" fontId="34" fillId="2" borderId="67" xfId="8" applyNumberFormat="1" applyFont="1" applyFill="1" applyBorder="1" applyAlignment="1" applyProtection="1">
      <alignment horizontal="center" vertical="center"/>
      <protection locked="0"/>
    </xf>
    <xf numFmtId="49" fontId="34" fillId="2" borderId="68" xfId="8" applyNumberFormat="1" applyFont="1" applyFill="1" applyBorder="1" applyAlignment="1" applyProtection="1">
      <alignment horizontal="center" vertical="center"/>
      <protection locked="0"/>
    </xf>
    <xf numFmtId="49" fontId="34" fillId="2" borderId="69" xfId="8" applyNumberFormat="1" applyFont="1" applyFill="1" applyBorder="1" applyAlignment="1" applyProtection="1">
      <alignment horizontal="left" vertical="center"/>
    </xf>
    <xf numFmtId="0" fontId="0" fillId="2" borderId="66" xfId="0" applyFill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49" fontId="34" fillId="7" borderId="64" xfId="8" applyNumberFormat="1" applyFont="1" applyFill="1" applyBorder="1" applyAlignment="1" applyProtection="1">
      <alignment horizontal="center" vertical="center"/>
    </xf>
    <xf numFmtId="49" fontId="34" fillId="7" borderId="40" xfId="8" applyNumberFormat="1" applyFont="1" applyFill="1" applyBorder="1" applyAlignment="1" applyProtection="1">
      <alignment horizontal="center" vertical="center"/>
    </xf>
    <xf numFmtId="49" fontId="34" fillId="7" borderId="77" xfId="8" applyNumberFormat="1" applyFont="1" applyFill="1" applyBorder="1" applyAlignment="1" applyProtection="1">
      <alignment horizontal="center" vertical="center"/>
    </xf>
    <xf numFmtId="49" fontId="34" fillId="25" borderId="63" xfId="8" applyNumberFormat="1" applyFont="1" applyFill="1" applyBorder="1" applyAlignment="1" applyProtection="1">
      <alignment horizontal="center" vertical="center"/>
      <protection locked="0"/>
    </xf>
    <xf numFmtId="49" fontId="34" fillId="7" borderId="60" xfId="8" applyNumberFormat="1" applyFont="1" applyFill="1" applyBorder="1" applyAlignment="1" applyProtection="1">
      <alignment horizontal="center" vertical="center"/>
    </xf>
    <xf numFmtId="49" fontId="29" fillId="5" borderId="26" xfId="8" applyNumberFormat="1" applyFont="1" applyFill="1" applyBorder="1" applyAlignment="1" applyProtection="1">
      <alignment horizontal="center" vertical="center" wrapText="1"/>
    </xf>
    <xf numFmtId="49" fontId="29" fillId="5" borderId="37" xfId="8" applyNumberFormat="1" applyFont="1" applyFill="1" applyBorder="1" applyAlignment="1" applyProtection="1">
      <alignment horizontal="center" vertical="center" wrapText="1"/>
    </xf>
    <xf numFmtId="49" fontId="34" fillId="5" borderId="28" xfId="8" applyNumberFormat="1" applyFont="1" applyFill="1" applyBorder="1" applyAlignment="1" applyProtection="1">
      <alignment horizontal="center" vertical="center" wrapText="1"/>
    </xf>
    <xf numFmtId="49" fontId="34" fillId="5" borderId="22" xfId="8" applyNumberFormat="1" applyFont="1" applyFill="1" applyBorder="1" applyAlignment="1" applyProtection="1">
      <alignment horizontal="center" vertical="center" wrapText="1"/>
    </xf>
    <xf numFmtId="49" fontId="29" fillId="7" borderId="73" xfId="16" applyNumberFormat="1" applyFont="1" applyFill="1" applyBorder="1" applyAlignment="1" applyProtection="1">
      <alignment horizontal="center" vertical="center" wrapText="1"/>
    </xf>
    <xf numFmtId="49" fontId="29" fillId="7" borderId="66" xfId="16" applyNumberFormat="1" applyFont="1" applyFill="1" applyBorder="1" applyAlignment="1" applyProtection="1">
      <alignment horizontal="center" vertical="center" wrapText="1"/>
    </xf>
    <xf numFmtId="49" fontId="29" fillId="7" borderId="74" xfId="16" applyNumberFormat="1" applyFont="1" applyFill="1" applyBorder="1" applyAlignment="1" applyProtection="1">
      <alignment horizontal="center" vertical="center" wrapText="1"/>
    </xf>
    <xf numFmtId="49" fontId="34" fillId="2" borderId="70" xfId="8" applyNumberFormat="1" applyFont="1" applyFill="1" applyBorder="1" applyAlignment="1" applyProtection="1">
      <alignment horizontal="center" vertical="center"/>
      <protection locked="0"/>
    </xf>
    <xf numFmtId="49" fontId="34" fillId="2" borderId="67" xfId="8" applyNumberFormat="1" applyFont="1" applyFill="1" applyBorder="1" applyAlignment="1" applyProtection="1">
      <alignment horizontal="left" vertical="center"/>
    </xf>
    <xf numFmtId="49" fontId="34" fillId="2" borderId="70" xfId="8" applyNumberFormat="1" applyFont="1" applyFill="1" applyBorder="1" applyAlignment="1" applyProtection="1">
      <alignment horizontal="left" vertical="center"/>
    </xf>
    <xf numFmtId="49" fontId="27" fillId="2" borderId="0" xfId="8" applyNumberFormat="1" applyFont="1" applyFill="1" applyBorder="1" applyAlignment="1" applyProtection="1">
      <alignment horizontal="center" vertical="center" wrapText="1"/>
    </xf>
    <xf numFmtId="49" fontId="27" fillId="0" borderId="0" xfId="8" applyNumberFormat="1" applyFont="1" applyBorder="1" applyAlignment="1" applyProtection="1">
      <alignment horizontal="center" vertical="center" wrapText="1"/>
    </xf>
    <xf numFmtId="0" fontId="88" fillId="0" borderId="0" xfId="17" applyFont="1" applyAlignment="1">
      <alignment horizontal="center" vertical="center" wrapText="1"/>
    </xf>
    <xf numFmtId="0" fontId="88" fillId="0" borderId="0" xfId="17" applyFont="1" applyAlignment="1">
      <alignment horizontal="center" vertical="center"/>
    </xf>
    <xf numFmtId="49" fontId="29" fillId="5" borderId="22" xfId="8" applyNumberFormat="1" applyFont="1" applyFill="1" applyBorder="1" applyAlignment="1" applyProtection="1">
      <alignment horizontal="center" vertical="center"/>
    </xf>
    <xf numFmtId="49" fontId="32" fillId="2" borderId="60" xfId="8" applyNumberFormat="1" applyFont="1" applyFill="1" applyBorder="1" applyAlignment="1" applyProtection="1">
      <alignment horizontal="center" vertical="center"/>
    </xf>
    <xf numFmtId="49" fontId="32" fillId="0" borderId="84" xfId="8" applyNumberFormat="1" applyFont="1" applyFill="1" applyBorder="1" applyAlignment="1" applyProtection="1">
      <alignment horizontal="center" vertical="center"/>
    </xf>
    <xf numFmtId="49" fontId="32" fillId="0" borderId="59" xfId="8" applyNumberFormat="1" applyFont="1" applyFill="1" applyBorder="1" applyAlignment="1" applyProtection="1">
      <alignment horizontal="center" vertical="center"/>
    </xf>
    <xf numFmtId="49" fontId="29" fillId="5" borderId="32" xfId="8" applyNumberFormat="1" applyFont="1" applyFill="1" applyBorder="1" applyAlignment="1" applyProtection="1">
      <alignment horizontal="center" vertical="center"/>
    </xf>
    <xf numFmtId="49" fontId="29" fillId="5" borderId="24" xfId="8" applyNumberFormat="1" applyFont="1" applyFill="1" applyBorder="1" applyAlignment="1" applyProtection="1">
      <alignment horizontal="center" vertical="center"/>
    </xf>
    <xf numFmtId="49" fontId="29" fillId="5" borderId="33" xfId="8" applyNumberFormat="1" applyFont="1" applyFill="1" applyBorder="1" applyAlignment="1" applyProtection="1">
      <alignment horizontal="center" vertical="center"/>
    </xf>
    <xf numFmtId="49" fontId="32" fillId="2" borderId="22" xfId="8" applyNumberFormat="1" applyFont="1" applyFill="1" applyBorder="1" applyAlignment="1" applyProtection="1">
      <alignment horizontal="center" vertical="center"/>
      <protection locked="0"/>
    </xf>
    <xf numFmtId="49" fontId="32" fillId="0" borderId="22" xfId="8" applyNumberFormat="1" applyFont="1" applyBorder="1" applyAlignment="1" applyProtection="1">
      <alignment horizontal="center" vertical="center"/>
      <protection locked="0"/>
    </xf>
    <xf numFmtId="49" fontId="32" fillId="0" borderId="23" xfId="8" applyNumberFormat="1" applyFont="1" applyBorder="1" applyAlignment="1" applyProtection="1">
      <alignment horizontal="center" vertical="center"/>
      <protection locked="0"/>
    </xf>
    <xf numFmtId="49" fontId="29" fillId="2" borderId="84" xfId="8" applyNumberFormat="1" applyFont="1" applyFill="1" applyBorder="1" applyAlignment="1" applyProtection="1">
      <alignment horizontal="center" vertical="center"/>
    </xf>
    <xf numFmtId="49" fontId="29" fillId="0" borderId="84" xfId="8" applyNumberFormat="1" applyFont="1" applyFill="1" applyBorder="1" applyAlignment="1" applyProtection="1">
      <alignment horizontal="center" vertical="center"/>
    </xf>
    <xf numFmtId="49" fontId="29" fillId="0" borderId="59" xfId="8" applyNumberFormat="1" applyFont="1" applyFill="1" applyBorder="1" applyAlignment="1" applyProtection="1">
      <alignment horizontal="center" vertical="center"/>
    </xf>
    <xf numFmtId="176" fontId="33" fillId="2" borderId="23" xfId="8" applyNumberFormat="1" applyFont="1" applyFill="1" applyBorder="1" applyAlignment="1" applyProtection="1">
      <alignment horizontal="center" vertical="center"/>
      <protection locked="0"/>
    </xf>
    <xf numFmtId="176" fontId="33" fillId="2" borderId="29" xfId="8" applyNumberFormat="1" applyFont="1" applyFill="1" applyBorder="1" applyAlignment="1" applyProtection="1">
      <alignment horizontal="center" vertical="center"/>
      <protection locked="0"/>
    </xf>
    <xf numFmtId="176" fontId="33" fillId="2" borderId="28" xfId="8" applyNumberFormat="1" applyFont="1" applyFill="1" applyBorder="1" applyAlignment="1" applyProtection="1">
      <alignment horizontal="center" vertical="center"/>
      <protection locked="0"/>
    </xf>
    <xf numFmtId="49" fontId="29" fillId="5" borderId="24" xfId="8" applyNumberFormat="1" applyFont="1" applyFill="1" applyBorder="1" applyAlignment="1" applyProtection="1">
      <alignment horizontal="center" vertical="center" wrapText="1"/>
    </xf>
    <xf numFmtId="49" fontId="29" fillId="5" borderId="33" xfId="8" applyNumberFormat="1" applyFont="1" applyFill="1" applyBorder="1" applyAlignment="1" applyProtection="1">
      <alignment horizontal="center" vertical="center" wrapText="1"/>
    </xf>
    <xf numFmtId="49" fontId="29" fillId="5" borderId="30" xfId="8" applyNumberFormat="1" applyFont="1" applyFill="1" applyBorder="1" applyAlignment="1" applyProtection="1">
      <alignment horizontal="center" vertical="center" wrapText="1"/>
    </xf>
    <xf numFmtId="49" fontId="31" fillId="5" borderId="28" xfId="8" applyNumberFormat="1" applyFont="1" applyFill="1" applyBorder="1" applyAlignment="1" applyProtection="1">
      <alignment horizontal="left" vertical="center"/>
    </xf>
    <xf numFmtId="49" fontId="31" fillId="5" borderId="22" xfId="8" applyNumberFormat="1" applyFont="1" applyFill="1" applyBorder="1" applyAlignment="1" applyProtection="1">
      <alignment horizontal="left" vertical="center"/>
    </xf>
    <xf numFmtId="49" fontId="31" fillId="2" borderId="29" xfId="8" applyNumberFormat="1" applyFont="1" applyFill="1" applyBorder="1" applyAlignment="1" applyProtection="1">
      <alignment horizontal="left" vertical="center"/>
      <protection locked="0"/>
    </xf>
    <xf numFmtId="49" fontId="31" fillId="2" borderId="28" xfId="8" applyNumberFormat="1" applyFont="1" applyFill="1" applyBorder="1" applyAlignment="1" applyProtection="1">
      <alignment horizontal="left" vertical="center"/>
      <protection locked="0"/>
    </xf>
    <xf numFmtId="49" fontId="32" fillId="2" borderId="28" xfId="8" applyNumberFormat="1" applyFont="1" applyFill="1" applyBorder="1" applyAlignment="1" applyProtection="1">
      <alignment horizontal="left" vertical="center"/>
      <protection locked="0"/>
    </xf>
    <xf numFmtId="49" fontId="32" fillId="2" borderId="22" xfId="8" applyNumberFormat="1" applyFont="1" applyFill="1" applyBorder="1" applyAlignment="1" applyProtection="1">
      <alignment horizontal="left" vertical="center"/>
      <protection locked="0"/>
    </xf>
    <xf numFmtId="49" fontId="29" fillId="5" borderId="34" xfId="8" applyNumberFormat="1" applyFont="1" applyFill="1" applyBorder="1" applyAlignment="1" applyProtection="1">
      <alignment horizontal="center" vertical="center"/>
    </xf>
    <xf numFmtId="49" fontId="29" fillId="5" borderId="0" xfId="8" applyNumberFormat="1" applyFont="1" applyFill="1" applyBorder="1" applyAlignment="1" applyProtection="1">
      <alignment horizontal="center" vertical="center"/>
    </xf>
    <xf numFmtId="49" fontId="29" fillId="5" borderId="27" xfId="8" applyNumberFormat="1" applyFont="1" applyFill="1" applyBorder="1" applyAlignment="1" applyProtection="1">
      <alignment horizontal="center" vertical="center"/>
    </xf>
    <xf numFmtId="49" fontId="29" fillId="5" borderId="31" xfId="8" applyNumberFormat="1" applyFont="1" applyFill="1" applyBorder="1" applyAlignment="1" applyProtection="1">
      <alignment horizontal="center" vertical="center"/>
    </xf>
    <xf numFmtId="49" fontId="29" fillId="5" borderId="26" xfId="8" applyNumberFormat="1" applyFont="1" applyFill="1" applyBorder="1" applyAlignment="1" applyProtection="1">
      <alignment horizontal="center" vertical="center"/>
    </xf>
    <xf numFmtId="49" fontId="29" fillId="5" borderId="37" xfId="8" applyNumberFormat="1" applyFont="1" applyFill="1" applyBorder="1" applyAlignment="1" applyProtection="1">
      <alignment horizontal="center" vertical="center"/>
    </xf>
    <xf numFmtId="49" fontId="29" fillId="5" borderId="35" xfId="8" applyNumberFormat="1" applyFont="1" applyFill="1" applyBorder="1" applyAlignment="1" applyProtection="1">
      <alignment horizontal="center" vertical="center"/>
    </xf>
    <xf numFmtId="49" fontId="29" fillId="5" borderId="36" xfId="8" applyNumberFormat="1" applyFont="1" applyFill="1" applyBorder="1" applyAlignment="1" applyProtection="1">
      <alignment horizontal="center" vertical="center"/>
    </xf>
    <xf numFmtId="49" fontId="31" fillId="7" borderId="35" xfId="8" applyNumberFormat="1" applyFont="1" applyFill="1" applyBorder="1" applyAlignment="1" applyProtection="1">
      <alignment horizontal="center" vertical="center"/>
    </xf>
    <xf numFmtId="49" fontId="34" fillId="0" borderId="29" xfId="8" applyNumberFormat="1" applyFont="1" applyBorder="1" applyAlignment="1" applyProtection="1">
      <alignment horizontal="center" vertical="center"/>
      <protection locked="0"/>
    </xf>
    <xf numFmtId="49" fontId="31" fillId="2" borderId="29" xfId="8" applyNumberFormat="1" applyFont="1" applyFill="1" applyBorder="1" applyAlignment="1" applyProtection="1">
      <alignment horizontal="left" vertical="center"/>
    </xf>
    <xf numFmtId="49" fontId="31" fillId="0" borderId="29" xfId="8" applyNumberFormat="1" applyFont="1" applyFill="1" applyBorder="1" applyAlignment="1" applyProtection="1">
      <alignment horizontal="left" vertical="center"/>
    </xf>
    <xf numFmtId="49" fontId="31" fillId="0" borderId="28" xfId="8" applyNumberFormat="1" applyFont="1" applyFill="1" applyBorder="1" applyAlignment="1" applyProtection="1">
      <alignment horizontal="left" vertical="center"/>
    </xf>
    <xf numFmtId="49" fontId="31" fillId="5" borderId="23" xfId="8" applyNumberFormat="1" applyFont="1" applyFill="1" applyBorder="1" applyAlignment="1" applyProtection="1">
      <alignment horizontal="left" vertical="center" wrapText="1"/>
    </xf>
    <xf numFmtId="49" fontId="31" fillId="5" borderId="29" xfId="8" applyNumberFormat="1" applyFont="1" applyFill="1" applyBorder="1" applyAlignment="1" applyProtection="1">
      <alignment horizontal="left" vertical="center" wrapText="1"/>
    </xf>
    <xf numFmtId="49" fontId="31" fillId="5" borderId="28" xfId="8" applyNumberFormat="1" applyFont="1" applyFill="1" applyBorder="1" applyAlignment="1" applyProtection="1">
      <alignment horizontal="left" vertical="center" wrapText="1"/>
    </xf>
    <xf numFmtId="49" fontId="33" fillId="2" borderId="23" xfId="8" applyNumberFormat="1" applyFont="1" applyFill="1" applyBorder="1" applyAlignment="1" applyProtection="1">
      <alignment horizontal="left" vertical="center" wrapText="1"/>
      <protection locked="0"/>
    </xf>
    <xf numFmtId="49" fontId="33" fillId="0" borderId="29" xfId="8" applyNumberFormat="1" applyFont="1" applyBorder="1" applyAlignment="1" applyProtection="1">
      <alignment horizontal="left" vertical="center" wrapText="1"/>
      <protection locked="0"/>
    </xf>
    <xf numFmtId="49" fontId="33" fillId="0" borderId="28" xfId="8" applyNumberFormat="1" applyFont="1" applyBorder="1" applyAlignment="1" applyProtection="1">
      <alignment horizontal="left" vertical="center" wrapText="1"/>
      <protection locked="0"/>
    </xf>
    <xf numFmtId="49" fontId="31" fillId="5" borderId="23" xfId="8" applyNumberFormat="1" applyFont="1" applyFill="1" applyBorder="1" applyAlignment="1" applyProtection="1">
      <alignment horizontal="center" vertical="center"/>
    </xf>
    <xf numFmtId="49" fontId="31" fillId="5" borderId="29" xfId="8" applyNumberFormat="1" applyFont="1" applyFill="1" applyBorder="1" applyAlignment="1" applyProtection="1">
      <alignment horizontal="center" vertical="center"/>
    </xf>
    <xf numFmtId="49" fontId="31" fillId="5" borderId="28" xfId="8" applyNumberFormat="1" applyFont="1" applyFill="1" applyBorder="1" applyAlignment="1" applyProtection="1">
      <alignment horizontal="center" vertical="center"/>
    </xf>
    <xf numFmtId="49" fontId="31" fillId="2" borderId="23" xfId="8" applyNumberFormat="1" applyFont="1" applyFill="1" applyBorder="1" applyAlignment="1" applyProtection="1">
      <alignment horizontal="left" vertical="center"/>
      <protection locked="0"/>
    </xf>
    <xf numFmtId="49" fontId="29" fillId="2" borderId="28" xfId="8" quotePrefix="1" applyNumberFormat="1" applyFont="1" applyFill="1" applyBorder="1" applyAlignment="1" applyProtection="1">
      <alignment horizontal="center" vertical="center"/>
      <protection locked="0"/>
    </xf>
    <xf numFmtId="0" fontId="32" fillId="2" borderId="35" xfId="8" applyNumberFormat="1" applyFont="1" applyFill="1" applyBorder="1" applyAlignment="1" applyProtection="1">
      <alignment horizontal="center" vertical="center"/>
      <protection locked="0"/>
    </xf>
    <xf numFmtId="0" fontId="32" fillId="2" borderId="36" xfId="8" applyNumberFormat="1" applyFont="1" applyFill="1" applyBorder="1" applyAlignment="1" applyProtection="1">
      <alignment horizontal="center" vertical="center"/>
      <protection locked="0"/>
    </xf>
    <xf numFmtId="0" fontId="32" fillId="2" borderId="32" xfId="8" applyNumberFormat="1" applyFont="1" applyFill="1" applyBorder="1" applyAlignment="1" applyProtection="1">
      <alignment horizontal="center" vertical="center"/>
      <protection locked="0"/>
    </xf>
    <xf numFmtId="0" fontId="32" fillId="2" borderId="31" xfId="8" applyNumberFormat="1" applyFont="1" applyFill="1" applyBorder="1" applyAlignment="1" applyProtection="1">
      <alignment horizontal="center" vertical="center"/>
      <protection locked="0"/>
    </xf>
    <xf numFmtId="0" fontId="32" fillId="2" borderId="26" xfId="8" applyNumberFormat="1" applyFont="1" applyFill="1" applyBorder="1" applyAlignment="1" applyProtection="1">
      <alignment horizontal="center" vertical="center"/>
      <protection locked="0"/>
    </xf>
    <xf numFmtId="0" fontId="32" fillId="2" borderId="37" xfId="8" applyNumberFormat="1" applyFont="1" applyFill="1" applyBorder="1" applyAlignment="1" applyProtection="1">
      <alignment horizontal="center" vertical="center"/>
      <protection locked="0"/>
    </xf>
    <xf numFmtId="49" fontId="31" fillId="5" borderId="35" xfId="8" applyNumberFormat="1" applyFont="1" applyFill="1" applyBorder="1" applyAlignment="1" applyProtection="1">
      <alignment horizontal="center" vertical="center" wrapText="1"/>
    </xf>
    <xf numFmtId="49" fontId="31" fillId="5" borderId="36" xfId="8" applyNumberFormat="1" applyFont="1" applyFill="1" applyBorder="1" applyAlignment="1" applyProtection="1">
      <alignment horizontal="center" vertical="center" wrapText="1"/>
    </xf>
    <xf numFmtId="49" fontId="31" fillId="5" borderId="32" xfId="8" applyNumberFormat="1" applyFont="1" applyFill="1" applyBorder="1" applyAlignment="1" applyProtection="1">
      <alignment horizontal="center" vertical="center" wrapText="1"/>
    </xf>
    <xf numFmtId="49" fontId="31" fillId="5" borderId="31" xfId="8" applyNumberFormat="1" applyFont="1" applyFill="1" applyBorder="1" applyAlignment="1" applyProtection="1">
      <alignment horizontal="center" vertical="center" wrapText="1"/>
    </xf>
    <xf numFmtId="49" fontId="31" fillId="5" borderId="26" xfId="8" applyNumberFormat="1" applyFont="1" applyFill="1" applyBorder="1" applyAlignment="1" applyProtection="1">
      <alignment horizontal="center" vertical="center" wrapText="1"/>
    </xf>
    <xf numFmtId="49" fontId="31" fillId="5" borderId="37" xfId="8" applyNumberFormat="1" applyFont="1" applyFill="1" applyBorder="1" applyAlignment="1" applyProtection="1">
      <alignment horizontal="center" vertical="center" wrapText="1"/>
    </xf>
    <xf numFmtId="49" fontId="32" fillId="2" borderId="35" xfId="8" applyNumberFormat="1" applyFont="1" applyFill="1" applyBorder="1" applyAlignment="1" applyProtection="1">
      <alignment horizontal="center" vertical="center" wrapText="1"/>
      <protection locked="0"/>
    </xf>
    <xf numFmtId="49" fontId="32" fillId="2" borderId="36" xfId="8" applyNumberFormat="1" applyFont="1" applyFill="1" applyBorder="1" applyAlignment="1" applyProtection="1">
      <alignment horizontal="center" vertical="center" wrapText="1"/>
      <protection locked="0"/>
    </xf>
    <xf numFmtId="49" fontId="32" fillId="2" borderId="32" xfId="8" applyNumberFormat="1" applyFont="1" applyFill="1" applyBorder="1" applyAlignment="1" applyProtection="1">
      <alignment horizontal="center" vertical="center" wrapText="1"/>
      <protection locked="0"/>
    </xf>
    <xf numFmtId="49" fontId="32" fillId="2" borderId="31" xfId="8" applyNumberFormat="1" applyFont="1" applyFill="1" applyBorder="1" applyAlignment="1" applyProtection="1">
      <alignment horizontal="center" vertical="center" wrapText="1"/>
      <protection locked="0"/>
    </xf>
    <xf numFmtId="49" fontId="32" fillId="2" borderId="26" xfId="8" applyNumberFormat="1" applyFont="1" applyFill="1" applyBorder="1" applyAlignment="1" applyProtection="1">
      <alignment horizontal="center" vertical="center" wrapText="1"/>
      <protection locked="0"/>
    </xf>
    <xf numFmtId="49" fontId="32" fillId="2" borderId="37" xfId="8" applyNumberFormat="1" applyFont="1" applyFill="1" applyBorder="1" applyAlignment="1" applyProtection="1">
      <alignment horizontal="center" vertical="center" wrapText="1"/>
      <protection locked="0"/>
    </xf>
    <xf numFmtId="49" fontId="32" fillId="2" borderId="35" xfId="8" applyNumberFormat="1" applyFont="1" applyFill="1" applyBorder="1" applyAlignment="1" applyProtection="1">
      <alignment horizontal="left" vertical="center" wrapText="1"/>
      <protection locked="0"/>
    </xf>
    <xf numFmtId="49" fontId="32" fillId="2" borderId="36" xfId="8" applyNumberFormat="1" applyFont="1" applyFill="1" applyBorder="1" applyAlignment="1" applyProtection="1">
      <alignment horizontal="left" vertical="center" wrapText="1"/>
      <protection locked="0"/>
    </xf>
    <xf numFmtId="49" fontId="32" fillId="2" borderId="32" xfId="8" applyNumberFormat="1" applyFont="1" applyFill="1" applyBorder="1" applyAlignment="1" applyProtection="1">
      <alignment horizontal="left" vertical="center" wrapText="1"/>
      <protection locked="0"/>
    </xf>
    <xf numFmtId="49" fontId="32" fillId="2" borderId="31" xfId="8" applyNumberFormat="1" applyFont="1" applyFill="1" applyBorder="1" applyAlignment="1" applyProtection="1">
      <alignment horizontal="left" vertical="center" wrapText="1"/>
      <protection locked="0"/>
    </xf>
    <xf numFmtId="49" fontId="32" fillId="2" borderId="26" xfId="8" applyNumberFormat="1" applyFont="1" applyFill="1" applyBorder="1" applyAlignment="1" applyProtection="1">
      <alignment horizontal="left" vertical="center" wrapText="1"/>
      <protection locked="0"/>
    </xf>
    <xf numFmtId="49" fontId="32" fillId="2" borderId="37" xfId="8" applyNumberFormat="1" applyFont="1" applyFill="1" applyBorder="1" applyAlignment="1" applyProtection="1">
      <alignment horizontal="left" vertical="center" wrapText="1"/>
      <protection locked="0"/>
    </xf>
    <xf numFmtId="0" fontId="32" fillId="2" borderId="72" xfId="8" applyNumberFormat="1" applyFont="1" applyFill="1" applyBorder="1" applyAlignment="1" applyProtection="1">
      <alignment horizontal="center" vertical="center"/>
      <protection locked="0"/>
    </xf>
    <xf numFmtId="0" fontId="32" fillId="0" borderId="72" xfId="8" applyNumberFormat="1" applyFont="1" applyFill="1" applyBorder="1" applyAlignment="1" applyProtection="1">
      <alignment horizontal="center" vertical="center"/>
      <protection locked="0"/>
    </xf>
    <xf numFmtId="0" fontId="32" fillId="0" borderId="36" xfId="8" applyNumberFormat="1" applyFont="1" applyFill="1" applyBorder="1" applyAlignment="1" applyProtection="1">
      <alignment horizontal="center" vertical="center"/>
      <protection locked="0"/>
    </xf>
    <xf numFmtId="0" fontId="32" fillId="0" borderId="32" xfId="8" applyNumberFormat="1" applyFont="1" applyFill="1" applyBorder="1" applyAlignment="1" applyProtection="1">
      <alignment horizontal="center" vertical="center"/>
      <protection locked="0"/>
    </xf>
    <xf numFmtId="0" fontId="32" fillId="0" borderId="26" xfId="8" applyNumberFormat="1" applyFont="1" applyFill="1" applyBorder="1" applyAlignment="1" applyProtection="1">
      <alignment horizontal="center" vertical="center"/>
      <protection locked="0"/>
    </xf>
    <xf numFmtId="0" fontId="32" fillId="0" borderId="37" xfId="8" applyNumberFormat="1" applyFont="1" applyFill="1" applyBorder="1" applyAlignment="1" applyProtection="1">
      <alignment horizontal="center" vertical="center"/>
      <protection locked="0"/>
    </xf>
    <xf numFmtId="49" fontId="34" fillId="2" borderId="23" xfId="8" applyNumberFormat="1" applyFont="1" applyFill="1" applyBorder="1" applyAlignment="1" applyProtection="1">
      <alignment horizontal="center" vertical="center"/>
    </xf>
    <xf numFmtId="49" fontId="34" fillId="0" borderId="29" xfId="8" applyNumberFormat="1" applyFont="1" applyBorder="1" applyAlignment="1" applyProtection="1">
      <alignment horizontal="center" vertical="center"/>
    </xf>
    <xf numFmtId="49" fontId="32" fillId="2" borderId="35" xfId="8" applyNumberFormat="1" applyFont="1" applyFill="1" applyBorder="1" applyAlignment="1" applyProtection="1">
      <alignment horizontal="center" vertical="center"/>
      <protection locked="0"/>
    </xf>
    <xf numFmtId="49" fontId="32" fillId="2" borderId="36" xfId="8" applyNumberFormat="1" applyFont="1" applyFill="1" applyBorder="1" applyAlignment="1" applyProtection="1">
      <alignment horizontal="center" vertical="center"/>
      <protection locked="0"/>
    </xf>
    <xf numFmtId="49" fontId="32" fillId="2" borderId="0" xfId="8" applyNumberFormat="1" applyFont="1" applyFill="1" applyBorder="1" applyAlignment="1" applyProtection="1">
      <alignment horizontal="center" vertical="center"/>
      <protection locked="0"/>
    </xf>
    <xf numFmtId="49" fontId="32" fillId="2" borderId="32" xfId="8" applyNumberFormat="1" applyFont="1" applyFill="1" applyBorder="1" applyAlignment="1" applyProtection="1">
      <alignment horizontal="center" vertical="center"/>
      <protection locked="0"/>
    </xf>
    <xf numFmtId="49" fontId="32" fillId="2" borderId="27" xfId="8" applyNumberFormat="1" applyFont="1" applyFill="1" applyBorder="1" applyAlignment="1" applyProtection="1">
      <alignment horizontal="center" vertical="center"/>
      <protection locked="0"/>
    </xf>
    <xf numFmtId="49" fontId="32" fillId="2" borderId="31" xfId="8" applyNumberFormat="1" applyFont="1" applyFill="1" applyBorder="1" applyAlignment="1" applyProtection="1">
      <alignment horizontal="center" vertical="center"/>
      <protection locked="0"/>
    </xf>
    <xf numFmtId="49" fontId="32" fillId="2" borderId="26" xfId="8" applyNumberFormat="1" applyFont="1" applyFill="1" applyBorder="1" applyAlignment="1" applyProtection="1">
      <alignment horizontal="center" vertical="center"/>
      <protection locked="0"/>
    </xf>
    <xf numFmtId="49" fontId="32" fillId="2" borderId="37" xfId="8" applyNumberFormat="1" applyFont="1" applyFill="1" applyBorder="1" applyAlignment="1" applyProtection="1">
      <alignment horizontal="center" vertical="center"/>
      <protection locked="0"/>
    </xf>
    <xf numFmtId="49" fontId="29" fillId="5" borderId="22" xfId="8" applyNumberFormat="1" applyFont="1" applyFill="1" applyBorder="1" applyAlignment="1" applyProtection="1">
      <alignment horizontal="center" vertical="center" wrapText="1"/>
    </xf>
    <xf numFmtId="49" fontId="32" fillId="2" borderId="36" xfId="8" applyNumberFormat="1" applyFont="1" applyFill="1" applyBorder="1" applyAlignment="1" applyProtection="1">
      <alignment horizontal="left" vertical="center"/>
      <protection locked="0"/>
    </xf>
    <xf numFmtId="49" fontId="32" fillId="2" borderId="32" xfId="8" applyNumberFormat="1" applyFont="1" applyFill="1" applyBorder="1" applyAlignment="1" applyProtection="1">
      <alignment horizontal="left" vertical="center"/>
      <protection locked="0"/>
    </xf>
    <xf numFmtId="49" fontId="32" fillId="2" borderId="31" xfId="8" applyNumberFormat="1" applyFont="1" applyFill="1" applyBorder="1" applyAlignment="1" applyProtection="1">
      <alignment horizontal="left" vertical="center"/>
      <protection locked="0"/>
    </xf>
    <xf numFmtId="49" fontId="32" fillId="2" borderId="26" xfId="8" applyNumberFormat="1" applyFont="1" applyFill="1" applyBorder="1" applyAlignment="1" applyProtection="1">
      <alignment horizontal="left" vertical="center"/>
      <protection locked="0"/>
    </xf>
    <xf numFmtId="49" fontId="32" fillId="2" borderId="37" xfId="8" applyNumberFormat="1" applyFont="1" applyFill="1" applyBorder="1" applyAlignment="1" applyProtection="1">
      <alignment horizontal="left" vertical="center"/>
      <protection locked="0"/>
    </xf>
    <xf numFmtId="49" fontId="69" fillId="2" borderId="22" xfId="17" applyNumberFormat="1" applyFill="1" applyBorder="1" applyAlignment="1" applyProtection="1">
      <alignment horizontal="left" vertical="center" wrapText="1"/>
      <protection locked="0"/>
    </xf>
    <xf numFmtId="49" fontId="34" fillId="2" borderId="22" xfId="8" applyNumberFormat="1" applyFont="1" applyFill="1" applyBorder="1" applyAlignment="1" applyProtection="1">
      <alignment horizontal="left" vertical="center" wrapText="1"/>
      <protection locked="0"/>
    </xf>
    <xf numFmtId="49" fontId="29" fillId="2" borderId="29" xfId="8" applyNumberFormat="1" applyFont="1" applyFill="1" applyBorder="1" applyAlignment="1" applyProtection="1">
      <alignment horizontal="center" vertical="center" wrapText="1"/>
    </xf>
    <xf numFmtId="49" fontId="29" fillId="0" borderId="29" xfId="8" applyNumberFormat="1" applyFont="1" applyBorder="1" applyAlignment="1" applyProtection="1">
      <alignment horizontal="center" vertical="center" wrapText="1"/>
    </xf>
    <xf numFmtId="49" fontId="29" fillId="0" borderId="28" xfId="8" applyNumberFormat="1" applyFont="1" applyBorder="1" applyAlignment="1" applyProtection="1">
      <alignment horizontal="center" vertical="center" wrapText="1"/>
    </xf>
    <xf numFmtId="49" fontId="34" fillId="2" borderId="0" xfId="8" applyNumberFormat="1" applyFont="1" applyFill="1" applyBorder="1" applyAlignment="1" applyProtection="1">
      <alignment horizontal="left"/>
    </xf>
    <xf numFmtId="49" fontId="34" fillId="0" borderId="0" xfId="8" applyNumberFormat="1" applyFont="1" applyBorder="1" applyAlignment="1" applyProtection="1">
      <alignment horizontal="left"/>
    </xf>
    <xf numFmtId="49" fontId="29" fillId="5" borderId="29" xfId="8" applyNumberFormat="1" applyFont="1" applyFill="1" applyBorder="1" applyAlignment="1" applyProtection="1">
      <alignment horizontal="center" vertical="center"/>
    </xf>
    <xf numFmtId="49" fontId="29" fillId="5" borderId="28" xfId="8" applyNumberFormat="1" applyFont="1" applyFill="1" applyBorder="1" applyAlignment="1" applyProtection="1">
      <alignment horizontal="center" vertical="center"/>
    </xf>
    <xf numFmtId="49" fontId="34" fillId="5" borderId="36" xfId="8" applyNumberFormat="1" applyFont="1" applyFill="1" applyBorder="1" applyAlignment="1" applyProtection="1">
      <alignment horizontal="center" vertical="center" wrapText="1"/>
    </xf>
    <xf numFmtId="49" fontId="34" fillId="5" borderId="32" xfId="8" applyNumberFormat="1" applyFont="1" applyFill="1" applyBorder="1" applyAlignment="1" applyProtection="1">
      <alignment horizontal="center" vertical="center" wrapText="1"/>
    </xf>
    <xf numFmtId="49" fontId="34" fillId="5" borderId="0" xfId="8" applyNumberFormat="1" applyFont="1" applyFill="1" applyBorder="1" applyAlignment="1" applyProtection="1">
      <alignment horizontal="center" vertical="center" wrapText="1"/>
    </xf>
    <xf numFmtId="49" fontId="34" fillId="5" borderId="27" xfId="8" applyNumberFormat="1" applyFont="1" applyFill="1" applyBorder="1" applyAlignment="1" applyProtection="1">
      <alignment horizontal="center" vertical="center" wrapText="1"/>
    </xf>
    <xf numFmtId="49" fontId="34" fillId="5" borderId="26" xfId="8" applyNumberFormat="1" applyFont="1" applyFill="1" applyBorder="1" applyAlignment="1" applyProtection="1">
      <alignment horizontal="center" vertical="center" wrapText="1"/>
    </xf>
    <xf numFmtId="49" fontId="34" fillId="5" borderId="37" xfId="8" applyNumberFormat="1" applyFont="1" applyFill="1" applyBorder="1" applyAlignment="1" applyProtection="1">
      <alignment horizontal="center" vertical="center" wrapText="1"/>
    </xf>
    <xf numFmtId="0" fontId="26" fillId="5" borderId="35" xfId="8" applyFont="1" applyFill="1" applyBorder="1" applyAlignment="1" applyProtection="1">
      <alignment horizontal="left" vertical="center" wrapText="1"/>
    </xf>
    <xf numFmtId="0" fontId="26" fillId="5" borderId="36" xfId="8" applyFont="1" applyFill="1" applyBorder="1" applyAlignment="1" applyProtection="1">
      <alignment horizontal="left" vertical="center" wrapText="1"/>
    </xf>
    <xf numFmtId="0" fontId="26" fillId="5" borderId="32" xfId="8" applyFont="1" applyFill="1" applyBorder="1" applyAlignment="1" applyProtection="1">
      <alignment horizontal="left" vertical="center" wrapText="1"/>
    </xf>
    <xf numFmtId="0" fontId="26" fillId="5" borderId="34" xfId="8" applyFont="1" applyFill="1" applyBorder="1" applyAlignment="1" applyProtection="1">
      <alignment horizontal="left" vertical="center" wrapText="1"/>
    </xf>
    <xf numFmtId="0" fontId="26" fillId="5" borderId="0" xfId="8" applyFont="1" applyFill="1" applyBorder="1" applyAlignment="1" applyProtection="1">
      <alignment horizontal="left" vertical="center" wrapText="1"/>
    </xf>
    <xf numFmtId="0" fontId="26" fillId="5" borderId="27" xfId="8" applyFont="1" applyFill="1" applyBorder="1" applyAlignment="1" applyProtection="1">
      <alignment horizontal="left" vertical="center" wrapText="1"/>
    </xf>
    <xf numFmtId="179" fontId="14" fillId="2" borderId="26" xfId="8" applyNumberFormat="1" applyFill="1" applyBorder="1" applyAlignment="1" applyProtection="1">
      <alignment horizontal="center" vertical="center"/>
    </xf>
    <xf numFmtId="49" fontId="29" fillId="5" borderId="23" xfId="8" applyNumberFormat="1" applyFont="1" applyFill="1" applyBorder="1" applyAlignment="1" applyProtection="1">
      <alignment horizontal="center" vertical="center"/>
    </xf>
    <xf numFmtId="49" fontId="29" fillId="5" borderId="24" xfId="8" applyNumberFormat="1" applyFont="1" applyFill="1" applyBorder="1" applyAlignment="1" applyProtection="1">
      <alignment horizontal="center" vertical="center" textRotation="255" wrapText="1"/>
    </xf>
    <xf numFmtId="49" fontId="29" fillId="5" borderId="33" xfId="8" applyNumberFormat="1" applyFont="1" applyFill="1" applyBorder="1" applyAlignment="1" applyProtection="1">
      <alignment horizontal="center" vertical="center" textRotation="255" wrapText="1"/>
    </xf>
    <xf numFmtId="49" fontId="29" fillId="5" borderId="30" xfId="8" applyNumberFormat="1" applyFont="1" applyFill="1" applyBorder="1" applyAlignment="1" applyProtection="1">
      <alignment horizontal="center" vertical="center" textRotation="255" wrapText="1"/>
    </xf>
    <xf numFmtId="49" fontId="33" fillId="0" borderId="36" xfId="8" applyNumberFormat="1" applyFont="1" applyBorder="1" applyAlignment="1" applyProtection="1">
      <alignment horizontal="left" vertical="center" wrapText="1"/>
      <protection locked="0"/>
    </xf>
    <xf numFmtId="49" fontId="33" fillId="0" borderId="32" xfId="8" applyNumberFormat="1" applyFont="1" applyBorder="1" applyAlignment="1" applyProtection="1">
      <alignment horizontal="left" vertical="center" wrapText="1"/>
      <protection locked="0"/>
    </xf>
    <xf numFmtId="49" fontId="31" fillId="5" borderId="36" xfId="8" applyNumberFormat="1" applyFont="1" applyFill="1" applyBorder="1" applyAlignment="1" applyProtection="1">
      <alignment horizontal="center" vertical="center"/>
    </xf>
    <xf numFmtId="49" fontId="31" fillId="5" borderId="32" xfId="8" applyNumberFormat="1" applyFont="1" applyFill="1" applyBorder="1" applyAlignment="1" applyProtection="1">
      <alignment horizontal="center" vertical="center"/>
    </xf>
    <xf numFmtId="49" fontId="31" fillId="5" borderId="31" xfId="8" applyNumberFormat="1" applyFont="1" applyFill="1" applyBorder="1" applyAlignment="1" applyProtection="1">
      <alignment horizontal="center" vertical="center"/>
    </xf>
    <xf numFmtId="49" fontId="31" fillId="5" borderId="26" xfId="8" applyNumberFormat="1" applyFont="1" applyFill="1" applyBorder="1" applyAlignment="1" applyProtection="1">
      <alignment horizontal="center" vertical="center"/>
    </xf>
    <xf numFmtId="49" fontId="31" fillId="5" borderId="37" xfId="8" applyNumberFormat="1" applyFont="1" applyFill="1" applyBorder="1" applyAlignment="1" applyProtection="1">
      <alignment horizontal="center" vertical="center"/>
    </xf>
    <xf numFmtId="49" fontId="34" fillId="2" borderId="66" xfId="8" applyNumberFormat="1" applyFont="1" applyFill="1" applyBorder="1" applyAlignment="1" applyProtection="1">
      <alignment horizontal="left" vertical="center"/>
    </xf>
    <xf numFmtId="49" fontId="34" fillId="2" borderId="39" xfId="8" applyNumberFormat="1" applyFont="1" applyFill="1" applyBorder="1" applyAlignment="1" applyProtection="1">
      <alignment horizontal="center" vertical="center"/>
      <protection locked="0"/>
    </xf>
    <xf numFmtId="49" fontId="34" fillId="2" borderId="38" xfId="8" applyNumberFormat="1" applyFont="1" applyFill="1" applyBorder="1" applyAlignment="1" applyProtection="1">
      <alignment horizontal="center" vertical="center"/>
      <protection locked="0"/>
    </xf>
    <xf numFmtId="49" fontId="34" fillId="2" borderId="31" xfId="8" applyNumberFormat="1" applyFont="1" applyFill="1" applyBorder="1" applyAlignment="1" applyProtection="1">
      <alignment horizontal="center" vertical="center"/>
      <protection locked="0"/>
    </xf>
    <xf numFmtId="49" fontId="34" fillId="2" borderId="26" xfId="8" applyNumberFormat="1" applyFont="1" applyFill="1" applyBorder="1" applyAlignment="1" applyProtection="1">
      <alignment horizontal="center" vertical="center"/>
      <protection locked="0"/>
    </xf>
    <xf numFmtId="49" fontId="29" fillId="5" borderId="29" xfId="8" applyNumberFormat="1" applyFont="1" applyFill="1" applyBorder="1" applyAlignment="1" applyProtection="1">
      <alignment horizontal="center" vertical="center" wrapText="1"/>
    </xf>
    <xf numFmtId="49" fontId="34" fillId="5" borderId="23" xfId="8" applyNumberFormat="1" applyFont="1" applyFill="1" applyBorder="1" applyAlignment="1" applyProtection="1">
      <alignment horizontal="right" vertical="center"/>
    </xf>
    <xf numFmtId="49" fontId="34" fillId="5" borderId="29" xfId="8" applyNumberFormat="1" applyFont="1" applyFill="1" applyBorder="1" applyAlignment="1" applyProtection="1">
      <alignment horizontal="right" vertical="center"/>
    </xf>
    <xf numFmtId="49" fontId="34" fillId="5" borderId="37" xfId="8" applyNumberFormat="1" applyFont="1" applyFill="1" applyBorder="1" applyAlignment="1" applyProtection="1">
      <alignment horizontal="right" vertical="center"/>
    </xf>
    <xf numFmtId="49" fontId="29" fillId="5" borderId="35" xfId="8" applyNumberFormat="1" applyFont="1" applyFill="1" applyBorder="1" applyAlignment="1" applyProtection="1">
      <alignment horizontal="center" vertical="center" wrapText="1"/>
    </xf>
    <xf numFmtId="49" fontId="29" fillId="5" borderId="31" xfId="8" applyNumberFormat="1" applyFont="1" applyFill="1" applyBorder="1" applyAlignment="1" applyProtection="1">
      <alignment horizontal="center" vertical="center" wrapText="1"/>
    </xf>
    <xf numFmtId="49" fontId="29" fillId="2" borderId="0" xfId="8" applyNumberFormat="1" applyFont="1" applyFill="1" applyBorder="1" applyAlignment="1" applyProtection="1">
      <alignment horizontal="left" vertical="center"/>
    </xf>
    <xf numFmtId="49" fontId="29" fillId="2" borderId="26" xfId="8" applyNumberFormat="1" applyFont="1" applyFill="1" applyBorder="1" applyAlignment="1" applyProtection="1">
      <alignment horizontal="left" vertical="center"/>
    </xf>
    <xf numFmtId="0" fontId="14" fillId="7" borderId="15" xfId="8" applyFill="1" applyBorder="1" applyAlignment="1" applyProtection="1">
      <alignment horizontal="center" vertical="center"/>
      <protection locked="0"/>
    </xf>
    <xf numFmtId="0" fontId="14" fillId="7" borderId="17" xfId="8" applyFill="1" applyBorder="1" applyAlignment="1" applyProtection="1">
      <alignment horizontal="center" vertical="center"/>
      <protection locked="0"/>
    </xf>
    <xf numFmtId="0" fontId="42" fillId="5" borderId="15" xfId="8" applyFont="1" applyFill="1" applyBorder="1" applyAlignment="1">
      <alignment horizontal="center" vertical="center"/>
    </xf>
    <xf numFmtId="0" fontId="42" fillId="5" borderId="17" xfId="8" applyFont="1" applyFill="1" applyBorder="1" applyAlignment="1">
      <alignment horizontal="center" vertical="center"/>
    </xf>
    <xf numFmtId="0" fontId="46" fillId="5" borderId="14" xfId="8" applyFont="1" applyFill="1" applyBorder="1" applyAlignment="1">
      <alignment horizontal="center" vertical="center"/>
    </xf>
    <xf numFmtId="0" fontId="47" fillId="5" borderId="4" xfId="8" applyFont="1" applyFill="1" applyBorder="1" applyAlignment="1">
      <alignment horizontal="center" vertical="center" wrapText="1"/>
    </xf>
    <xf numFmtId="0" fontId="14" fillId="0" borderId="6" xfId="8" applyBorder="1" applyAlignment="1">
      <alignment horizontal="center" vertical="center" wrapText="1"/>
    </xf>
    <xf numFmtId="0" fontId="14" fillId="0" borderId="1" xfId="8" applyBorder="1" applyAlignment="1">
      <alignment horizontal="center" vertical="center" wrapText="1"/>
    </xf>
    <xf numFmtId="0" fontId="14" fillId="0" borderId="2" xfId="8" applyBorder="1" applyAlignment="1">
      <alignment horizontal="center" vertical="center" wrapText="1"/>
    </xf>
    <xf numFmtId="0" fontId="14" fillId="0" borderId="7" xfId="8" applyBorder="1" applyAlignment="1">
      <alignment horizontal="center" vertical="center" wrapText="1"/>
    </xf>
    <xf numFmtId="0" fontId="14" fillId="0" borderId="9" xfId="8" applyBorder="1" applyAlignment="1">
      <alignment horizontal="center" vertical="center" wrapText="1"/>
    </xf>
    <xf numFmtId="0" fontId="47" fillId="5" borderId="13" xfId="8" applyFont="1" applyFill="1" applyBorder="1" applyAlignment="1">
      <alignment horizontal="center" vertical="center" wrapText="1"/>
    </xf>
    <xf numFmtId="0" fontId="47" fillId="5" borderId="19" xfId="8" applyFont="1" applyFill="1" applyBorder="1" applyAlignment="1">
      <alignment horizontal="center" vertical="center" wrapText="1"/>
    </xf>
    <xf numFmtId="0" fontId="47" fillId="5" borderId="18" xfId="8" applyFont="1" applyFill="1" applyBorder="1" applyAlignment="1">
      <alignment horizontal="center" vertical="center" wrapText="1"/>
    </xf>
    <xf numFmtId="0" fontId="46" fillId="8" borderId="14" xfId="8" applyFont="1" applyFill="1" applyBorder="1" applyAlignment="1">
      <alignment horizontal="center" vertical="center" wrapText="1"/>
    </xf>
    <xf numFmtId="0" fontId="46" fillId="8" borderId="14" xfId="8" applyFont="1" applyFill="1" applyBorder="1" applyAlignment="1">
      <alignment horizontal="center" vertical="center"/>
    </xf>
    <xf numFmtId="0" fontId="12" fillId="3" borderId="15" xfId="8" applyFont="1" applyFill="1" applyBorder="1" applyAlignment="1">
      <alignment horizontal="center" vertical="center"/>
    </xf>
    <xf numFmtId="0" fontId="14" fillId="0" borderId="17" xfId="8" applyBorder="1" applyAlignment="1">
      <alignment horizontal="center" vertical="center"/>
    </xf>
    <xf numFmtId="0" fontId="32" fillId="5" borderId="15" xfId="11" applyFont="1" applyFill="1" applyBorder="1" applyAlignment="1" applyProtection="1">
      <alignment horizontal="center" vertical="center" wrapText="1"/>
    </xf>
    <xf numFmtId="0" fontId="32" fillId="5" borderId="16" xfId="11" applyFont="1" applyFill="1" applyBorder="1" applyAlignment="1" applyProtection="1">
      <alignment horizontal="center" vertical="center" wrapText="1"/>
    </xf>
    <xf numFmtId="0" fontId="32" fillId="5" borderId="44" xfId="11" applyFont="1" applyFill="1" applyBorder="1" applyAlignment="1" applyProtection="1">
      <alignment horizontal="center" vertical="center" wrapText="1"/>
    </xf>
    <xf numFmtId="0" fontId="27" fillId="7" borderId="20" xfId="19" applyNumberFormat="1" applyFont="1" applyFill="1" applyBorder="1" applyAlignment="1" applyProtection="1">
      <alignment horizontal="center" vertical="center" wrapText="1" shrinkToFit="1"/>
      <protection locked="0"/>
    </xf>
    <xf numFmtId="0" fontId="27" fillId="7" borderId="16" xfId="19" applyNumberFormat="1" applyFont="1" applyFill="1" applyBorder="1" applyAlignment="1" applyProtection="1">
      <alignment horizontal="center" vertical="center" wrapText="1" shrinkToFit="1"/>
      <protection locked="0"/>
    </xf>
    <xf numFmtId="0" fontId="27" fillId="7" borderId="17" xfId="19" applyNumberFormat="1" applyFont="1" applyFill="1" applyBorder="1" applyAlignment="1" applyProtection="1">
      <alignment horizontal="center" vertical="center" wrapText="1" shrinkToFit="1"/>
      <protection locked="0"/>
    </xf>
    <xf numFmtId="0" fontId="32" fillId="5" borderId="1" xfId="11" applyFont="1" applyFill="1" applyBorder="1" applyAlignment="1" applyProtection="1">
      <alignment horizontal="left" vertical="center"/>
    </xf>
    <xf numFmtId="0" fontId="32" fillId="5" borderId="0" xfId="11" applyFont="1" applyFill="1" applyBorder="1" applyAlignment="1" applyProtection="1">
      <alignment horizontal="left" vertical="center"/>
    </xf>
    <xf numFmtId="0" fontId="27" fillId="2" borderId="20" xfId="19" applyNumberFormat="1" applyFont="1" applyFill="1" applyBorder="1" applyAlignment="1" applyProtection="1">
      <alignment horizontal="center" vertical="center" wrapText="1" shrinkToFit="1"/>
      <protection locked="0"/>
    </xf>
    <xf numFmtId="0" fontId="27" fillId="2" borderId="16" xfId="19" applyNumberFormat="1" applyFont="1" applyFill="1" applyBorder="1" applyAlignment="1" applyProtection="1">
      <alignment horizontal="center" vertical="center" wrapText="1" shrinkToFit="1"/>
      <protection locked="0"/>
    </xf>
    <xf numFmtId="0" fontId="27" fillId="2" borderId="17" xfId="19" applyNumberFormat="1" applyFont="1" applyFill="1" applyBorder="1" applyAlignment="1" applyProtection="1">
      <alignment horizontal="center" vertical="center" wrapText="1" shrinkToFit="1"/>
      <protection locked="0"/>
    </xf>
    <xf numFmtId="0" fontId="51" fillId="2" borderId="0" xfId="19" applyFont="1" applyFill="1" applyAlignment="1" applyProtection="1">
      <alignment horizontal="center" vertical="center"/>
    </xf>
    <xf numFmtId="0" fontId="26" fillId="2" borderId="41" xfId="19" applyFont="1" applyFill="1" applyBorder="1" applyAlignment="1" applyProtection="1">
      <alignment horizontal="center" vertical="center" wrapText="1"/>
    </xf>
    <xf numFmtId="0" fontId="26" fillId="2" borderId="21" xfId="19" applyFont="1" applyFill="1" applyBorder="1" applyAlignment="1" applyProtection="1">
      <alignment horizontal="center" vertical="center"/>
    </xf>
    <xf numFmtId="0" fontId="26" fillId="2" borderId="42" xfId="19" applyFont="1" applyFill="1" applyBorder="1" applyAlignment="1" applyProtection="1">
      <alignment horizontal="center" vertical="center"/>
    </xf>
    <xf numFmtId="0" fontId="26" fillId="2" borderId="3" xfId="19" applyFont="1" applyFill="1" applyBorder="1" applyAlignment="1" applyProtection="1">
      <alignment horizontal="center" vertical="center"/>
    </xf>
    <xf numFmtId="0" fontId="26" fillId="2" borderId="0" xfId="19" applyFont="1" applyFill="1" applyBorder="1" applyAlignment="1" applyProtection="1">
      <alignment horizontal="center" vertical="center"/>
    </xf>
    <xf numFmtId="0" fontId="26" fillId="2" borderId="12" xfId="19" applyFont="1" applyFill="1" applyBorder="1" applyAlignment="1" applyProtection="1">
      <alignment horizontal="center" vertical="center"/>
    </xf>
    <xf numFmtId="0" fontId="26" fillId="2" borderId="11" xfId="19" applyFont="1" applyFill="1" applyBorder="1" applyAlignment="1" applyProtection="1">
      <alignment horizontal="center" vertical="center"/>
    </xf>
    <xf numFmtId="0" fontId="26" fillId="2" borderId="10" xfId="19" applyFont="1" applyFill="1" applyBorder="1" applyAlignment="1" applyProtection="1">
      <alignment horizontal="center" vertical="center"/>
    </xf>
    <xf numFmtId="0" fontId="26" fillId="2" borderId="43" xfId="19" applyFont="1" applyFill="1" applyBorder="1" applyAlignment="1" applyProtection="1">
      <alignment horizontal="center" vertical="center"/>
    </xf>
    <xf numFmtId="0" fontId="32" fillId="7" borderId="14" xfId="10" applyFont="1" applyFill="1" applyBorder="1" applyAlignment="1" applyProtection="1">
      <alignment horizontal="center" vertical="center" wrapText="1"/>
      <protection hidden="1"/>
    </xf>
    <xf numFmtId="0" fontId="27" fillId="7" borderId="14" xfId="10" applyNumberFormat="1" applyFont="1" applyFill="1" applyBorder="1" applyAlignment="1" applyProtection="1">
      <alignment horizontal="center" vertical="center" wrapText="1" shrinkToFit="1"/>
      <protection locked="0"/>
    </xf>
    <xf numFmtId="177" fontId="32" fillId="7" borderId="14" xfId="10" applyNumberFormat="1" applyFont="1" applyFill="1" applyBorder="1" applyAlignment="1" applyProtection="1">
      <alignment horizontal="center" vertical="center" wrapText="1"/>
    </xf>
    <xf numFmtId="49" fontId="32" fillId="7" borderId="14" xfId="19" applyNumberFormat="1" applyFont="1" applyFill="1" applyBorder="1" applyAlignment="1" applyProtection="1">
      <alignment horizontal="center" vertical="center"/>
      <protection locked="0"/>
    </xf>
    <xf numFmtId="0" fontId="56" fillId="7" borderId="15" xfId="19" applyFont="1" applyFill="1" applyBorder="1" applyAlignment="1" applyProtection="1">
      <alignment horizontal="center" vertical="center" wrapText="1"/>
    </xf>
    <xf numFmtId="0" fontId="56" fillId="7" borderId="16" xfId="19" applyFont="1" applyFill="1" applyBorder="1" applyAlignment="1" applyProtection="1">
      <alignment horizontal="center" vertical="center"/>
    </xf>
    <xf numFmtId="0" fontId="56" fillId="7" borderId="17" xfId="19" applyFont="1" applyFill="1" applyBorder="1" applyAlignment="1" applyProtection="1">
      <alignment horizontal="center" vertical="center"/>
    </xf>
    <xf numFmtId="0" fontId="56" fillId="7" borderId="14" xfId="19" applyFont="1" applyFill="1" applyBorder="1" applyAlignment="1" applyProtection="1">
      <alignment horizontal="center" vertical="center"/>
    </xf>
    <xf numFmtId="0" fontId="32" fillId="0" borderId="0" xfId="19" applyFont="1" applyAlignment="1" applyProtection="1">
      <alignment horizontal="left" vertical="center"/>
    </xf>
    <xf numFmtId="0" fontId="56" fillId="7" borderId="14" xfId="19" applyFont="1" applyFill="1" applyBorder="1" applyAlignment="1" applyProtection="1">
      <alignment horizontal="center" vertical="center" wrapText="1"/>
    </xf>
    <xf numFmtId="0" fontId="32" fillId="7" borderId="15" xfId="19" applyFont="1" applyFill="1" applyBorder="1" applyAlignment="1" applyProtection="1">
      <alignment horizontal="center" vertical="center" wrapText="1"/>
    </xf>
    <xf numFmtId="0" fontId="32" fillId="7" borderId="16" xfId="19" applyFont="1" applyFill="1" applyBorder="1" applyAlignment="1" applyProtection="1">
      <alignment horizontal="center" vertical="center"/>
    </xf>
    <xf numFmtId="0" fontId="32" fillId="7" borderId="17" xfId="19" applyFont="1" applyFill="1" applyBorder="1" applyAlignment="1" applyProtection="1">
      <alignment horizontal="center" vertical="center"/>
    </xf>
    <xf numFmtId="0" fontId="56" fillId="7" borderId="15" xfId="19" applyFont="1" applyFill="1" applyBorder="1" applyAlignment="1" applyProtection="1">
      <alignment horizontal="center" vertical="center"/>
    </xf>
    <xf numFmtId="0" fontId="56" fillId="7" borderId="4" xfId="19" applyFont="1" applyFill="1" applyBorder="1" applyAlignment="1" applyProtection="1">
      <alignment horizontal="center" vertical="center" wrapText="1"/>
    </xf>
    <xf numFmtId="0" fontId="56" fillId="7" borderId="5" xfId="19" applyFont="1" applyFill="1" applyBorder="1" applyAlignment="1" applyProtection="1">
      <alignment horizontal="center" vertical="center"/>
    </xf>
    <xf numFmtId="0" fontId="56" fillId="7" borderId="6" xfId="19" applyFont="1" applyFill="1" applyBorder="1" applyAlignment="1" applyProtection="1">
      <alignment horizontal="center" vertical="center"/>
    </xf>
    <xf numFmtId="49" fontId="56" fillId="7" borderId="4" xfId="19" applyNumberFormat="1" applyFont="1" applyFill="1" applyBorder="1" applyAlignment="1" applyProtection="1">
      <alignment horizontal="center" vertical="center" wrapText="1"/>
      <protection locked="0"/>
    </xf>
    <xf numFmtId="49" fontId="56" fillId="7" borderId="6" xfId="19" applyNumberFormat="1" applyFont="1" applyFill="1" applyBorder="1" applyAlignment="1" applyProtection="1">
      <alignment horizontal="center" vertical="center" wrapText="1"/>
      <protection locked="0"/>
    </xf>
    <xf numFmtId="49" fontId="56" fillId="7" borderId="1" xfId="19" applyNumberFormat="1" applyFont="1" applyFill="1" applyBorder="1" applyAlignment="1" applyProtection="1">
      <alignment horizontal="center" vertical="center" wrapText="1"/>
      <protection locked="0"/>
    </xf>
    <xf numFmtId="49" fontId="56" fillId="7" borderId="2" xfId="19" applyNumberFormat="1" applyFont="1" applyFill="1" applyBorder="1" applyAlignment="1" applyProtection="1">
      <alignment horizontal="center" vertical="center" wrapText="1"/>
      <protection locked="0"/>
    </xf>
    <xf numFmtId="49" fontId="56" fillId="7" borderId="7" xfId="19" applyNumberFormat="1" applyFont="1" applyFill="1" applyBorder="1" applyAlignment="1" applyProtection="1">
      <alignment horizontal="center" vertical="center" wrapText="1"/>
      <protection locked="0"/>
    </xf>
    <xf numFmtId="49" fontId="56" fillId="7" borderId="9" xfId="19" applyNumberFormat="1" applyFont="1" applyFill="1" applyBorder="1" applyAlignment="1" applyProtection="1">
      <alignment horizontal="center" vertical="center" wrapText="1"/>
      <protection locked="0"/>
    </xf>
    <xf numFmtId="0" fontId="56" fillId="7" borderId="4" xfId="19" applyFont="1" applyFill="1" applyBorder="1" applyAlignment="1" applyProtection="1">
      <alignment horizontal="center" vertical="center"/>
      <protection locked="0"/>
    </xf>
    <xf numFmtId="0" fontId="56" fillId="7" borderId="5" xfId="19" applyFont="1" applyFill="1" applyBorder="1" applyAlignment="1" applyProtection="1">
      <alignment horizontal="center" vertical="center"/>
      <protection locked="0"/>
    </xf>
    <xf numFmtId="0" fontId="56" fillId="7" borderId="6" xfId="19" applyFont="1" applyFill="1" applyBorder="1" applyAlignment="1" applyProtection="1">
      <alignment horizontal="center" vertical="center"/>
      <protection locked="0"/>
    </xf>
    <xf numFmtId="0" fontId="56" fillId="7" borderId="1" xfId="19" applyFont="1" applyFill="1" applyBorder="1" applyAlignment="1" applyProtection="1">
      <alignment horizontal="center" vertical="center"/>
      <protection locked="0"/>
    </xf>
    <xf numFmtId="0" fontId="56" fillId="7" borderId="0" xfId="19" applyFont="1" applyFill="1" applyBorder="1" applyAlignment="1" applyProtection="1">
      <alignment horizontal="center" vertical="center"/>
      <protection locked="0"/>
    </xf>
    <xf numFmtId="0" fontId="56" fillId="7" borderId="2" xfId="19" applyFont="1" applyFill="1" applyBorder="1" applyAlignment="1" applyProtection="1">
      <alignment horizontal="center" vertical="center"/>
      <protection locked="0"/>
    </xf>
    <xf numFmtId="0" fontId="56" fillId="7" borderId="7" xfId="19" applyFont="1" applyFill="1" applyBorder="1" applyAlignment="1" applyProtection="1">
      <alignment horizontal="center" vertical="center"/>
      <protection locked="0"/>
    </xf>
    <xf numFmtId="0" fontId="56" fillId="7" borderId="8" xfId="19" applyFont="1" applyFill="1" applyBorder="1" applyAlignment="1" applyProtection="1">
      <alignment horizontal="center" vertical="center"/>
      <protection locked="0"/>
    </xf>
    <xf numFmtId="0" fontId="56" fillId="7" borderId="9" xfId="19" applyFont="1" applyFill="1" applyBorder="1" applyAlignment="1" applyProtection="1">
      <alignment horizontal="center" vertical="center"/>
      <protection locked="0"/>
    </xf>
    <xf numFmtId="0" fontId="56" fillId="7" borderId="16" xfId="19" applyFont="1" applyFill="1" applyBorder="1" applyAlignment="1" applyProtection="1">
      <alignment horizontal="center" vertical="center" wrapText="1"/>
    </xf>
    <xf numFmtId="0" fontId="56" fillId="7" borderId="17" xfId="19" applyFont="1" applyFill="1" applyBorder="1" applyAlignment="1" applyProtection="1">
      <alignment horizontal="center" vertical="center" wrapText="1"/>
    </xf>
    <xf numFmtId="0" fontId="56" fillId="7" borderId="1" xfId="19" applyFont="1" applyFill="1" applyBorder="1" applyAlignment="1" applyProtection="1">
      <alignment horizontal="center" vertical="center"/>
    </xf>
    <xf numFmtId="0" fontId="56" fillId="7" borderId="2" xfId="19" applyFont="1" applyFill="1" applyBorder="1" applyAlignment="1" applyProtection="1">
      <alignment horizontal="center" vertical="center"/>
    </xf>
    <xf numFmtId="0" fontId="56" fillId="7" borderId="7" xfId="19" applyFont="1" applyFill="1" applyBorder="1" applyAlignment="1" applyProtection="1">
      <alignment horizontal="center" vertical="center"/>
    </xf>
    <xf numFmtId="0" fontId="56" fillId="7" borderId="9" xfId="19" applyFont="1" applyFill="1" applyBorder="1" applyAlignment="1" applyProtection="1">
      <alignment horizontal="center" vertical="center"/>
    </xf>
    <xf numFmtId="0" fontId="32" fillId="7" borderId="16" xfId="19" applyFont="1" applyFill="1" applyBorder="1" applyAlignment="1" applyProtection="1">
      <alignment horizontal="center" vertical="center" wrapText="1"/>
    </xf>
    <xf numFmtId="0" fontId="32" fillId="7" borderId="17" xfId="19" applyFont="1" applyFill="1" applyBorder="1" applyAlignment="1" applyProtection="1">
      <alignment horizontal="center" vertical="center" wrapText="1"/>
    </xf>
    <xf numFmtId="0" fontId="32" fillId="7" borderId="5" xfId="19" applyFont="1" applyFill="1" applyBorder="1" applyAlignment="1" applyProtection="1">
      <alignment horizontal="center" vertical="center" wrapText="1"/>
    </xf>
    <xf numFmtId="0" fontId="32" fillId="7" borderId="6" xfId="19" applyFont="1" applyFill="1" applyBorder="1" applyAlignment="1" applyProtection="1">
      <alignment horizontal="center" vertical="center" wrapText="1"/>
    </xf>
    <xf numFmtId="49" fontId="32" fillId="7" borderId="4" xfId="19" applyNumberFormat="1" applyFont="1" applyFill="1" applyBorder="1" applyAlignment="1" applyProtection="1">
      <alignment horizontal="center" vertical="center" wrapText="1"/>
      <protection locked="0"/>
    </xf>
    <xf numFmtId="0" fontId="69" fillId="2" borderId="55" xfId="17" applyFill="1" applyBorder="1" applyAlignment="1" applyProtection="1">
      <alignment horizontal="center"/>
      <protection locked="0"/>
    </xf>
    <xf numFmtId="0" fontId="69" fillId="2" borderId="25" xfId="17" applyFill="1" applyBorder="1" applyAlignment="1" applyProtection="1">
      <alignment horizontal="center"/>
      <protection locked="0"/>
    </xf>
    <xf numFmtId="0" fontId="69" fillId="2" borderId="56" xfId="17" applyFill="1" applyBorder="1" applyAlignment="1" applyProtection="1">
      <alignment horizontal="center"/>
      <protection locked="0"/>
    </xf>
    <xf numFmtId="0" fontId="69" fillId="2" borderId="57" xfId="17" applyFill="1" applyBorder="1" applyAlignment="1" applyProtection="1">
      <alignment horizontal="center"/>
      <protection locked="0"/>
    </xf>
    <xf numFmtId="0" fontId="69" fillId="2" borderId="0" xfId="17" applyFill="1" applyBorder="1" applyAlignment="1" applyProtection="1">
      <alignment horizontal="center"/>
      <protection locked="0"/>
    </xf>
    <xf numFmtId="0" fontId="69" fillId="2" borderId="58" xfId="17" applyFill="1" applyBorder="1" applyAlignment="1" applyProtection="1">
      <alignment horizontal="center"/>
      <protection locked="0"/>
    </xf>
    <xf numFmtId="0" fontId="86" fillId="2" borderId="57" xfId="17" applyFont="1" applyFill="1" applyBorder="1" applyAlignment="1" applyProtection="1">
      <alignment horizontal="left" vertical="center" wrapText="1"/>
      <protection locked="0"/>
    </xf>
    <xf numFmtId="0" fontId="87" fillId="2" borderId="59" xfId="17" applyFont="1" applyFill="1" applyBorder="1" applyAlignment="1" applyProtection="1">
      <alignment horizontal="left" vertical="center" wrapText="1"/>
      <protection locked="0"/>
    </xf>
    <xf numFmtId="0" fontId="87" fillId="2" borderId="40" xfId="17" applyFont="1" applyFill="1" applyBorder="1" applyAlignment="1" applyProtection="1">
      <alignment horizontal="left" vertical="center" wrapText="1"/>
      <protection locked="0"/>
    </xf>
    <xf numFmtId="0" fontId="87" fillId="2" borderId="60" xfId="17" applyFont="1" applyFill="1" applyBorder="1" applyAlignment="1" applyProtection="1">
      <alignment horizontal="left" vertical="center" wrapText="1"/>
      <protection locked="0"/>
    </xf>
    <xf numFmtId="49" fontId="34" fillId="2" borderId="23" xfId="0" applyNumberFormat="1" applyFont="1" applyFill="1" applyBorder="1" applyAlignment="1" applyProtection="1">
      <alignment horizontal="center" vertical="center"/>
      <protection locked="0"/>
    </xf>
    <xf numFmtId="49" fontId="34" fillId="2" borderId="29" xfId="0" applyNumberFormat="1" applyFont="1" applyFill="1" applyBorder="1" applyAlignment="1" applyProtection="1">
      <alignment horizontal="center" vertical="center"/>
      <protection locked="0"/>
    </xf>
    <xf numFmtId="0" fontId="26" fillId="5" borderId="22" xfId="0" applyFont="1" applyFill="1" applyBorder="1" applyAlignment="1" applyProtection="1">
      <alignment horizontal="left" vertical="center"/>
    </xf>
    <xf numFmtId="0" fontId="26" fillId="2" borderId="23" xfId="0" applyFont="1" applyFill="1" applyBorder="1" applyAlignment="1" applyProtection="1">
      <alignment horizontal="center" vertical="center"/>
      <protection locked="0"/>
    </xf>
    <xf numFmtId="0" fontId="26" fillId="0" borderId="29" xfId="0" applyFont="1" applyFill="1" applyBorder="1" applyAlignment="1" applyProtection="1">
      <alignment horizontal="center" vertical="center"/>
      <protection locked="0"/>
    </xf>
    <xf numFmtId="0" fontId="26" fillId="0" borderId="28" xfId="0" applyFont="1" applyFill="1" applyBorder="1" applyAlignment="1" applyProtection="1">
      <alignment horizontal="center" vertical="center"/>
      <protection locked="0"/>
    </xf>
    <xf numFmtId="0" fontId="69" fillId="2" borderId="23" xfId="17" applyFill="1" applyBorder="1" applyAlignment="1" applyProtection="1">
      <alignment horizontal="center" vertical="center"/>
      <protection locked="0"/>
    </xf>
    <xf numFmtId="0" fontId="69" fillId="0" borderId="29" xfId="17" applyFill="1" applyBorder="1" applyAlignment="1" applyProtection="1">
      <alignment horizontal="center" vertical="center"/>
      <protection locked="0"/>
    </xf>
    <xf numFmtId="0" fontId="69" fillId="0" borderId="28" xfId="17" applyFill="1" applyBorder="1" applyAlignment="1" applyProtection="1">
      <alignment horizontal="center" vertical="center"/>
      <protection locked="0"/>
    </xf>
    <xf numFmtId="0" fontId="26" fillId="2" borderId="0" xfId="0" applyFont="1" applyFill="1" applyBorder="1" applyAlignment="1" applyProtection="1">
      <alignment horizontal="left"/>
    </xf>
    <xf numFmtId="49" fontId="34" fillId="2" borderId="22" xfId="0" applyNumberFormat="1" applyFont="1" applyFill="1" applyBorder="1" applyAlignment="1" applyProtection="1">
      <alignment horizontal="center" vertical="center"/>
      <protection locked="0"/>
    </xf>
    <xf numFmtId="49" fontId="29" fillId="2" borderId="23" xfId="0" applyNumberFormat="1" applyFont="1" applyFill="1" applyBorder="1" applyAlignment="1" applyProtection="1">
      <alignment horizontal="left" vertical="center"/>
    </xf>
    <xf numFmtId="49" fontId="29" fillId="0" borderId="29" xfId="0" applyNumberFormat="1" applyFont="1" applyFill="1" applyBorder="1" applyAlignment="1" applyProtection="1">
      <alignment horizontal="left" vertical="center"/>
    </xf>
    <xf numFmtId="49" fontId="34" fillId="0" borderId="29" xfId="0" applyNumberFormat="1" applyFont="1" applyFill="1" applyBorder="1" applyAlignment="1" applyProtection="1">
      <alignment horizontal="center" vertical="center"/>
      <protection locked="0"/>
    </xf>
    <xf numFmtId="49" fontId="34" fillId="0" borderId="28" xfId="0" applyNumberFormat="1" applyFont="1" applyFill="1" applyBorder="1" applyAlignment="1" applyProtection="1">
      <alignment horizontal="center" vertical="center"/>
      <protection locked="0"/>
    </xf>
    <xf numFmtId="0" fontId="26" fillId="2" borderId="29" xfId="0" applyFont="1" applyFill="1" applyBorder="1" applyAlignment="1" applyProtection="1">
      <alignment horizontal="center" vertical="center"/>
      <protection locked="0"/>
    </xf>
    <xf numFmtId="0" fontId="26" fillId="2" borderId="28" xfId="0" applyFont="1" applyFill="1" applyBorder="1" applyAlignment="1" applyProtection="1">
      <alignment horizontal="center" vertical="center"/>
      <protection locked="0"/>
    </xf>
    <xf numFmtId="0" fontId="69" fillId="2" borderId="29" xfId="17" applyFill="1" applyBorder="1" applyAlignment="1" applyProtection="1">
      <alignment horizontal="center" vertical="center"/>
      <protection locked="0"/>
    </xf>
    <xf numFmtId="0" fontId="69" fillId="2" borderId="28" xfId="17" applyFill="1" applyBorder="1" applyAlignment="1" applyProtection="1">
      <alignment horizontal="center" vertical="center"/>
      <protection locked="0"/>
    </xf>
    <xf numFmtId="0" fontId="26" fillId="7" borderId="22" xfId="0" applyFont="1" applyFill="1" applyBorder="1" applyAlignment="1" applyProtection="1">
      <alignment horizontal="left" vertical="center"/>
    </xf>
    <xf numFmtId="0" fontId="26" fillId="2" borderId="22" xfId="0" applyFont="1" applyFill="1" applyBorder="1" applyAlignment="1" applyProtection="1">
      <alignment horizontal="center" vertical="center"/>
      <protection locked="0"/>
    </xf>
    <xf numFmtId="0" fontId="26" fillId="0" borderId="22" xfId="0" applyFont="1" applyFill="1" applyBorder="1" applyAlignment="1" applyProtection="1">
      <alignment horizontal="center" vertical="center"/>
      <protection locked="0"/>
    </xf>
    <xf numFmtId="0" fontId="26" fillId="0" borderId="0" xfId="0" applyFont="1" applyBorder="1" applyAlignment="1" applyProtection="1">
      <alignment horizontal="left"/>
    </xf>
    <xf numFmtId="49" fontId="34" fillId="2" borderId="16" xfId="8" applyNumberFormat="1" applyFont="1" applyFill="1" applyBorder="1" applyAlignment="1" applyProtection="1">
      <alignment horizontal="left" vertical="center"/>
    </xf>
    <xf numFmtId="49" fontId="34" fillId="2" borderId="17" xfId="8" applyNumberFormat="1" applyFont="1" applyFill="1" applyBorder="1" applyAlignment="1" applyProtection="1">
      <alignment horizontal="left" vertical="center"/>
    </xf>
    <xf numFmtId="0" fontId="26" fillId="2" borderId="87" xfId="0" applyFont="1" applyFill="1" applyBorder="1" applyAlignment="1" applyProtection="1">
      <alignment horizontal="center" vertical="center"/>
      <protection locked="0"/>
    </xf>
    <xf numFmtId="49" fontId="34" fillId="2" borderId="28" xfId="0" applyNumberFormat="1" applyFont="1" applyFill="1" applyBorder="1" applyAlignment="1" applyProtection="1">
      <alignment horizontal="center" vertical="center"/>
      <protection locked="0"/>
    </xf>
    <xf numFmtId="49" fontId="29" fillId="0" borderId="28" xfId="0" applyNumberFormat="1" applyFont="1" applyFill="1" applyBorder="1" applyAlignment="1" applyProtection="1">
      <alignment horizontal="left" vertical="center"/>
    </xf>
    <xf numFmtId="49" fontId="34" fillId="2" borderId="23" xfId="24" applyNumberFormat="1" applyFont="1" applyFill="1" applyBorder="1" applyAlignment="1" applyProtection="1">
      <alignment horizontal="right" vertical="center"/>
      <protection locked="0"/>
    </xf>
    <xf numFmtId="49" fontId="34" fillId="0" borderId="29" xfId="24" applyNumberFormat="1" applyFont="1" applyBorder="1" applyAlignment="1" applyProtection="1">
      <alignment horizontal="right" vertical="center"/>
      <protection locked="0"/>
    </xf>
    <xf numFmtId="0" fontId="26" fillId="2" borderId="26" xfId="8" applyFont="1" applyFill="1" applyBorder="1" applyAlignment="1" applyProtection="1">
      <alignment horizontal="left"/>
    </xf>
    <xf numFmtId="0" fontId="35" fillId="5" borderId="23" xfId="24" applyFont="1" applyFill="1" applyBorder="1" applyAlignment="1" applyProtection="1">
      <alignment horizontal="left" vertical="center"/>
    </xf>
    <xf numFmtId="0" fontId="35" fillId="5" borderId="29" xfId="24" applyFont="1" applyFill="1" applyBorder="1" applyAlignment="1" applyProtection="1">
      <alignment horizontal="left" vertical="center"/>
    </xf>
    <xf numFmtId="0" fontId="26" fillId="2" borderId="29" xfId="24" applyFont="1" applyFill="1" applyBorder="1" applyAlignment="1" applyProtection="1">
      <alignment horizontal="left" vertical="center"/>
    </xf>
    <xf numFmtId="0" fontId="26" fillId="0" borderId="29" xfId="24" applyFont="1" applyBorder="1" applyAlignment="1" applyProtection="1">
      <alignment horizontal="left" vertical="center"/>
    </xf>
    <xf numFmtId="0" fontId="26" fillId="0" borderId="28" xfId="24" applyFont="1" applyBorder="1" applyAlignment="1" applyProtection="1">
      <alignment horizontal="left" vertical="center"/>
    </xf>
    <xf numFmtId="0" fontId="26" fillId="7" borderId="29" xfId="24" applyFont="1" applyFill="1" applyBorder="1" applyAlignment="1" applyProtection="1">
      <alignment horizontal="left" vertical="center" wrapText="1"/>
    </xf>
    <xf numFmtId="0" fontId="26" fillId="7" borderId="29" xfId="24" applyFont="1" applyFill="1" applyBorder="1" applyAlignment="1" applyProtection="1">
      <alignment horizontal="left" vertical="center"/>
    </xf>
    <xf numFmtId="0" fontId="26" fillId="7" borderId="28" xfId="24" applyFont="1" applyFill="1" applyBorder="1" applyAlignment="1" applyProtection="1">
      <alignment horizontal="left" vertical="center"/>
    </xf>
    <xf numFmtId="0" fontId="26" fillId="5" borderId="23" xfId="24" applyFont="1" applyFill="1" applyBorder="1" applyAlignment="1" applyProtection="1">
      <alignment horizontal="left" vertical="center"/>
    </xf>
    <xf numFmtId="0" fontId="26" fillId="5" borderId="29" xfId="24" applyFont="1" applyFill="1" applyBorder="1" applyAlignment="1" applyProtection="1">
      <alignment horizontal="left" vertical="center"/>
    </xf>
    <xf numFmtId="0" fontId="26" fillId="5" borderId="28" xfId="24" applyFont="1" applyFill="1" applyBorder="1" applyAlignment="1" applyProtection="1">
      <alignment horizontal="left" vertical="center"/>
    </xf>
    <xf numFmtId="0" fontId="26" fillId="2" borderId="23" xfId="24" applyFont="1" applyFill="1" applyBorder="1" applyAlignment="1" applyProtection="1">
      <alignment horizontal="left" vertical="center"/>
      <protection locked="0"/>
    </xf>
    <xf numFmtId="0" fontId="26" fillId="2" borderId="29" xfId="24" applyFont="1" applyFill="1" applyBorder="1" applyAlignment="1" applyProtection="1">
      <alignment horizontal="left" vertical="center"/>
      <protection locked="0"/>
    </xf>
    <xf numFmtId="0" fontId="26" fillId="2" borderId="28" xfId="24" applyFont="1" applyFill="1" applyBorder="1" applyAlignment="1" applyProtection="1">
      <alignment horizontal="left" vertical="center"/>
      <protection locked="0"/>
    </xf>
    <xf numFmtId="0" fontId="26" fillId="2" borderId="30" xfId="0" applyFont="1" applyFill="1" applyBorder="1" applyAlignment="1" applyProtection="1">
      <alignment horizontal="center" vertical="center"/>
      <protection locked="0"/>
    </xf>
    <xf numFmtId="0" fontId="26" fillId="0" borderId="29" xfId="24" applyFont="1" applyFill="1" applyBorder="1" applyAlignment="1" applyProtection="1">
      <alignment horizontal="left" vertical="center"/>
    </xf>
    <xf numFmtId="0" fontId="26" fillId="0" borderId="28" xfId="24" applyFont="1" applyFill="1" applyBorder="1" applyAlignment="1" applyProtection="1">
      <alignment horizontal="left" vertical="center"/>
    </xf>
    <xf numFmtId="49" fontId="29" fillId="5" borderId="35" xfId="24" applyNumberFormat="1" applyFont="1" applyFill="1" applyBorder="1" applyAlignment="1" applyProtection="1">
      <alignment horizontal="center" vertical="center"/>
    </xf>
    <xf numFmtId="49" fontId="29" fillId="5" borderId="36" xfId="24" applyNumberFormat="1" applyFont="1" applyFill="1" applyBorder="1" applyAlignment="1" applyProtection="1">
      <alignment horizontal="center" vertical="center"/>
    </xf>
    <xf numFmtId="49" fontId="29" fillId="5" borderId="32" xfId="24" applyNumberFormat="1" applyFont="1" applyFill="1" applyBorder="1" applyAlignment="1" applyProtection="1">
      <alignment horizontal="center" vertical="center"/>
    </xf>
    <xf numFmtId="49" fontId="29" fillId="5" borderId="34" xfId="24" applyNumberFormat="1" applyFont="1" applyFill="1" applyBorder="1" applyAlignment="1" applyProtection="1">
      <alignment horizontal="center" vertical="center"/>
    </xf>
    <xf numFmtId="49" fontId="29" fillId="5" borderId="0" xfId="24" applyNumberFormat="1" applyFont="1" applyFill="1" applyBorder="1" applyAlignment="1" applyProtection="1">
      <alignment horizontal="center" vertical="center"/>
    </xf>
    <xf numFmtId="49" fontId="29" fillId="5" borderId="27" xfId="24" applyNumberFormat="1" applyFont="1" applyFill="1" applyBorder="1" applyAlignment="1" applyProtection="1">
      <alignment horizontal="center" vertical="center"/>
    </xf>
    <xf numFmtId="49" fontId="29" fillId="5" borderId="31" xfId="24" applyNumberFormat="1" applyFont="1" applyFill="1" applyBorder="1" applyAlignment="1" applyProtection="1">
      <alignment horizontal="center" vertical="center"/>
    </xf>
    <xf numFmtId="49" fontId="29" fillId="5" borderId="26" xfId="24" applyNumberFormat="1" applyFont="1" applyFill="1" applyBorder="1" applyAlignment="1" applyProtection="1">
      <alignment horizontal="center" vertical="center"/>
    </xf>
    <xf numFmtId="49" fontId="29" fillId="5" borderId="37" xfId="24" applyNumberFormat="1" applyFont="1" applyFill="1" applyBorder="1" applyAlignment="1" applyProtection="1">
      <alignment horizontal="center" vertical="center"/>
    </xf>
    <xf numFmtId="49" fontId="34" fillId="5" borderId="23" xfId="24" applyNumberFormat="1" applyFont="1" applyFill="1" applyBorder="1" applyAlignment="1" applyProtection="1">
      <alignment horizontal="left" vertical="center"/>
    </xf>
    <xf numFmtId="49" fontId="34" fillId="5" borderId="29" xfId="24" applyNumberFormat="1" applyFont="1" applyFill="1" applyBorder="1" applyAlignment="1" applyProtection="1">
      <alignment horizontal="left" vertical="center"/>
    </xf>
    <xf numFmtId="49" fontId="34" fillId="7" borderId="23" xfId="24" applyNumberFormat="1" applyFont="1" applyFill="1" applyBorder="1" applyAlignment="1" applyProtection="1">
      <alignment horizontal="left" vertical="center"/>
      <protection locked="0"/>
    </xf>
    <xf numFmtId="49" fontId="34" fillId="7" borderId="29" xfId="24" applyNumberFormat="1" applyFont="1" applyFill="1" applyBorder="1" applyAlignment="1" applyProtection="1">
      <alignment horizontal="left" vertical="center"/>
      <protection locked="0"/>
    </xf>
    <xf numFmtId="49" fontId="34" fillId="7" borderId="28" xfId="24" applyNumberFormat="1" applyFont="1" applyFill="1" applyBorder="1" applyAlignment="1" applyProtection="1">
      <alignment horizontal="left" vertical="center"/>
      <protection locked="0"/>
    </xf>
    <xf numFmtId="0" fontId="70" fillId="5" borderId="29" xfId="24" applyFont="1" applyFill="1" applyBorder="1" applyAlignment="1" applyProtection="1">
      <alignment horizontal="left" vertical="center"/>
    </xf>
    <xf numFmtId="0" fontId="70" fillId="5" borderId="28" xfId="24" applyFont="1" applyFill="1" applyBorder="1" applyAlignment="1" applyProtection="1">
      <alignment horizontal="left" vertical="center"/>
    </xf>
    <xf numFmtId="49" fontId="29" fillId="5" borderId="23" xfId="24" applyNumberFormat="1" applyFont="1" applyFill="1" applyBorder="1" applyAlignment="1" applyProtection="1">
      <alignment horizontal="center" vertical="center"/>
    </xf>
    <xf numFmtId="49" fontId="29" fillId="5" borderId="29" xfId="24" applyNumberFormat="1" applyFont="1" applyFill="1" applyBorder="1" applyAlignment="1" applyProtection="1">
      <alignment horizontal="center" vertical="center"/>
    </xf>
    <xf numFmtId="49" fontId="29" fillId="5" borderId="28" xfId="24" applyNumberFormat="1" applyFont="1" applyFill="1" applyBorder="1" applyAlignment="1" applyProtection="1">
      <alignment horizontal="center" vertical="center"/>
    </xf>
    <xf numFmtId="49" fontId="29" fillId="7" borderId="35" xfId="24" applyNumberFormat="1" applyFont="1" applyFill="1" applyBorder="1" applyAlignment="1" applyProtection="1">
      <alignment horizontal="center" vertical="center" wrapText="1"/>
    </xf>
    <xf numFmtId="49" fontId="29" fillId="7" borderId="36" xfId="24" applyNumberFormat="1" applyFont="1" applyFill="1" applyBorder="1" applyAlignment="1" applyProtection="1">
      <alignment horizontal="center" vertical="center" wrapText="1"/>
    </xf>
    <xf numFmtId="49" fontId="29" fillId="7" borderId="32" xfId="24" applyNumberFormat="1" applyFont="1" applyFill="1" applyBorder="1" applyAlignment="1" applyProtection="1">
      <alignment horizontal="center" vertical="center" wrapText="1"/>
    </xf>
    <xf numFmtId="49" fontId="29" fillId="7" borderId="31" xfId="24" applyNumberFormat="1" applyFont="1" applyFill="1" applyBorder="1" applyAlignment="1" applyProtection="1">
      <alignment horizontal="center" vertical="center" wrapText="1"/>
    </xf>
    <xf numFmtId="49" fontId="29" fillId="7" borderId="26" xfId="24" applyNumberFormat="1" applyFont="1" applyFill="1" applyBorder="1" applyAlignment="1" applyProtection="1">
      <alignment horizontal="center" vertical="center" wrapText="1"/>
    </xf>
    <xf numFmtId="49" fontId="29" fillId="7" borderId="37" xfId="24" applyNumberFormat="1" applyFont="1" applyFill="1" applyBorder="1" applyAlignment="1" applyProtection="1">
      <alignment horizontal="center" vertical="center" wrapText="1"/>
    </xf>
    <xf numFmtId="49" fontId="29" fillId="7" borderId="85" xfId="24" applyNumberFormat="1" applyFont="1" applyFill="1" applyBorder="1" applyAlignment="1" applyProtection="1">
      <alignment horizontal="center" vertical="center" wrapText="1"/>
    </xf>
    <xf numFmtId="49" fontId="29" fillId="7" borderId="86" xfId="24" applyNumberFormat="1" applyFont="1" applyFill="1" applyBorder="1" applyAlignment="1" applyProtection="1">
      <alignment horizontal="center" vertical="center" wrapText="1"/>
    </xf>
    <xf numFmtId="49" fontId="29" fillId="7" borderId="34" xfId="24" applyNumberFormat="1" applyFont="1" applyFill="1" applyBorder="1" applyAlignment="1" applyProtection="1">
      <alignment horizontal="center" vertical="center" wrapText="1"/>
    </xf>
    <xf numFmtId="49" fontId="29" fillId="7" borderId="0" xfId="24" applyNumberFormat="1" applyFont="1" applyFill="1" applyBorder="1" applyAlignment="1" applyProtection="1">
      <alignment horizontal="center" vertical="center" wrapText="1"/>
    </xf>
    <xf numFmtId="49" fontId="29" fillId="7" borderId="27" xfId="24" applyNumberFormat="1" applyFont="1" applyFill="1" applyBorder="1" applyAlignment="1" applyProtection="1">
      <alignment horizontal="center" vertical="center" wrapText="1"/>
    </xf>
    <xf numFmtId="49" fontId="34" fillId="25" borderId="76" xfId="8" applyNumberFormat="1" applyFont="1" applyFill="1" applyBorder="1" applyAlignment="1" applyProtection="1">
      <alignment horizontal="left" vertical="center"/>
    </xf>
    <xf numFmtId="49" fontId="34" fillId="28" borderId="78" xfId="8" applyNumberFormat="1" applyFont="1" applyFill="1" applyBorder="1" applyAlignment="1" applyProtection="1">
      <alignment horizontal="center" vertical="center"/>
      <protection locked="0"/>
    </xf>
    <xf numFmtId="49" fontId="34" fillId="25" borderId="79" xfId="8" applyNumberFormat="1" applyFont="1" applyFill="1" applyBorder="1" applyAlignment="1" applyProtection="1">
      <alignment horizontal="center" vertical="center"/>
      <protection locked="0"/>
    </xf>
    <xf numFmtId="49" fontId="34" fillId="25" borderId="80" xfId="8" applyNumberFormat="1" applyFont="1" applyFill="1" applyBorder="1" applyAlignment="1" applyProtection="1">
      <alignment horizontal="left" vertical="center"/>
    </xf>
    <xf numFmtId="49" fontId="29" fillId="5" borderId="23" xfId="0" applyNumberFormat="1" applyFont="1" applyFill="1" applyBorder="1" applyAlignment="1" applyProtection="1">
      <alignment horizontal="center" vertical="center"/>
    </xf>
    <xf numFmtId="49" fontId="29" fillId="5" borderId="29" xfId="0" applyNumberFormat="1" applyFont="1" applyFill="1" applyBorder="1" applyAlignment="1" applyProtection="1">
      <alignment horizontal="center" vertical="center"/>
    </xf>
    <xf numFmtId="49" fontId="29" fillId="5" borderId="28" xfId="0" applyNumberFormat="1" applyFont="1" applyFill="1" applyBorder="1" applyAlignment="1" applyProtection="1">
      <alignment horizontal="center" vertical="center"/>
    </xf>
    <xf numFmtId="49" fontId="29" fillId="5" borderId="24" xfId="24" applyNumberFormat="1" applyFont="1" applyFill="1" applyBorder="1" applyAlignment="1" applyProtection="1">
      <alignment horizontal="center" vertical="center" textRotation="255" wrapText="1"/>
    </xf>
    <xf numFmtId="49" fontId="29" fillId="5" borderId="33" xfId="24" applyNumberFormat="1" applyFont="1" applyFill="1" applyBorder="1" applyAlignment="1" applyProtection="1">
      <alignment horizontal="center" vertical="center" textRotation="255" wrapText="1"/>
    </xf>
    <xf numFmtId="49" fontId="29" fillId="5" borderId="30" xfId="24" applyNumberFormat="1" applyFont="1" applyFill="1" applyBorder="1" applyAlignment="1" applyProtection="1">
      <alignment horizontal="center" vertical="center" textRotation="255" wrapText="1"/>
    </xf>
    <xf numFmtId="49" fontId="29" fillId="5" borderId="36" xfId="24" applyNumberFormat="1" applyFont="1" applyFill="1" applyBorder="1" applyAlignment="1" applyProtection="1">
      <alignment horizontal="center" vertical="center" wrapText="1"/>
    </xf>
    <xf numFmtId="49" fontId="29" fillId="5" borderId="32" xfId="24" applyNumberFormat="1" applyFont="1" applyFill="1" applyBorder="1" applyAlignment="1" applyProtection="1">
      <alignment horizontal="center" vertical="center" wrapText="1"/>
    </xf>
    <xf numFmtId="49" fontId="29" fillId="5" borderId="0" xfId="24" applyNumberFormat="1" applyFont="1" applyFill="1" applyBorder="1" applyAlignment="1" applyProtection="1">
      <alignment horizontal="center" vertical="center" wrapText="1"/>
    </xf>
    <xf numFmtId="49" fontId="29" fillId="5" borderId="27" xfId="24" applyNumberFormat="1" applyFont="1" applyFill="1" applyBorder="1" applyAlignment="1" applyProtection="1">
      <alignment horizontal="center" vertical="center" wrapText="1"/>
    </xf>
    <xf numFmtId="49" fontId="29" fillId="5" borderId="26" xfId="24" applyNumberFormat="1" applyFont="1" applyFill="1" applyBorder="1" applyAlignment="1" applyProtection="1">
      <alignment horizontal="center" vertical="center" wrapText="1"/>
    </xf>
    <xf numFmtId="49" fontId="29" fillId="5" borderId="37" xfId="24" applyNumberFormat="1" applyFont="1" applyFill="1" applyBorder="1" applyAlignment="1" applyProtection="1">
      <alignment horizontal="center" vertical="center" wrapText="1"/>
    </xf>
    <xf numFmtId="49" fontId="34" fillId="5" borderId="36" xfId="24" applyNumberFormat="1" applyFont="1" applyFill="1" applyBorder="1" applyAlignment="1" applyProtection="1">
      <alignment horizontal="center" vertical="center" wrapText="1"/>
    </xf>
    <xf numFmtId="49" fontId="34" fillId="5" borderId="32" xfId="24" applyNumberFormat="1" applyFont="1" applyFill="1" applyBorder="1" applyAlignment="1" applyProtection="1">
      <alignment horizontal="center" vertical="center" wrapText="1"/>
    </xf>
    <xf numFmtId="49" fontId="34" fillId="5" borderId="0" xfId="24" applyNumberFormat="1" applyFont="1" applyFill="1" applyBorder="1" applyAlignment="1" applyProtection="1">
      <alignment horizontal="center" vertical="center" wrapText="1"/>
    </xf>
    <xf numFmtId="49" fontId="34" fillId="5" borderId="27" xfId="24" applyNumberFormat="1" applyFont="1" applyFill="1" applyBorder="1" applyAlignment="1" applyProtection="1">
      <alignment horizontal="center" vertical="center" wrapText="1"/>
    </xf>
    <xf numFmtId="49" fontId="34" fillId="5" borderId="26" xfId="24" applyNumberFormat="1" applyFont="1" applyFill="1" applyBorder="1" applyAlignment="1" applyProtection="1">
      <alignment horizontal="center" vertical="center" wrapText="1"/>
    </xf>
    <xf numFmtId="49" fontId="34" fillId="5" borderId="37" xfId="24" applyNumberFormat="1" applyFont="1" applyFill="1" applyBorder="1" applyAlignment="1" applyProtection="1">
      <alignment horizontal="center" vertical="center" wrapText="1"/>
    </xf>
    <xf numFmtId="49" fontId="34" fillId="5" borderId="28" xfId="24" applyNumberFormat="1" applyFont="1" applyFill="1" applyBorder="1" applyAlignment="1" applyProtection="1">
      <alignment horizontal="center" vertical="center" wrapText="1"/>
    </xf>
    <xf numFmtId="49" fontId="34" fillId="5" borderId="22" xfId="24" applyNumberFormat="1" applyFont="1" applyFill="1" applyBorder="1" applyAlignment="1" applyProtection="1">
      <alignment horizontal="center" vertical="center" wrapText="1"/>
    </xf>
    <xf numFmtId="49" fontId="29" fillId="5" borderId="35" xfId="0" applyNumberFormat="1" applyFont="1" applyFill="1" applyBorder="1" applyAlignment="1" applyProtection="1">
      <alignment horizontal="center" vertical="center"/>
    </xf>
    <xf numFmtId="49" fontId="29" fillId="5" borderId="36" xfId="0" applyNumberFormat="1" applyFont="1" applyFill="1" applyBorder="1" applyAlignment="1" applyProtection="1">
      <alignment horizontal="center" vertical="center"/>
    </xf>
    <xf numFmtId="49" fontId="29" fillId="5" borderId="32" xfId="0" applyNumberFormat="1" applyFont="1" applyFill="1" applyBorder="1" applyAlignment="1" applyProtection="1">
      <alignment horizontal="center" vertical="center"/>
    </xf>
    <xf numFmtId="49" fontId="29" fillId="5" borderId="34" xfId="0" applyNumberFormat="1" applyFont="1" applyFill="1" applyBorder="1" applyAlignment="1" applyProtection="1">
      <alignment horizontal="center" vertical="center"/>
    </xf>
    <xf numFmtId="49" fontId="29" fillId="5" borderId="0" xfId="0" applyNumberFormat="1" applyFont="1" applyFill="1" applyBorder="1" applyAlignment="1" applyProtection="1">
      <alignment horizontal="center" vertical="center"/>
    </xf>
    <xf numFmtId="49" fontId="29" fillId="5" borderId="27" xfId="0" applyNumberFormat="1" applyFont="1" applyFill="1" applyBorder="1" applyAlignment="1" applyProtection="1">
      <alignment horizontal="center" vertical="center"/>
    </xf>
    <xf numFmtId="49" fontId="29" fillId="5" borderId="31" xfId="0" applyNumberFormat="1" applyFont="1" applyFill="1" applyBorder="1" applyAlignment="1" applyProtection="1">
      <alignment horizontal="center" vertical="center"/>
    </xf>
    <xf numFmtId="49" fontId="29" fillId="5" borderId="26" xfId="0" applyNumberFormat="1" applyFont="1" applyFill="1" applyBorder="1" applyAlignment="1" applyProtection="1">
      <alignment horizontal="center" vertical="center"/>
    </xf>
    <xf numFmtId="49" fontId="29" fillId="5" borderId="37" xfId="0" applyNumberFormat="1" applyFont="1" applyFill="1" applyBorder="1" applyAlignment="1" applyProtection="1">
      <alignment horizontal="center" vertical="center"/>
    </xf>
    <xf numFmtId="49" fontId="29" fillId="5" borderId="22" xfId="24" applyNumberFormat="1" applyFont="1" applyFill="1" applyBorder="1" applyAlignment="1" applyProtection="1">
      <alignment horizontal="center" vertical="center" wrapText="1"/>
    </xf>
    <xf numFmtId="0" fontId="88" fillId="0" borderId="0" xfId="17" applyFont="1" applyAlignment="1" applyProtection="1">
      <alignment horizontal="center" vertical="center" wrapText="1"/>
      <protection locked="0"/>
    </xf>
    <xf numFmtId="0" fontId="88" fillId="0" borderId="0" xfId="17" applyFont="1" applyAlignment="1" applyProtection="1">
      <alignment horizontal="center" vertical="center"/>
      <protection locked="0"/>
    </xf>
    <xf numFmtId="49" fontId="29" fillId="5" borderId="22" xfId="24" applyNumberFormat="1" applyFont="1" applyFill="1" applyBorder="1" applyAlignment="1" applyProtection="1">
      <alignment horizontal="center" vertical="center"/>
    </xf>
    <xf numFmtId="49" fontId="34" fillId="25" borderId="23" xfId="8" applyNumberFormat="1" applyFont="1" applyFill="1" applyBorder="1" applyAlignment="1" applyProtection="1">
      <alignment horizontal="center" vertical="center"/>
      <protection locked="0"/>
    </xf>
    <xf numFmtId="49" fontId="34" fillId="25" borderId="64" xfId="8" applyNumberFormat="1" applyFont="1" applyFill="1" applyBorder="1" applyAlignment="1" applyProtection="1">
      <alignment horizontal="center" vertical="center"/>
      <protection locked="0"/>
    </xf>
    <xf numFmtId="49" fontId="34" fillId="25" borderId="31" xfId="8" applyNumberFormat="1" applyFont="1" applyFill="1" applyBorder="1" applyAlignment="1" applyProtection="1">
      <alignment horizontal="center" vertical="center"/>
      <protection locked="0"/>
    </xf>
    <xf numFmtId="49" fontId="34" fillId="25" borderId="39" xfId="8" applyNumberFormat="1" applyFont="1" applyFill="1" applyBorder="1" applyAlignment="1" applyProtection="1">
      <alignment horizontal="center" vertical="center"/>
      <protection locked="0"/>
    </xf>
    <xf numFmtId="49" fontId="34" fillId="25" borderId="90" xfId="8" applyNumberFormat="1" applyFont="1" applyFill="1" applyBorder="1" applyAlignment="1" applyProtection="1">
      <alignment horizontal="center" vertical="center"/>
      <protection locked="0"/>
    </xf>
  </cellXfs>
  <cellStyles count="25">
    <cellStyle name="ハイパーリンク" xfId="17" builtinId="8"/>
    <cellStyle name="ハイパーリンク 2" xfId="6" xr:uid="{00000000-0005-0000-0000-000001000000}"/>
    <cellStyle name="桁区切り 2" xfId="5" xr:uid="{00000000-0005-0000-0000-000002000000}"/>
    <cellStyle name="標準" xfId="0" builtinId="0"/>
    <cellStyle name="標準 12" xfId="15" xr:uid="{00000000-0005-0000-0000-000004000000}"/>
    <cellStyle name="標準 12 2" xfId="20" xr:uid="{00000000-0005-0000-0000-000005000000}"/>
    <cellStyle name="標準 12 2 2" xfId="22" xr:uid="{00000000-0005-0000-0000-000006000000}"/>
    <cellStyle name="標準 2" xfId="2" xr:uid="{00000000-0005-0000-0000-000007000000}"/>
    <cellStyle name="標準 2 2" xfId="4" xr:uid="{00000000-0005-0000-0000-000008000000}"/>
    <cellStyle name="標準 2 2 2" xfId="11" xr:uid="{00000000-0005-0000-0000-000009000000}"/>
    <cellStyle name="標準 2 2 5" xfId="10" xr:uid="{00000000-0005-0000-0000-00000A000000}"/>
    <cellStyle name="標準 2 3" xfId="9" xr:uid="{00000000-0005-0000-0000-00000B000000}"/>
    <cellStyle name="標準 3" xfId="1" xr:uid="{00000000-0005-0000-0000-00000C000000}"/>
    <cellStyle name="標準 4" xfId="7" xr:uid="{00000000-0005-0000-0000-00000D000000}"/>
    <cellStyle name="標準 4 2" xfId="3" xr:uid="{00000000-0005-0000-0000-00000E000000}"/>
    <cellStyle name="標準 5" xfId="8" xr:uid="{00000000-0005-0000-0000-00000F000000}"/>
    <cellStyle name="標準 5 2" xfId="18" xr:uid="{00000000-0005-0000-0000-000010000000}"/>
    <cellStyle name="標準 5 2 2" xfId="19" xr:uid="{00000000-0005-0000-0000-000011000000}"/>
    <cellStyle name="標準 5 22" xfId="14" xr:uid="{00000000-0005-0000-0000-000012000000}"/>
    <cellStyle name="標準 6" xfId="12" xr:uid="{00000000-0005-0000-0000-000013000000}"/>
    <cellStyle name="標準 6 2" xfId="13" xr:uid="{00000000-0005-0000-0000-000014000000}"/>
    <cellStyle name="標準 6 2 2" xfId="21" xr:uid="{00000000-0005-0000-0000-000015000000}"/>
    <cellStyle name="標準 6 2 2 2" xfId="23" xr:uid="{00000000-0005-0000-0000-000016000000}"/>
    <cellStyle name="標準 7" xfId="16" xr:uid="{00000000-0005-0000-0000-000017000000}"/>
    <cellStyle name="標準 7 2" xfId="24" xr:uid="{00000000-0005-0000-0000-000018000000}"/>
  </cellStyles>
  <dxfs count="208">
    <dxf>
      <fill>
        <patternFill>
          <bgColor rgb="FFFF99FF"/>
        </patternFill>
      </fill>
    </dxf>
    <dxf>
      <fill>
        <patternFill>
          <bgColor theme="0"/>
        </patternFill>
      </fill>
    </dxf>
    <dxf>
      <fill>
        <patternFill>
          <bgColor rgb="FFFF99FF"/>
        </patternFill>
      </fill>
    </dxf>
    <dxf>
      <fill>
        <patternFill>
          <bgColor theme="0"/>
        </patternFill>
      </fill>
    </dxf>
    <dxf>
      <fill>
        <patternFill>
          <bgColor rgb="FFFF99FF"/>
        </patternFill>
      </fill>
    </dxf>
    <dxf>
      <fill>
        <patternFill>
          <bgColor theme="0"/>
        </patternFill>
      </fill>
    </dxf>
    <dxf>
      <fill>
        <patternFill>
          <bgColor rgb="FFFF99FF"/>
        </patternFill>
      </fill>
    </dxf>
    <dxf>
      <fill>
        <patternFill>
          <bgColor theme="0"/>
        </patternFill>
      </fill>
    </dxf>
    <dxf>
      <fill>
        <patternFill>
          <bgColor rgb="FFFF99FF"/>
        </patternFill>
      </fill>
    </dxf>
    <dxf>
      <fill>
        <patternFill>
          <bgColor theme="0"/>
        </patternFill>
      </fill>
    </dxf>
    <dxf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99FF"/>
        </patternFill>
      </fill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99FF"/>
        </patternFill>
      </fill>
    </dxf>
    <dxf>
      <fill>
        <patternFill>
          <bgColor theme="0"/>
        </patternFill>
      </fill>
    </dxf>
    <dxf>
      <fill>
        <patternFill>
          <bgColor rgb="FFFF99FF"/>
        </patternFill>
      </fill>
    </dxf>
    <dxf>
      <fill>
        <patternFill>
          <bgColor theme="0"/>
        </patternFill>
      </fill>
    </dxf>
    <dxf>
      <fill>
        <patternFill>
          <bgColor theme="0" tint="-0.499984740745262"/>
        </patternFill>
      </fill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99FF"/>
        </patternFill>
      </fill>
    </dxf>
    <dxf>
      <fill>
        <patternFill>
          <bgColor theme="0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theme="0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theme="0"/>
        </patternFill>
      </fill>
    </dxf>
    <dxf>
      <fill>
        <patternFill>
          <bgColor rgb="FFFF99FF"/>
        </patternFill>
      </fill>
    </dxf>
    <dxf>
      <fill>
        <patternFill>
          <bgColor theme="0"/>
        </patternFill>
      </fill>
    </dxf>
    <dxf>
      <fill>
        <patternFill>
          <bgColor rgb="FFFF99FF"/>
        </patternFill>
      </fill>
    </dxf>
    <dxf>
      <fill>
        <patternFill>
          <bgColor theme="0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99FF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ill>
        <patternFill>
          <bgColor rgb="FFFF99FF"/>
        </patternFill>
      </fill>
    </dxf>
    <dxf>
      <fill>
        <patternFill patternType="none">
          <bgColor auto="1"/>
        </patternFill>
      </fill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99FF"/>
        </patternFill>
      </fill>
    </dxf>
    <dxf>
      <fill>
        <patternFill patternType="none">
          <bgColor auto="1"/>
        </patternFill>
      </fill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99FF"/>
        </patternFill>
      </fill>
    </dxf>
    <dxf>
      <fill>
        <patternFill>
          <bgColor theme="0"/>
        </patternFill>
      </fill>
    </dxf>
    <dxf>
      <fill>
        <patternFill>
          <bgColor rgb="FFFF99FF"/>
        </patternFill>
      </fill>
    </dxf>
    <dxf>
      <fill>
        <patternFill>
          <bgColor theme="0"/>
        </patternFill>
      </fill>
    </dxf>
    <dxf>
      <fill>
        <patternFill>
          <bgColor theme="0" tint="-0.499984740745262"/>
        </patternFill>
      </fill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99FF"/>
        </patternFill>
      </fill>
    </dxf>
    <dxf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theme="0"/>
        </patternFill>
      </fill>
    </dxf>
    <dxf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99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theme="0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theme="0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theme="0"/>
        </patternFill>
      </fill>
    </dxf>
    <dxf>
      <fill>
        <patternFill>
          <bgColor rgb="FFFF99FF"/>
        </patternFill>
      </fill>
    </dxf>
    <dxf>
      <fill>
        <patternFill>
          <bgColor theme="0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99FF"/>
        </patternFill>
      </fill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ill>
        <patternFill>
          <bgColor rgb="FFFF99FF"/>
        </patternFill>
      </fill>
    </dxf>
    <dxf>
      <fill>
        <patternFill patternType="none">
          <bgColor auto="1"/>
        </patternFill>
      </fill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99FF"/>
        </patternFill>
      </fill>
    </dxf>
    <dxf>
      <fill>
        <patternFill patternType="none">
          <bgColor auto="1"/>
        </patternFill>
      </fill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CCFFCC"/>
      <color rgb="FFFF99FF"/>
      <color rgb="FFFFCC99"/>
      <color rgb="FFFFCCFF"/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52</xdr:col>
      <xdr:colOff>95250</xdr:colOff>
      <xdr:row>0</xdr:row>
      <xdr:rowOff>35719</xdr:rowOff>
    </xdr:from>
    <xdr:to>
      <xdr:col>61</xdr:col>
      <xdr:colOff>119063</xdr:colOff>
      <xdr:row>7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496550" y="35719"/>
          <a:ext cx="1824038" cy="1504950"/>
        </a:xfrm>
        <a:prstGeom prst="rect">
          <a:avLst/>
        </a:prstGeom>
        <a:solidFill>
          <a:schemeClr val="bg1">
            <a:alpha val="27000"/>
          </a:schemeClr>
        </a:solidFill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7620</xdr:colOff>
          <xdr:row>0</xdr:row>
          <xdr:rowOff>99060</xdr:rowOff>
        </xdr:from>
        <xdr:to>
          <xdr:col>60</xdr:col>
          <xdr:colOff>190500</xdr:colOff>
          <xdr:row>3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3152" rIns="54864" bIns="7315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申込書チェック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66675</xdr:colOff>
      <xdr:row>6</xdr:row>
      <xdr:rowOff>0</xdr:rowOff>
    </xdr:from>
    <xdr:to>
      <xdr:col>50</xdr:col>
      <xdr:colOff>180975</xdr:colOff>
      <xdr:row>8</xdr:row>
      <xdr:rowOff>152400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029700" y="1104900"/>
          <a:ext cx="876300" cy="4953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47</xdr:col>
      <xdr:colOff>19050</xdr:colOff>
      <xdr:row>5</xdr:row>
      <xdr:rowOff>295275</xdr:rowOff>
    </xdr:from>
    <xdr:ext cx="646331" cy="242374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9172575" y="1066800"/>
          <a:ext cx="646331" cy="2423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900"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代表者印</a:t>
          </a:r>
        </a:p>
      </xdr:txBody>
    </xdr:sp>
    <xdr:clientData/>
  </xdr:oneCellAnchor>
  <xdr:twoCellAnchor>
    <xdr:from>
      <xdr:col>46</xdr:col>
      <xdr:colOff>66675</xdr:colOff>
      <xdr:row>7</xdr:row>
      <xdr:rowOff>0</xdr:rowOff>
    </xdr:from>
    <xdr:to>
      <xdr:col>50</xdr:col>
      <xdr:colOff>180975</xdr:colOff>
      <xdr:row>7</xdr:row>
      <xdr:rowOff>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9029700" y="1276350"/>
          <a:ext cx="8763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683558</xdr:colOff>
      <xdr:row>0</xdr:row>
      <xdr:rowOff>97653</xdr:rowOff>
    </xdr:from>
    <xdr:to>
      <xdr:col>4</xdr:col>
      <xdr:colOff>1131795</xdr:colOff>
      <xdr:row>1</xdr:row>
      <xdr:rowOff>67236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026583" y="97653"/>
          <a:ext cx="3153337" cy="236283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>
          <a:outerShdw blurRad="50800" dist="50800" dir="5400000" algn="ctr" rotWithShape="0">
            <a:schemeClr val="bg1"/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ysClr val="windowText" lastClr="000000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カメラごとに</a:t>
          </a:r>
          <a:r>
            <a:rPr kumimoji="1" lang="en-US" altLang="ja-JP" sz="1600" b="1">
              <a:solidFill>
                <a:sysClr val="windowText" lastClr="000000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1</a:t>
          </a:r>
          <a:r>
            <a:rPr kumimoji="1" lang="ja-JP" altLang="en-US" sz="1600" b="1">
              <a:solidFill>
                <a:sysClr val="windowText" lastClr="000000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行記入してください。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52</xdr:col>
      <xdr:colOff>95250</xdr:colOff>
      <xdr:row>0</xdr:row>
      <xdr:rowOff>35719</xdr:rowOff>
    </xdr:from>
    <xdr:to>
      <xdr:col>61</xdr:col>
      <xdr:colOff>119063</xdr:colOff>
      <xdr:row>7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0496550" y="35719"/>
          <a:ext cx="1824038" cy="1269206"/>
        </a:xfrm>
        <a:prstGeom prst="rect">
          <a:avLst/>
        </a:prstGeom>
        <a:solidFill>
          <a:schemeClr val="bg1">
            <a:alpha val="27000"/>
          </a:schemeClr>
        </a:solidFill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7620</xdr:colOff>
          <xdr:row>0</xdr:row>
          <xdr:rowOff>99060</xdr:rowOff>
        </xdr:from>
        <xdr:to>
          <xdr:col>60</xdr:col>
          <xdr:colOff>190500</xdr:colOff>
          <xdr:row>3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3152" rIns="54864" bIns="7315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申込書チェック</a:t>
              </a:r>
            </a:p>
          </xdr:txBody>
        </xdr:sp>
        <xdr:clientData fPrintsWithSheet="0"/>
      </xdr:twoCellAnchor>
    </mc:Choice>
    <mc:Fallback/>
  </mc:AlternateContent>
  <xdr:twoCellAnchor>
    <xdr:from>
      <xdr:col>51</xdr:col>
      <xdr:colOff>190500</xdr:colOff>
      <xdr:row>21</xdr:row>
      <xdr:rowOff>66675</xdr:rowOff>
    </xdr:from>
    <xdr:to>
      <xdr:col>63</xdr:col>
      <xdr:colOff>101047</xdr:colOff>
      <xdr:row>24</xdr:row>
      <xdr:rowOff>156954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0391775" y="3352800"/>
          <a:ext cx="2310847" cy="604629"/>
        </a:xfrm>
        <a:prstGeom prst="wedgeRectCallout">
          <a:avLst>
            <a:gd name="adj1" fmla="val -17743"/>
            <a:gd name="adj2" fmla="val -76072"/>
          </a:avLst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</a:rPr>
            <a:t>100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</a:rPr>
            <a:t>台以上の発注があった場合、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</a:rPr>
            <a:t>上記の文言が出ます。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66675</xdr:colOff>
      <xdr:row>6</xdr:row>
      <xdr:rowOff>0</xdr:rowOff>
    </xdr:from>
    <xdr:to>
      <xdr:col>50</xdr:col>
      <xdr:colOff>180975</xdr:colOff>
      <xdr:row>8</xdr:row>
      <xdr:rowOff>152400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9029700" y="1381125"/>
          <a:ext cx="876300" cy="4953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47</xdr:col>
      <xdr:colOff>19050</xdr:colOff>
      <xdr:row>5</xdr:row>
      <xdr:rowOff>295275</xdr:rowOff>
    </xdr:from>
    <xdr:ext cx="646331" cy="242374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9172575" y="1343025"/>
          <a:ext cx="646331" cy="2423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900"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代表者印</a:t>
          </a:r>
        </a:p>
      </xdr:txBody>
    </xdr:sp>
    <xdr:clientData/>
  </xdr:oneCellAnchor>
  <xdr:twoCellAnchor>
    <xdr:from>
      <xdr:col>46</xdr:col>
      <xdr:colOff>66675</xdr:colOff>
      <xdr:row>7</xdr:row>
      <xdr:rowOff>0</xdr:rowOff>
    </xdr:from>
    <xdr:to>
      <xdr:col>50</xdr:col>
      <xdr:colOff>180975</xdr:colOff>
      <xdr:row>7</xdr:row>
      <xdr:rowOff>0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CxnSpPr/>
      </xdr:nvCxnSpPr>
      <xdr:spPr>
        <a:xfrm>
          <a:off x="9029700" y="1552575"/>
          <a:ext cx="8763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683558</xdr:colOff>
      <xdr:row>0</xdr:row>
      <xdr:rowOff>97653</xdr:rowOff>
    </xdr:from>
    <xdr:to>
      <xdr:col>4</xdr:col>
      <xdr:colOff>1131795</xdr:colOff>
      <xdr:row>1</xdr:row>
      <xdr:rowOff>67236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026583" y="97653"/>
          <a:ext cx="3153337" cy="236283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>
          <a:outerShdw blurRad="50800" dist="50800" dir="5400000" algn="ctr" rotWithShape="0">
            <a:schemeClr val="bg1"/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ysClr val="windowText" lastClr="000000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カメラごとに</a:t>
          </a:r>
          <a:r>
            <a:rPr kumimoji="1" lang="en-US" altLang="ja-JP" sz="1600" b="1">
              <a:solidFill>
                <a:sysClr val="windowText" lastClr="000000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1</a:t>
          </a:r>
          <a:r>
            <a:rPr kumimoji="1" lang="ja-JP" altLang="en-US" sz="1600" b="1">
              <a:solidFill>
                <a:sysClr val="windowText" lastClr="000000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行記入してください。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32.33.25\99_&#20491;&#21029;&#12501;&#12457;&#12523;&#12480;\2_&#12473;&#12510;&#12540;&#12488;ICT&#37096;&#38272;\&#12450;&#12463;&#12488;&#20849;&#26377;&#29992;\&#9733;&#12463;&#12521;&#12454;&#12489;&#12459;&#12513;&#12521;\08_&#12527;&#12540;&#12463;&#65288;FT&#20351;&#29992;&#65289;\&#30003;&#36796;&#26360;\&#26368;&#26032;&#30003;&#36796;&#26360;\&#12304;BD&#37096;&#20316;&#25104;&#29256;&#12305;&#12304;&#27096;&#24335;camera1&#12305;&#12469;&#12540;&#12499;&#12473;&#30003;&#36796;&#26360;_2.0&#29256;(OEM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32.33.25\99_&#20491;&#21029;&#12501;&#12457;&#12523;&#12480;\2_&#12473;&#12510;&#12540;&#12488;ICT&#37096;&#38272;\&#12450;&#12463;&#12488;&#20849;&#26377;&#29992;\&#9733;&#12463;&#12521;&#12454;&#12489;&#12459;&#12513;&#12521;\08_&#12527;&#12540;&#12463;&#65288;FT&#20351;&#29992;&#65289;\&#22679;&#20117;\&#12510;&#12463;&#12525;&#26377;&#21177;&#21270;&#12486;&#12473;&#12488;\&#12510;&#12463;&#12525;&#26377;&#21177;&#21270;&#12486;&#12473;&#12488;_&#12304;BD&#37096;&#20316;&#25104;&#29256;&#12305;&#12304;&#27096;&#24335;camera1&#12305;&#12469;&#12540;&#12499;&#12473;&#30003;&#36796;&#26360;_2.0&#29256;&#65288;OEM&#65289;&#12362;&#23458;&#27096;&#29992;&#24847;&#12503;&#12521;&#12531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32.33.25\99_&#20491;&#21029;&#12501;&#12457;&#12523;&#12480;\2_&#12473;&#12510;&#12540;&#12488;ICT&#37096;&#38272;\&#20182;&#37096;&#32626;&#20849;&#26377;\&#12463;&#12521;&#12454;&#12489;&#22411;&#12459;&#12513;&#12521;&#12392;&#12428;&#65374;&#12427;\&#9632;&#26412;&#31038;&#23450;&#20363;\32_&#12518;&#12540;&#12470;&#12540;&#30003;&#36796;&#26360;\&#12304;BD&#37096;&#20316;&#25104;&#29256;&#12305;&#12304;&#27096;&#24335;camera1&#12305;&#12469;&#12540;&#12499;&#12473;&#30003;&#36796;&#26360;_1.0&#29256;&#65288;OEM&#65289;&#31471;&#26411;&#12475;&#12483;&#12488;&#12503;&#12521;&#12531;%20_20191113%20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32.33.25\99_&#20491;&#21029;&#12501;&#12457;&#12523;&#12480;\2_&#12473;&#12510;&#12540;&#12488;ICT&#37096;&#38272;\&#20182;&#37096;&#32626;&#20849;&#26377;\&#12463;&#12521;&#12454;&#12489;&#22411;&#12459;&#12513;&#12521;&#12392;&#12428;&#65374;&#12427;\&#9632;&#26412;&#31038;&#23450;&#20363;\32_&#12518;&#12540;&#12470;&#12540;&#30003;&#36796;&#26360;\&#12304;BD&#37096;&#20316;&#25104;&#29256;&#12305;&#12304;&#27096;&#24335;camera1&#12305;&#12469;&#12540;&#12499;&#12473;&#30003;&#36796;&#26360;_2.0&#29256;(OEM)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2304;&#27096;&#24335;camera1&#12305;&#12469;&#12540;&#12499;&#12473;&#30003;&#36796;&#26360;_1.6&#29256;&#65288;OEM&#65289;&#12362;&#23458;&#27096;&#29992;&#24847;&#22411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-cldstrg-hon\&#20491;&#21029;\&#21830;&#21697;&#25126;&#30053;&#25285;&#24403;\&#21830;&#25126;\&#12469;&#12540;&#12499;&#12473;&#25512;&#36914;\02.&#23665;&#19979;G\340_&#12304;&#12469;&#12540;&#12499;&#12473;&#12305;_&#12463;&#12521;&#12454;&#12489;&#22411;&#12459;&#12513;&#12521;&#12392;&#12428;&#65374;&#12427;\113.&#12518;&#12540;&#12470;&#30003;&#36796;&#26360;\20210301_&#30003;&#36796;&#29992;&#32025;&#25913;&#23450;\&#20316;&#26989;&#20013;\N&#12304;&#27096;&#24335;camera1&#12305;&#12469;&#12540;&#12499;&#12473;&#30003;&#36796;&#26360;_3.0&#29256;&#65288;OEM&#65289;&#12362;&#23458;&#27096;&#29992;&#24847;&#22411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別紙①"/>
      <sheetName val="DATA別紙②"/>
      <sheetName val="DATA別紙③"/>
      <sheetName val="DATA別紙④"/>
      <sheetName val="DATA別紙⑥"/>
      <sheetName val="本紙"/>
      <sheetName val="別紙①_カメラ申込書"/>
      <sheetName val="別紙②_カメラ設定"/>
      <sheetName val="別紙③_移転・契約情報変更・設定変更申込"/>
      <sheetName val="別紙④_申込内容変更申込"/>
      <sheetName val="別紙⑤_【編集不可】注文書兼注文請書（自動転記）"/>
      <sheetName val="別紙⑥_アンケート"/>
      <sheetName val="リスト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">
          <cell r="Q1" t="str">
            <v>産業をお選びください</v>
          </cell>
        </row>
        <row r="2">
          <cell r="Q2" t="str">
            <v>農業・林業</v>
          </cell>
        </row>
        <row r="3">
          <cell r="Q3" t="str">
            <v>漁業</v>
          </cell>
        </row>
        <row r="4">
          <cell r="Q4" t="str">
            <v>鉱業・採石業・砂利採取業</v>
          </cell>
        </row>
        <row r="5">
          <cell r="Q5" t="str">
            <v>建設業</v>
          </cell>
        </row>
        <row r="6">
          <cell r="Q6" t="str">
            <v>製造業</v>
          </cell>
        </row>
        <row r="7">
          <cell r="Q7" t="str">
            <v>電気・ガス・熱供給・水道業</v>
          </cell>
        </row>
        <row r="8">
          <cell r="Q8" t="str">
            <v>情報通信業</v>
          </cell>
        </row>
        <row r="9">
          <cell r="Q9" t="str">
            <v>運輸業・郵便業</v>
          </cell>
        </row>
        <row r="10">
          <cell r="Q10" t="str">
            <v>卸売業・小売業</v>
          </cell>
        </row>
        <row r="11">
          <cell r="Q11" t="str">
            <v>金融業・保険業</v>
          </cell>
        </row>
        <row r="12">
          <cell r="Q12" t="str">
            <v>不動産業・物品賃貸業</v>
          </cell>
        </row>
        <row r="13">
          <cell r="Q13" t="str">
            <v>学術研究・専門・技術サービス業</v>
          </cell>
        </row>
        <row r="14">
          <cell r="Q14" t="str">
            <v>宿泊業・飲食サービス業</v>
          </cell>
        </row>
        <row r="15">
          <cell r="Q15" t="str">
            <v>生活関連サービス業・娯楽業</v>
          </cell>
        </row>
        <row r="16">
          <cell r="Q16" t="str">
            <v>教育・学習支援業</v>
          </cell>
        </row>
        <row r="17">
          <cell r="Q17" t="str">
            <v>医療・福祉</v>
          </cell>
        </row>
        <row r="18">
          <cell r="Q18" t="str">
            <v>複合サービス事業</v>
          </cell>
        </row>
        <row r="19">
          <cell r="Q19" t="str">
            <v>サービス業</v>
          </cell>
        </row>
        <row r="20">
          <cell r="Q20" t="str">
            <v>公務</v>
          </cell>
        </row>
        <row r="21">
          <cell r="Q21" t="str">
            <v>分類不能の産業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別紙①"/>
      <sheetName val="DATA別紙②"/>
      <sheetName val="DATA別紙③"/>
      <sheetName val="DATA別紙④"/>
      <sheetName val="DATA別紙⑥"/>
      <sheetName val="本紙"/>
      <sheetName val="別紙①_カメラ申込書"/>
      <sheetName val="別紙②_カメラ設定"/>
      <sheetName val="別紙③_移転・契約情報変更・設定変更申込"/>
      <sheetName val="別紙④_申込内容変更申込"/>
      <sheetName val="別紙⑤_【編集不可】注文書兼注文請書（自動転記）"/>
      <sheetName val="別紙⑥_アンケート"/>
      <sheetName val="START"/>
      <sheetName val="リスト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1">
          <cell r="Q1" t="str">
            <v>産業をお選びください</v>
          </cell>
        </row>
        <row r="2">
          <cell r="Q2" t="str">
            <v>農業・林業</v>
          </cell>
        </row>
        <row r="3">
          <cell r="Q3" t="str">
            <v>漁業</v>
          </cell>
        </row>
        <row r="4">
          <cell r="Q4" t="str">
            <v>鉱業・採石業・砂利採取業</v>
          </cell>
        </row>
        <row r="5">
          <cell r="Q5" t="str">
            <v>建設業</v>
          </cell>
        </row>
        <row r="6">
          <cell r="Q6" t="str">
            <v>製造業</v>
          </cell>
        </row>
        <row r="7">
          <cell r="Q7" t="str">
            <v>電気・ガス・熱供給・水道業</v>
          </cell>
        </row>
        <row r="8">
          <cell r="Q8" t="str">
            <v>情報通信業</v>
          </cell>
        </row>
        <row r="9">
          <cell r="Q9" t="str">
            <v>運輸業・郵便業</v>
          </cell>
        </row>
        <row r="10">
          <cell r="Q10" t="str">
            <v>卸売業・小売業</v>
          </cell>
        </row>
        <row r="11">
          <cell r="Q11" t="str">
            <v>金融業・保険業</v>
          </cell>
        </row>
        <row r="12">
          <cell r="Q12" t="str">
            <v>不動産業・物品賃貸業</v>
          </cell>
        </row>
        <row r="13">
          <cell r="Q13" t="str">
            <v>学術研究・専門・技術サービス業</v>
          </cell>
        </row>
        <row r="14">
          <cell r="Q14" t="str">
            <v>宿泊業・飲食サービス業</v>
          </cell>
        </row>
        <row r="15">
          <cell r="Q15" t="str">
            <v>生活関連サービス業・娯楽業</v>
          </cell>
        </row>
        <row r="16">
          <cell r="Q16" t="str">
            <v>教育・学習支援業</v>
          </cell>
        </row>
        <row r="17">
          <cell r="Q17" t="str">
            <v>医療・福祉</v>
          </cell>
        </row>
        <row r="18">
          <cell r="Q18" t="str">
            <v>複合サービス事業</v>
          </cell>
        </row>
        <row r="19">
          <cell r="Q19" t="str">
            <v>サービス業</v>
          </cell>
        </row>
        <row r="20">
          <cell r="Q20" t="str">
            <v>公務</v>
          </cell>
        </row>
        <row r="21">
          <cell r="Q21" t="str">
            <v>分類不能の産業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本紙"/>
      <sheetName val="別紙①_カメラ申込書"/>
      <sheetName val="別紙②_カメラ設定"/>
      <sheetName val="別紙③_移転・契約情報変更・設定変更申込"/>
      <sheetName val="別紙④_申込内容変更申込"/>
      <sheetName val="別紙⑥_アンケート "/>
      <sheetName val="リスト"/>
      <sheetName val="Calendar"/>
      <sheetName val="calender"/>
      <sheetName val="別紙⑥_アンケート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  <sheetData sheetId="6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リスト"/>
      <sheetName val="本紙"/>
      <sheetName val="別紙①_カメラ申込書"/>
      <sheetName val="別紙②_カメラ設定"/>
      <sheetName val="別紙③_移転・契約情報変更・設定変更申込"/>
      <sheetName val="別紙④_申込内容変更申込"/>
      <sheetName val="別紙⑤_【編集不可】注文書兼注文請書（自動転記）"/>
      <sheetName val="Calendar"/>
      <sheetName val="calen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J2">
            <v>42736</v>
          </cell>
        </row>
      </sheetData>
      <sheetData sheetId="8">
        <row r="2">
          <cell r="A2">
            <v>43466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リスト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別紙①"/>
      <sheetName val="DATA別紙②"/>
      <sheetName val="DATA別紙③_Pocket2"/>
      <sheetName val="DATA別紙⑥"/>
      <sheetName val="本紙"/>
      <sheetName val="別紙①_カメラ申込書"/>
      <sheetName val="別紙②_カメラ設定"/>
      <sheetName val="別紙③_Pocket2専用申込書"/>
      <sheetName val="別紙⑥_アンケート"/>
      <sheetName val="記載編⇒"/>
      <sheetName val="本紙 (記)"/>
      <sheetName val="別紙①_カメラ申込書 (記)"/>
      <sheetName val="別紙②_カメラ設定 (記)"/>
      <sheetName val="別紙③_Pocket2専用申込書 (記)"/>
      <sheetName val="別紙⑤_【編集不可】注文書兼注文請書（自動転記）"/>
      <sheetName val="別紙⑥_アンケート (記)"/>
      <sheetName val="別紙B_【編集不可】注文書兼注文請書（自動転記）"/>
      <sheetName val="リスト"/>
    </sheetNames>
    <sheetDataSet>
      <sheetData sheetId="0" refreshError="1"/>
      <sheetData sheetId="1" refreshError="1"/>
      <sheetData sheetId="2" refreshError="1"/>
      <sheetData sheetId="3" refreshError="1"/>
      <sheetData sheetId="4">
        <row r="6">
          <cell r="AR6" t="str">
            <v>Ver3.0(2021.3.1～)</v>
          </cell>
        </row>
      </sheetData>
      <sheetData sheetId="5"/>
      <sheetData sheetId="6" refreshError="1"/>
      <sheetData sheetId="7"/>
      <sheetData sheetId="8" refreshError="1"/>
      <sheetData sheetId="9" refreshError="1"/>
      <sheetData sheetId="10" refreshError="1"/>
      <sheetData sheetId="11"/>
      <sheetData sheetId="12" refreshError="1"/>
      <sheetData sheetId="13"/>
      <sheetData sheetId="14" refreshError="1"/>
      <sheetData sheetId="15"/>
      <sheetData sheetId="16" refreshError="1"/>
      <sheetData sheetId="17">
        <row r="1">
          <cell r="Q1" t="str">
            <v>産業をお選びください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order-cloud-camera@west.ntt.co.jp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ntt-west.co.jp/smb/plan/camera_toreru/pdf/terms_toreru_2105.pdf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order-cloud-camera@west.ntt.co.jp" TargetMode="External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www.ntt-west.co.jp/smb/plan/camera_toreru/pdf/terms_toreru_2105.pdf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HH5"/>
  <sheetViews>
    <sheetView topLeftCell="BV1" workbookViewId="0">
      <selection activeCell="CA3" sqref="CA3"/>
    </sheetView>
  </sheetViews>
  <sheetFormatPr defaultColWidth="9.109375" defaultRowHeight="13.2"/>
  <cols>
    <col min="1" max="1" width="17.5546875" style="49" customWidth="1"/>
    <col min="2" max="2" width="41.33203125" style="49" bestFit="1" customWidth="1"/>
    <col min="3" max="5" width="41.33203125" style="49" customWidth="1"/>
    <col min="6" max="6" width="17.5546875" style="49" customWidth="1"/>
    <col min="7" max="7" width="13" style="49" bestFit="1" customWidth="1"/>
    <col min="8" max="8" width="19.33203125" style="49" bestFit="1" customWidth="1"/>
    <col min="9" max="11" width="13.109375" style="51" customWidth="1"/>
    <col min="12" max="12" width="23.6640625" style="49" bestFit="1" customWidth="1"/>
    <col min="13" max="13" width="15.33203125" style="49" bestFit="1" customWidth="1"/>
    <col min="14" max="15" width="11.6640625" style="49" bestFit="1" customWidth="1"/>
    <col min="16" max="16" width="26.6640625" style="49" customWidth="1"/>
    <col min="17" max="18" width="10.6640625" style="49" bestFit="1" customWidth="1"/>
    <col min="19" max="19" width="26" style="49" customWidth="1"/>
    <col min="20" max="20" width="16.109375" style="51" customWidth="1"/>
    <col min="21" max="22" width="6.33203125" style="73" bestFit="1" customWidth="1"/>
    <col min="23" max="24" width="12.44140625" style="74" customWidth="1"/>
    <col min="25" max="25" width="30.5546875" style="49" customWidth="1"/>
    <col min="26" max="26" width="9.109375" style="49"/>
    <col min="27" max="27" width="26.5546875" style="49" customWidth="1"/>
    <col min="28" max="28" width="16.5546875" style="49" customWidth="1"/>
    <col min="29" max="29" width="11.6640625" style="49" bestFit="1" customWidth="1"/>
    <col min="30" max="38" width="5.88671875" style="74" customWidth="1"/>
    <col min="39" max="40" width="5.88671875" style="51" customWidth="1"/>
    <col min="41" max="41" width="18.109375" style="49" customWidth="1"/>
    <col min="42" max="42" width="18.88671875" style="49" bestFit="1" customWidth="1"/>
    <col min="43" max="43" width="10.6640625" style="49" bestFit="1" customWidth="1"/>
    <col min="44" max="49" width="15.6640625" style="74" customWidth="1"/>
    <col min="50" max="51" width="21.5546875" style="74" customWidth="1"/>
    <col min="52" max="52" width="10.6640625" style="49" bestFit="1" customWidth="1"/>
    <col min="53" max="56" width="10.6640625" style="49" customWidth="1"/>
    <col min="57" max="57" width="13.6640625" style="49" bestFit="1" customWidth="1"/>
    <col min="58" max="58" width="8.44140625" style="49" bestFit="1" customWidth="1"/>
    <col min="59" max="60" width="8" style="49" customWidth="1"/>
    <col min="61" max="72" width="6" style="75" customWidth="1"/>
    <col min="73" max="73" width="25" style="49" bestFit="1" customWidth="1"/>
    <col min="74" max="76" width="6" style="49" bestFit="1" customWidth="1"/>
    <col min="77" max="77" width="10.109375" style="49" customWidth="1"/>
    <col min="78" max="78" width="5" style="49" bestFit="1" customWidth="1"/>
    <col min="79" max="79" width="10.109375" style="49" customWidth="1"/>
    <col min="80" max="80" width="5" style="49" bestFit="1" customWidth="1"/>
    <col min="81" max="81" width="10.109375" style="49" customWidth="1"/>
    <col min="82" max="82" width="5" style="49" bestFit="1" customWidth="1"/>
    <col min="83" max="83" width="10.109375" style="49" customWidth="1"/>
    <col min="84" max="84" width="5" style="49" bestFit="1" customWidth="1"/>
    <col min="85" max="85" width="10.109375" style="49" customWidth="1"/>
    <col min="86" max="86" width="5" style="49" bestFit="1" customWidth="1"/>
    <col min="87" max="87" width="10.109375" style="49" customWidth="1"/>
    <col min="88" max="88" width="5.109375" style="49" bestFit="1" customWidth="1"/>
    <col min="89" max="89" width="10.109375" style="49" customWidth="1"/>
    <col min="90" max="90" width="5.109375" style="49" bestFit="1" customWidth="1"/>
    <col min="91" max="91" width="10.109375" style="49" customWidth="1"/>
    <col min="92" max="92" width="5.109375" style="49" bestFit="1" customWidth="1"/>
    <col min="93" max="93" width="10.109375" style="49" customWidth="1"/>
    <col min="94" max="94" width="5.109375" style="49" bestFit="1" customWidth="1"/>
    <col min="95" max="95" width="10.109375" style="49" customWidth="1"/>
    <col min="96" max="96" width="5.109375" style="49" bestFit="1" customWidth="1"/>
    <col min="97" max="110" width="5.109375" style="49" customWidth="1"/>
    <col min="111" max="111" width="10.109375" style="49" customWidth="1"/>
    <col min="112" max="112" width="5" style="49" bestFit="1" customWidth="1"/>
    <col min="113" max="113" width="10.109375" style="49" customWidth="1"/>
    <col min="114" max="114" width="5" style="49" bestFit="1" customWidth="1"/>
    <col min="115" max="115" width="10.109375" style="49" customWidth="1"/>
    <col min="116" max="116" width="5.109375" style="49" bestFit="1" customWidth="1"/>
    <col min="117" max="117" width="8.5546875" style="49" bestFit="1" customWidth="1"/>
    <col min="118" max="119" width="4.33203125" style="49" bestFit="1" customWidth="1"/>
    <col min="120" max="120" width="8.5546875" style="49" bestFit="1" customWidth="1"/>
    <col min="121" max="122" width="4.33203125" style="49" bestFit="1" customWidth="1"/>
    <col min="123" max="123" width="8.5546875" style="49" bestFit="1" customWidth="1"/>
    <col min="124" max="125" width="4.33203125" style="49" bestFit="1" customWidth="1"/>
    <col min="126" max="126" width="7.5546875" style="49" customWidth="1"/>
    <col min="127" max="128" width="11.6640625" style="49" bestFit="1" customWidth="1"/>
    <col min="129" max="129" width="16.5546875" style="49" bestFit="1" customWidth="1"/>
    <col min="130" max="131" width="10.6640625" style="49" bestFit="1" customWidth="1"/>
    <col min="132" max="132" width="12.6640625" style="49" bestFit="1" customWidth="1"/>
    <col min="133" max="133" width="8.5546875" style="49" bestFit="1" customWidth="1"/>
    <col min="134" max="134" width="6.33203125" style="49" bestFit="1" customWidth="1"/>
    <col min="135" max="136" width="6.33203125" style="74" bestFit="1" customWidth="1"/>
    <col min="137" max="138" width="11.6640625" style="49" bestFit="1" customWidth="1"/>
    <col min="139" max="139" width="16.5546875" style="49" bestFit="1" customWidth="1"/>
    <col min="140" max="141" width="10.6640625" style="49" bestFit="1" customWidth="1"/>
    <col min="142" max="142" width="12.6640625" style="49" bestFit="1" customWidth="1"/>
    <col min="143" max="143" width="8.5546875" style="49" bestFit="1" customWidth="1"/>
    <col min="144" max="144" width="6.33203125" style="49" bestFit="1" customWidth="1"/>
    <col min="145" max="145" width="27.88671875" style="49" bestFit="1" customWidth="1"/>
    <col min="146" max="146" width="18.88671875" style="49" bestFit="1" customWidth="1"/>
    <col min="147" max="147" width="10.6640625" style="49" bestFit="1" customWidth="1"/>
    <col min="148" max="153" width="18" style="74" customWidth="1"/>
    <col min="154" max="154" width="15.33203125" style="49" bestFit="1" customWidth="1"/>
    <col min="155" max="156" width="6.33203125" style="49" bestFit="1" customWidth="1"/>
    <col min="157" max="157" width="5.88671875" style="49" bestFit="1" customWidth="1"/>
    <col min="158" max="159" width="8.5546875" style="49" bestFit="1" customWidth="1"/>
    <col min="160" max="160" width="19.33203125" style="49" bestFit="1" customWidth="1"/>
    <col min="161" max="161" width="8.5546875" style="49" bestFit="1" customWidth="1"/>
    <col min="162" max="162" width="13" style="49" bestFit="1" customWidth="1"/>
    <col min="163" max="163" width="18" style="49" bestFit="1" customWidth="1"/>
    <col min="164" max="164" width="13" style="49" bestFit="1" customWidth="1"/>
    <col min="165" max="165" width="24.109375" style="49" bestFit="1" customWidth="1"/>
    <col min="166" max="166" width="22.88671875" style="49" bestFit="1" customWidth="1"/>
    <col min="167" max="167" width="28" style="49" bestFit="1" customWidth="1"/>
    <col min="168" max="168" width="6.33203125" style="49" bestFit="1" customWidth="1"/>
    <col min="169" max="169" width="17.88671875" style="49" customWidth="1"/>
    <col min="170" max="170" width="19.33203125" style="49" bestFit="1" customWidth="1"/>
    <col min="171" max="171" width="8.5546875" style="49" bestFit="1" customWidth="1"/>
    <col min="172" max="172" width="13" style="49" bestFit="1" customWidth="1"/>
    <col min="173" max="173" width="18" style="49" bestFit="1" customWidth="1"/>
    <col min="174" max="174" width="13" style="49" bestFit="1" customWidth="1"/>
    <col min="175" max="175" width="24.109375" style="49" bestFit="1" customWidth="1"/>
    <col min="176" max="176" width="22.88671875" style="49" bestFit="1" customWidth="1"/>
    <col min="177" max="177" width="28" style="49" bestFit="1" customWidth="1"/>
    <col min="178" max="178" width="6.33203125" style="49" bestFit="1" customWidth="1"/>
    <col min="179" max="179" width="17.88671875" style="49" customWidth="1"/>
    <col min="180" max="180" width="19.33203125" style="49" bestFit="1" customWidth="1"/>
    <col min="181" max="181" width="8.5546875" style="49" bestFit="1" customWidth="1"/>
    <col min="182" max="182" width="13" style="49" bestFit="1" customWidth="1"/>
    <col min="183" max="183" width="18" style="49" bestFit="1" customWidth="1"/>
    <col min="184" max="184" width="13" style="49" bestFit="1" customWidth="1"/>
    <col min="185" max="185" width="24.109375" style="49" bestFit="1" customWidth="1"/>
    <col min="186" max="186" width="22.88671875" style="49" bestFit="1" customWidth="1"/>
    <col min="187" max="187" width="28" style="49" bestFit="1" customWidth="1"/>
    <col min="188" max="188" width="6.33203125" style="49" bestFit="1" customWidth="1"/>
    <col min="189" max="189" width="17.88671875" style="49" customWidth="1"/>
    <col min="190" max="190" width="19.33203125" style="49" bestFit="1" customWidth="1"/>
    <col min="191" max="191" width="8.5546875" style="49" bestFit="1" customWidth="1"/>
    <col min="192" max="192" width="13" style="49" bestFit="1" customWidth="1"/>
    <col min="193" max="193" width="18" style="49" bestFit="1" customWidth="1"/>
    <col min="194" max="194" width="13" style="49" bestFit="1" customWidth="1"/>
    <col min="195" max="195" width="24.109375" style="49" bestFit="1" customWidth="1"/>
    <col min="196" max="196" width="22.88671875" style="49" bestFit="1" customWidth="1"/>
    <col min="197" max="197" width="28" style="49" bestFit="1" customWidth="1"/>
    <col min="198" max="16384" width="9.109375" style="49"/>
  </cols>
  <sheetData>
    <row r="1" spans="1:216" s="299" customFormat="1" ht="27.75" customHeight="1">
      <c r="A1" s="296"/>
      <c r="B1" s="296"/>
      <c r="C1" s="297"/>
      <c r="D1" s="297"/>
      <c r="E1" s="297"/>
      <c r="F1" s="297"/>
      <c r="G1" s="297"/>
      <c r="H1" s="297"/>
      <c r="I1" s="407" t="s">
        <v>403</v>
      </c>
      <c r="J1" s="408"/>
      <c r="K1" s="408"/>
      <c r="L1" s="407" t="s">
        <v>456</v>
      </c>
      <c r="M1" s="408"/>
      <c r="N1" s="407" t="s">
        <v>457</v>
      </c>
      <c r="O1" s="408"/>
      <c r="P1" s="408"/>
      <c r="Q1" s="408"/>
      <c r="R1" s="408"/>
      <c r="S1" s="408"/>
      <c r="T1" s="408"/>
      <c r="U1" s="408"/>
      <c r="V1" s="409" t="s">
        <v>404</v>
      </c>
      <c r="W1" s="410"/>
      <c r="X1" s="410"/>
      <c r="Y1" s="410"/>
      <c r="Z1" s="410"/>
      <c r="AA1" s="410"/>
      <c r="AB1" s="410"/>
      <c r="AC1" s="410"/>
      <c r="AD1" s="410"/>
      <c r="AE1" s="410"/>
      <c r="AF1" s="410"/>
      <c r="AG1" s="410"/>
      <c r="AH1" s="410"/>
      <c r="AI1" s="410"/>
      <c r="AJ1" s="410"/>
      <c r="AK1" s="410"/>
      <c r="AL1" s="410"/>
      <c r="AM1" s="410"/>
      <c r="AN1" s="410"/>
      <c r="AO1" s="407" t="s">
        <v>405</v>
      </c>
      <c r="AP1" s="408"/>
      <c r="AQ1" s="408"/>
      <c r="AR1" s="408"/>
      <c r="AS1" s="408"/>
      <c r="AT1" s="408"/>
      <c r="AU1" s="408"/>
      <c r="AV1" s="408"/>
      <c r="AW1" s="408"/>
      <c r="AX1" s="408"/>
      <c r="AY1" s="408"/>
      <c r="AZ1" s="409" t="s">
        <v>406</v>
      </c>
      <c r="BA1" s="410"/>
      <c r="BB1" s="410"/>
      <c r="BC1" s="410"/>
      <c r="BD1" s="410"/>
      <c r="BE1" s="410"/>
      <c r="BF1" s="298" t="s">
        <v>161</v>
      </c>
      <c r="BG1" s="411" t="s">
        <v>734</v>
      </c>
      <c r="BH1" s="412"/>
      <c r="BI1" s="407" t="s">
        <v>407</v>
      </c>
      <c r="BJ1" s="408"/>
      <c r="BK1" s="408"/>
      <c r="BL1" s="408"/>
      <c r="BM1" s="408"/>
      <c r="BN1" s="408"/>
      <c r="BO1" s="408"/>
      <c r="BP1" s="408"/>
      <c r="BQ1" s="408"/>
      <c r="BR1" s="408"/>
      <c r="BS1" s="408"/>
      <c r="BT1" s="413"/>
      <c r="BU1" s="416" t="s">
        <v>102</v>
      </c>
      <c r="BV1" s="417"/>
      <c r="BW1" s="417"/>
      <c r="BX1" s="417"/>
      <c r="BY1" s="417"/>
      <c r="BZ1" s="417"/>
      <c r="CA1" s="417"/>
      <c r="CB1" s="418"/>
      <c r="CC1" s="419" t="s">
        <v>408</v>
      </c>
      <c r="CD1" s="420"/>
      <c r="CE1" s="420"/>
      <c r="CF1" s="420"/>
      <c r="CG1" s="420"/>
      <c r="CH1" s="420"/>
      <c r="CI1" s="420"/>
      <c r="CJ1" s="420"/>
      <c r="CK1" s="420"/>
      <c r="CL1" s="420"/>
      <c r="CM1" s="420"/>
      <c r="CN1" s="420"/>
      <c r="CO1" s="420"/>
      <c r="CP1" s="420"/>
      <c r="CQ1" s="420"/>
      <c r="CR1" s="420"/>
      <c r="CS1" s="420"/>
      <c r="CT1" s="420"/>
      <c r="CU1" s="420"/>
      <c r="CV1" s="420"/>
      <c r="CW1" s="420"/>
      <c r="CX1" s="420"/>
      <c r="CY1" s="420"/>
      <c r="CZ1" s="421"/>
      <c r="DA1" s="422" t="s">
        <v>455</v>
      </c>
      <c r="DB1" s="423"/>
      <c r="DC1" s="423"/>
      <c r="DD1" s="423"/>
      <c r="DE1" s="423"/>
      <c r="DF1" s="423"/>
      <c r="DG1" s="423"/>
      <c r="DH1" s="423"/>
      <c r="DI1" s="423"/>
      <c r="DJ1" s="423"/>
      <c r="DK1" s="423"/>
      <c r="DL1" s="423"/>
      <c r="DM1" s="423"/>
      <c r="DN1" s="424"/>
      <c r="DO1" s="425" t="s">
        <v>409</v>
      </c>
      <c r="DP1" s="426"/>
      <c r="DQ1" s="426"/>
      <c r="DR1" s="426"/>
      <c r="DS1" s="426"/>
      <c r="DT1" s="426"/>
      <c r="DU1" s="426"/>
      <c r="DV1" s="427"/>
      <c r="DW1" s="428" t="s">
        <v>410</v>
      </c>
      <c r="DX1" s="429"/>
      <c r="DY1" s="430"/>
      <c r="DZ1" s="419" t="s">
        <v>411</v>
      </c>
      <c r="EA1" s="420"/>
      <c r="EB1" s="421"/>
      <c r="EC1" s="447" t="s">
        <v>412</v>
      </c>
      <c r="ED1" s="448"/>
      <c r="EE1" s="449"/>
      <c r="EF1" s="450" t="s">
        <v>413</v>
      </c>
      <c r="EG1" s="451"/>
      <c r="EH1" s="451"/>
      <c r="EI1" s="451"/>
      <c r="EJ1" s="451"/>
      <c r="EK1" s="451"/>
      <c r="EL1" s="451"/>
      <c r="EM1" s="451"/>
      <c r="EN1" s="452"/>
      <c r="EO1" s="431" t="s">
        <v>414</v>
      </c>
      <c r="EP1" s="432"/>
      <c r="EQ1" s="432"/>
      <c r="ER1" s="432"/>
      <c r="ES1" s="432"/>
      <c r="ET1" s="432"/>
      <c r="EU1" s="432"/>
      <c r="EV1" s="432"/>
      <c r="EW1" s="432"/>
      <c r="EX1" s="432"/>
      <c r="EY1" s="432"/>
      <c r="EZ1" s="432"/>
      <c r="FA1" s="432"/>
      <c r="FB1" s="432"/>
      <c r="FC1" s="432"/>
      <c r="FD1" s="432"/>
      <c r="FE1" s="432"/>
      <c r="FF1" s="432"/>
      <c r="FG1" s="433"/>
      <c r="FH1" s="434" t="s">
        <v>415</v>
      </c>
      <c r="FI1" s="408"/>
      <c r="FJ1" s="408"/>
      <c r="FK1" s="408"/>
      <c r="FL1" s="413"/>
      <c r="FM1" s="435" t="s">
        <v>416</v>
      </c>
      <c r="FN1" s="436"/>
      <c r="FO1" s="436"/>
      <c r="FP1" s="436"/>
      <c r="FQ1" s="436"/>
      <c r="FR1" s="436"/>
      <c r="FS1" s="436"/>
      <c r="FT1" s="436"/>
      <c r="FU1" s="436"/>
      <c r="FV1" s="437"/>
      <c r="FW1" s="438" t="s">
        <v>417</v>
      </c>
      <c r="FX1" s="439"/>
      <c r="FY1" s="439"/>
      <c r="FZ1" s="439"/>
      <c r="GA1" s="439"/>
      <c r="GB1" s="439"/>
      <c r="GC1" s="439"/>
      <c r="GD1" s="439"/>
      <c r="GE1" s="439"/>
      <c r="GF1" s="440"/>
      <c r="GG1" s="441" t="s">
        <v>430</v>
      </c>
      <c r="GH1" s="442"/>
      <c r="GI1" s="442"/>
      <c r="GJ1" s="442"/>
      <c r="GK1" s="442"/>
      <c r="GL1" s="442"/>
      <c r="GM1" s="442"/>
      <c r="GN1" s="442"/>
      <c r="GO1" s="442"/>
      <c r="GP1" s="443"/>
      <c r="GQ1" s="444" t="s">
        <v>418</v>
      </c>
      <c r="GR1" s="445"/>
      <c r="GS1" s="445"/>
      <c r="GT1" s="445"/>
      <c r="GU1" s="445"/>
      <c r="GV1" s="445"/>
      <c r="GW1" s="445"/>
      <c r="GX1" s="445"/>
      <c r="GY1" s="445"/>
      <c r="GZ1" s="446"/>
      <c r="HA1" s="212"/>
      <c r="HB1" s="212"/>
      <c r="HC1" s="212"/>
      <c r="HD1" s="414" t="s">
        <v>753</v>
      </c>
      <c r="HE1" s="415"/>
      <c r="HF1" s="414" t="s">
        <v>754</v>
      </c>
      <c r="HG1" s="415"/>
      <c r="HH1" s="213" t="s">
        <v>755</v>
      </c>
    </row>
    <row r="2" spans="1:216" s="333" customFormat="1" ht="117.75" customHeight="1">
      <c r="A2" s="300" t="s">
        <v>787</v>
      </c>
      <c r="B2" s="300" t="s">
        <v>788</v>
      </c>
      <c r="C2" s="301" t="s">
        <v>726</v>
      </c>
      <c r="D2" s="301" t="s">
        <v>789</v>
      </c>
      <c r="E2" s="301" t="s">
        <v>790</v>
      </c>
      <c r="F2" s="302" t="s">
        <v>791</v>
      </c>
      <c r="G2" s="303" t="s">
        <v>792</v>
      </c>
      <c r="H2" s="304" t="s">
        <v>793</v>
      </c>
      <c r="I2" s="303" t="s">
        <v>794</v>
      </c>
      <c r="J2" s="305" t="s">
        <v>795</v>
      </c>
      <c r="K2" s="306" t="s">
        <v>796</v>
      </c>
      <c r="L2" s="307" t="s">
        <v>797</v>
      </c>
      <c r="M2" s="308" t="s">
        <v>798</v>
      </c>
      <c r="N2" s="303" t="s">
        <v>799</v>
      </c>
      <c r="O2" s="309" t="s">
        <v>800</v>
      </c>
      <c r="P2" s="303" t="s">
        <v>801</v>
      </c>
      <c r="Q2" s="310" t="s">
        <v>802</v>
      </c>
      <c r="R2" s="310" t="s">
        <v>803</v>
      </c>
      <c r="S2" s="310" t="s">
        <v>804</v>
      </c>
      <c r="T2" s="310" t="s">
        <v>805</v>
      </c>
      <c r="U2" s="311" t="s">
        <v>806</v>
      </c>
      <c r="V2" s="312" t="s">
        <v>807</v>
      </c>
      <c r="W2" s="303" t="s">
        <v>808</v>
      </c>
      <c r="X2" s="309" t="s">
        <v>809</v>
      </c>
      <c r="Y2" s="307" t="s">
        <v>810</v>
      </c>
      <c r="Z2" s="305" t="s">
        <v>811</v>
      </c>
      <c r="AA2" s="305" t="s">
        <v>812</v>
      </c>
      <c r="AB2" s="305" t="s">
        <v>813</v>
      </c>
      <c r="AC2" s="305" t="s">
        <v>814</v>
      </c>
      <c r="AD2" s="313" t="s">
        <v>815</v>
      </c>
      <c r="AE2" s="305" t="s">
        <v>419</v>
      </c>
      <c r="AF2" s="305" t="s">
        <v>420</v>
      </c>
      <c r="AG2" s="305" t="s">
        <v>421</v>
      </c>
      <c r="AH2" s="305" t="s">
        <v>422</v>
      </c>
      <c r="AI2" s="305" t="s">
        <v>423</v>
      </c>
      <c r="AJ2" s="305" t="s">
        <v>424</v>
      </c>
      <c r="AK2" s="305" t="s">
        <v>425</v>
      </c>
      <c r="AL2" s="305" t="s">
        <v>426</v>
      </c>
      <c r="AM2" s="310" t="s">
        <v>427</v>
      </c>
      <c r="AN2" s="309" t="s">
        <v>428</v>
      </c>
      <c r="AO2" s="307" t="s">
        <v>816</v>
      </c>
      <c r="AP2" s="305" t="s">
        <v>817</v>
      </c>
      <c r="AQ2" s="308" t="s">
        <v>1</v>
      </c>
      <c r="AR2" s="303" t="s">
        <v>818</v>
      </c>
      <c r="AS2" s="310" t="s">
        <v>819</v>
      </c>
      <c r="AT2" s="309" t="s">
        <v>820</v>
      </c>
      <c r="AU2" s="303" t="s">
        <v>821</v>
      </c>
      <c r="AV2" s="310" t="s">
        <v>822</v>
      </c>
      <c r="AW2" s="309" t="s">
        <v>823</v>
      </c>
      <c r="AX2" s="307" t="s">
        <v>824</v>
      </c>
      <c r="AY2" s="306" t="s">
        <v>825</v>
      </c>
      <c r="AZ2" s="307" t="s">
        <v>89</v>
      </c>
      <c r="BA2" s="314" t="s">
        <v>826</v>
      </c>
      <c r="BB2" s="314" t="s">
        <v>827</v>
      </c>
      <c r="BC2" s="314" t="s">
        <v>828</v>
      </c>
      <c r="BD2" s="314" t="s">
        <v>829</v>
      </c>
      <c r="BE2" s="314" t="s">
        <v>429</v>
      </c>
      <c r="BF2" s="314" t="s">
        <v>635</v>
      </c>
      <c r="BG2" s="315" t="s">
        <v>830</v>
      </c>
      <c r="BH2" s="316" t="s">
        <v>831</v>
      </c>
      <c r="BI2" s="317" t="s">
        <v>832</v>
      </c>
      <c r="BJ2" s="315" t="s">
        <v>833</v>
      </c>
      <c r="BK2" s="315" t="s">
        <v>834</v>
      </c>
      <c r="BL2" s="315" t="s">
        <v>835</v>
      </c>
      <c r="BM2" s="315" t="s">
        <v>836</v>
      </c>
      <c r="BN2" s="315" t="s">
        <v>837</v>
      </c>
      <c r="BO2" s="315" t="s">
        <v>838</v>
      </c>
      <c r="BP2" s="315" t="s">
        <v>839</v>
      </c>
      <c r="BQ2" s="315" t="s">
        <v>840</v>
      </c>
      <c r="BR2" s="315" t="s">
        <v>841</v>
      </c>
      <c r="BS2" s="315" t="s">
        <v>842</v>
      </c>
      <c r="BT2" s="318" t="s">
        <v>843</v>
      </c>
      <c r="BU2" s="307" t="s">
        <v>844</v>
      </c>
      <c r="BV2" s="305" t="s">
        <v>845</v>
      </c>
      <c r="BW2" s="315" t="s">
        <v>846</v>
      </c>
      <c r="BX2" s="310" t="s">
        <v>847</v>
      </c>
      <c r="BY2" s="307" t="s">
        <v>848</v>
      </c>
      <c r="BZ2" s="305" t="s">
        <v>849</v>
      </c>
      <c r="CA2" s="307" t="s">
        <v>1027</v>
      </c>
      <c r="CB2" s="305" t="s">
        <v>1028</v>
      </c>
      <c r="CC2" s="319" t="s">
        <v>850</v>
      </c>
      <c r="CD2" s="320" t="s">
        <v>851</v>
      </c>
      <c r="CE2" s="319" t="s">
        <v>640</v>
      </c>
      <c r="CF2" s="320" t="s">
        <v>852</v>
      </c>
      <c r="CG2" s="319" t="s">
        <v>641</v>
      </c>
      <c r="CH2" s="320" t="s">
        <v>853</v>
      </c>
      <c r="CI2" s="319" t="s">
        <v>642</v>
      </c>
      <c r="CJ2" s="320" t="s">
        <v>854</v>
      </c>
      <c r="CK2" s="319" t="s">
        <v>643</v>
      </c>
      <c r="CL2" s="320" t="s">
        <v>855</v>
      </c>
      <c r="CM2" s="319" t="s">
        <v>644</v>
      </c>
      <c r="CN2" s="320" t="s">
        <v>856</v>
      </c>
      <c r="CO2" s="319" t="s">
        <v>645</v>
      </c>
      <c r="CP2" s="320" t="s">
        <v>857</v>
      </c>
      <c r="CQ2" s="319" t="s">
        <v>646</v>
      </c>
      <c r="CR2" s="320" t="s">
        <v>858</v>
      </c>
      <c r="CS2" s="215" t="s">
        <v>759</v>
      </c>
      <c r="CT2" s="321" t="s">
        <v>760</v>
      </c>
      <c r="CU2" s="215" t="s">
        <v>780</v>
      </c>
      <c r="CV2" s="321" t="s">
        <v>781</v>
      </c>
      <c r="CW2" s="215" t="s">
        <v>647</v>
      </c>
      <c r="CX2" s="321" t="s">
        <v>859</v>
      </c>
      <c r="CY2" s="340" t="s">
        <v>648</v>
      </c>
      <c r="CZ2" s="339" t="s">
        <v>860</v>
      </c>
      <c r="DA2" s="322" t="s">
        <v>861</v>
      </c>
      <c r="DB2" s="323" t="s">
        <v>862</v>
      </c>
      <c r="DC2" s="322" t="s">
        <v>863</v>
      </c>
      <c r="DD2" s="323" t="s">
        <v>864</v>
      </c>
      <c r="DE2" s="322" t="s">
        <v>865</v>
      </c>
      <c r="DF2" s="323" t="s">
        <v>866</v>
      </c>
      <c r="DG2" s="322" t="s">
        <v>867</v>
      </c>
      <c r="DH2" s="323" t="s">
        <v>731</v>
      </c>
      <c r="DI2" s="322" t="s">
        <v>868</v>
      </c>
      <c r="DJ2" s="323" t="s">
        <v>869</v>
      </c>
      <c r="DK2" s="343" t="s">
        <v>649</v>
      </c>
      <c r="DL2" s="344" t="s">
        <v>870</v>
      </c>
      <c r="DM2" s="343" t="s">
        <v>871</v>
      </c>
      <c r="DN2" s="324" t="s">
        <v>872</v>
      </c>
      <c r="DO2" s="325" t="s">
        <v>650</v>
      </c>
      <c r="DP2" s="343" t="s">
        <v>873</v>
      </c>
      <c r="DQ2" s="343" t="s">
        <v>651</v>
      </c>
      <c r="DR2" s="343" t="s">
        <v>874</v>
      </c>
      <c r="DS2" s="340" t="s">
        <v>761</v>
      </c>
      <c r="DT2" s="340" t="s">
        <v>762</v>
      </c>
      <c r="DU2" s="340" t="s">
        <v>652</v>
      </c>
      <c r="DV2" s="346" t="s">
        <v>875</v>
      </c>
      <c r="DW2" s="326" t="s">
        <v>876</v>
      </c>
      <c r="DX2" s="327" t="s">
        <v>877</v>
      </c>
      <c r="DY2" s="328" t="s">
        <v>878</v>
      </c>
      <c r="DZ2" s="326" t="s">
        <v>879</v>
      </c>
      <c r="EA2" s="327" t="s">
        <v>880</v>
      </c>
      <c r="EB2" s="328" t="s">
        <v>881</v>
      </c>
      <c r="EC2" s="329" t="s">
        <v>882</v>
      </c>
      <c r="ED2" s="221" t="s">
        <v>883</v>
      </c>
      <c r="EE2" s="330" t="s">
        <v>884</v>
      </c>
      <c r="EF2" s="326" t="s">
        <v>885</v>
      </c>
      <c r="EG2" s="305" t="s">
        <v>886</v>
      </c>
      <c r="EH2" s="305" t="s">
        <v>887</v>
      </c>
      <c r="EI2" s="305" t="s">
        <v>888</v>
      </c>
      <c r="EJ2" s="305" t="s">
        <v>889</v>
      </c>
      <c r="EK2" s="305" t="s">
        <v>890</v>
      </c>
      <c r="EL2" s="305" t="s">
        <v>891</v>
      </c>
      <c r="EM2" s="305" t="s">
        <v>892</v>
      </c>
      <c r="EN2" s="328" t="s">
        <v>893</v>
      </c>
      <c r="EO2" s="326" t="s">
        <v>894</v>
      </c>
      <c r="EP2" s="327" t="s">
        <v>895</v>
      </c>
      <c r="EQ2" s="305" t="s">
        <v>896</v>
      </c>
      <c r="ER2" s="305" t="s">
        <v>897</v>
      </c>
      <c r="ES2" s="305" t="s">
        <v>898</v>
      </c>
      <c r="ET2" s="305" t="s">
        <v>899</v>
      </c>
      <c r="EU2" s="305" t="s">
        <v>900</v>
      </c>
      <c r="EV2" s="305" t="s">
        <v>901</v>
      </c>
      <c r="EW2" s="305" t="s">
        <v>902</v>
      </c>
      <c r="EX2" s="327" t="s">
        <v>903</v>
      </c>
      <c r="EY2" s="305" t="s">
        <v>904</v>
      </c>
      <c r="EZ2" s="305" t="s">
        <v>905</v>
      </c>
      <c r="FA2" s="310" t="s">
        <v>906</v>
      </c>
      <c r="FB2" s="331" t="s">
        <v>907</v>
      </c>
      <c r="FC2" s="310" t="s">
        <v>908</v>
      </c>
      <c r="FD2" s="310" t="s">
        <v>909</v>
      </c>
      <c r="FE2" s="307" t="s">
        <v>910</v>
      </c>
      <c r="FF2" s="305" t="s">
        <v>911</v>
      </c>
      <c r="FG2" s="306" t="s">
        <v>912</v>
      </c>
      <c r="FH2" s="338" t="s">
        <v>913</v>
      </c>
      <c r="FI2" s="315" t="s">
        <v>914</v>
      </c>
      <c r="FJ2" s="315" t="s">
        <v>915</v>
      </c>
      <c r="FK2" s="315" t="s">
        <v>916</v>
      </c>
      <c r="FL2" s="306" t="s">
        <v>917</v>
      </c>
      <c r="FM2" s="332" t="s">
        <v>918</v>
      </c>
      <c r="FN2" s="305" t="s">
        <v>919</v>
      </c>
      <c r="FO2" s="305" t="s">
        <v>920</v>
      </c>
      <c r="FP2" s="305" t="s">
        <v>921</v>
      </c>
      <c r="FQ2" s="305" t="s">
        <v>922</v>
      </c>
      <c r="FR2" s="215" t="s">
        <v>763</v>
      </c>
      <c r="FS2" s="305" t="s">
        <v>923</v>
      </c>
      <c r="FT2" s="305" t="s">
        <v>924</v>
      </c>
      <c r="FU2" s="305" t="s">
        <v>925</v>
      </c>
      <c r="FV2" s="306" t="s">
        <v>926</v>
      </c>
      <c r="FW2" s="326" t="s">
        <v>927</v>
      </c>
      <c r="FX2" s="305" t="s">
        <v>928</v>
      </c>
      <c r="FY2" s="305" t="s">
        <v>929</v>
      </c>
      <c r="FZ2" s="305" t="s">
        <v>930</v>
      </c>
      <c r="GA2" s="305" t="s">
        <v>931</v>
      </c>
      <c r="GB2" s="305" t="s">
        <v>932</v>
      </c>
      <c r="GC2" s="305" t="s">
        <v>933</v>
      </c>
      <c r="GD2" s="305" t="s">
        <v>934</v>
      </c>
      <c r="GE2" s="305" t="s">
        <v>935</v>
      </c>
      <c r="GF2" s="306" t="s">
        <v>936</v>
      </c>
      <c r="GG2" s="317" t="s">
        <v>937</v>
      </c>
      <c r="GH2" s="305" t="s">
        <v>938</v>
      </c>
      <c r="GI2" s="305" t="s">
        <v>939</v>
      </c>
      <c r="GJ2" s="305" t="s">
        <v>940</v>
      </c>
      <c r="GK2" s="305" t="s">
        <v>941</v>
      </c>
      <c r="GL2" s="305" t="s">
        <v>942</v>
      </c>
      <c r="GM2" s="305" t="s">
        <v>943</v>
      </c>
      <c r="GN2" s="305" t="s">
        <v>944</v>
      </c>
      <c r="GO2" s="305" t="s">
        <v>945</v>
      </c>
      <c r="GP2" s="306" t="s">
        <v>946</v>
      </c>
      <c r="GQ2" s="326" t="s">
        <v>947</v>
      </c>
      <c r="GR2" s="305" t="s">
        <v>948</v>
      </c>
      <c r="GS2" s="305" t="s">
        <v>949</v>
      </c>
      <c r="GT2" s="305" t="s">
        <v>950</v>
      </c>
      <c r="GU2" s="305" t="s">
        <v>951</v>
      </c>
      <c r="GV2" s="305" t="s">
        <v>952</v>
      </c>
      <c r="GW2" s="305" t="s">
        <v>953</v>
      </c>
      <c r="GX2" s="305" t="s">
        <v>954</v>
      </c>
      <c r="GY2" s="305" t="s">
        <v>955</v>
      </c>
      <c r="GZ2" s="308" t="s">
        <v>956</v>
      </c>
      <c r="HA2" s="214" t="s">
        <v>756</v>
      </c>
      <c r="HB2" s="214" t="s">
        <v>757</v>
      </c>
      <c r="HC2" s="214" t="s">
        <v>758</v>
      </c>
      <c r="HD2" s="216" t="s">
        <v>764</v>
      </c>
      <c r="HE2" s="216" t="s">
        <v>765</v>
      </c>
      <c r="HF2" s="216" t="s">
        <v>766</v>
      </c>
      <c r="HG2" s="216" t="s">
        <v>767</v>
      </c>
      <c r="HH2" s="216" t="s">
        <v>768</v>
      </c>
    </row>
    <row r="3" spans="1:216" s="65" customFormat="1" ht="37.200000000000003" customHeight="1">
      <c r="A3" s="52" t="s">
        <v>431</v>
      </c>
      <c r="B3" s="53" t="s">
        <v>432</v>
      </c>
      <c r="C3" s="177" t="s">
        <v>727</v>
      </c>
      <c r="D3" s="94" t="s">
        <v>565</v>
      </c>
      <c r="E3" s="94" t="s">
        <v>592</v>
      </c>
      <c r="F3" s="54" t="s">
        <v>433</v>
      </c>
      <c r="G3" s="55" t="s">
        <v>567</v>
      </c>
      <c r="H3" s="56"/>
      <c r="I3" s="57" t="s">
        <v>568</v>
      </c>
      <c r="J3" s="58" t="s">
        <v>569</v>
      </c>
      <c r="K3" s="59" t="s">
        <v>570</v>
      </c>
      <c r="L3" s="55" t="s">
        <v>571</v>
      </c>
      <c r="M3" s="60" t="s">
        <v>572</v>
      </c>
      <c r="N3" s="55" t="s">
        <v>573</v>
      </c>
      <c r="O3" s="60" t="s">
        <v>574</v>
      </c>
      <c r="P3" s="55" t="s">
        <v>575</v>
      </c>
      <c r="Q3" s="61" t="s">
        <v>576</v>
      </c>
      <c r="R3" s="61" t="s">
        <v>577</v>
      </c>
      <c r="S3" s="61" t="s">
        <v>578</v>
      </c>
      <c r="T3" s="61" t="s">
        <v>590</v>
      </c>
      <c r="U3" s="62" t="s">
        <v>579</v>
      </c>
      <c r="V3" s="55" t="s">
        <v>580</v>
      </c>
      <c r="W3" s="63" t="s">
        <v>581</v>
      </c>
      <c r="X3" s="60" t="s">
        <v>582</v>
      </c>
      <c r="Y3" s="55" t="s">
        <v>583</v>
      </c>
      <c r="Z3" s="61" t="s">
        <v>584</v>
      </c>
      <c r="AA3" s="61" t="s">
        <v>585</v>
      </c>
      <c r="AB3" s="61" t="s">
        <v>586</v>
      </c>
      <c r="AC3" s="61" t="s">
        <v>587</v>
      </c>
      <c r="AD3" s="60" t="s">
        <v>588</v>
      </c>
      <c r="AE3" s="61" t="s">
        <v>537</v>
      </c>
      <c r="AF3" s="61" t="s">
        <v>527</v>
      </c>
      <c r="AG3" s="61" t="s">
        <v>538</v>
      </c>
      <c r="AH3" s="61" t="s">
        <v>539</v>
      </c>
      <c r="AI3" s="61" t="s">
        <v>540</v>
      </c>
      <c r="AJ3" s="61" t="s">
        <v>541</v>
      </c>
      <c r="AK3" s="61" t="s">
        <v>542</v>
      </c>
      <c r="AL3" s="61" t="s">
        <v>543</v>
      </c>
      <c r="AM3" s="62" t="s">
        <v>544</v>
      </c>
      <c r="AN3" s="60" t="s">
        <v>530</v>
      </c>
      <c r="AO3" s="63" t="s">
        <v>523</v>
      </c>
      <c r="AP3" s="61" t="s">
        <v>535</v>
      </c>
      <c r="AQ3" s="60" t="s">
        <v>536</v>
      </c>
      <c r="AR3" s="55" t="s">
        <v>524</v>
      </c>
      <c r="AS3" s="61" t="s">
        <v>529</v>
      </c>
      <c r="AT3" s="60" t="s">
        <v>531</v>
      </c>
      <c r="AU3" s="55" t="s">
        <v>525</v>
      </c>
      <c r="AV3" s="61" t="s">
        <v>532</v>
      </c>
      <c r="AW3" s="60" t="s">
        <v>533</v>
      </c>
      <c r="AX3" s="55" t="s">
        <v>526</v>
      </c>
      <c r="AY3" s="60" t="s">
        <v>534</v>
      </c>
      <c r="AZ3" s="55" t="s">
        <v>589</v>
      </c>
      <c r="BA3" s="243" t="s">
        <v>779</v>
      </c>
      <c r="BB3" s="243" t="s">
        <v>779</v>
      </c>
      <c r="BC3" s="243" t="s">
        <v>779</v>
      </c>
      <c r="BD3" s="243" t="s">
        <v>779</v>
      </c>
      <c r="BE3" s="243" t="s">
        <v>779</v>
      </c>
      <c r="BF3" s="243" t="s">
        <v>779</v>
      </c>
      <c r="BG3" s="61" t="s">
        <v>772</v>
      </c>
      <c r="BH3" s="60" t="s">
        <v>773</v>
      </c>
      <c r="BI3" s="55" t="s">
        <v>545</v>
      </c>
      <c r="BJ3" s="61" t="s">
        <v>546</v>
      </c>
      <c r="BK3" s="61" t="s">
        <v>547</v>
      </c>
      <c r="BL3" s="61" t="s">
        <v>548</v>
      </c>
      <c r="BM3" s="61" t="s">
        <v>549</v>
      </c>
      <c r="BN3" s="61" t="s">
        <v>550</v>
      </c>
      <c r="BO3" s="61" t="s">
        <v>551</v>
      </c>
      <c r="BP3" s="61" t="s">
        <v>552</v>
      </c>
      <c r="BQ3" s="61" t="s">
        <v>528</v>
      </c>
      <c r="BR3" s="61" t="s">
        <v>553</v>
      </c>
      <c r="BS3" s="61" t="s">
        <v>554</v>
      </c>
      <c r="BT3" s="60" t="s">
        <v>555</v>
      </c>
      <c r="BU3" s="63" t="s">
        <v>556</v>
      </c>
      <c r="BV3" s="61" t="s">
        <v>557</v>
      </c>
      <c r="BW3" s="61" t="s">
        <v>558</v>
      </c>
      <c r="BX3" s="62" t="s">
        <v>559</v>
      </c>
      <c r="BY3" s="61" t="s">
        <v>957</v>
      </c>
      <c r="BZ3" s="61" t="s">
        <v>958</v>
      </c>
      <c r="CA3" s="62" t="s">
        <v>1029</v>
      </c>
      <c r="CB3" s="60" t="s">
        <v>1030</v>
      </c>
      <c r="CC3" s="292" t="s">
        <v>778</v>
      </c>
      <c r="CD3" s="64" t="s">
        <v>778</v>
      </c>
      <c r="CE3" s="64" t="s">
        <v>778</v>
      </c>
      <c r="CF3" s="64" t="s">
        <v>778</v>
      </c>
      <c r="CG3" s="64" t="s">
        <v>778</v>
      </c>
      <c r="CH3" s="64" t="s">
        <v>778</v>
      </c>
      <c r="CI3" s="64" t="s">
        <v>778</v>
      </c>
      <c r="CJ3" s="64" t="s">
        <v>778</v>
      </c>
      <c r="CK3" s="64" t="s">
        <v>778</v>
      </c>
      <c r="CL3" s="64" t="s">
        <v>778</v>
      </c>
      <c r="CM3" s="64" t="s">
        <v>778</v>
      </c>
      <c r="CN3" s="64" t="s">
        <v>778</v>
      </c>
      <c r="CO3" s="64" t="s">
        <v>778</v>
      </c>
      <c r="CP3" s="64" t="s">
        <v>778</v>
      </c>
      <c r="CQ3" s="64" t="s">
        <v>778</v>
      </c>
      <c r="CR3" s="295" t="s">
        <v>778</v>
      </c>
      <c r="CS3" s="64" t="s">
        <v>778</v>
      </c>
      <c r="CT3" s="64" t="s">
        <v>778</v>
      </c>
      <c r="CU3" s="64" t="s">
        <v>778</v>
      </c>
      <c r="CV3" s="64" t="s">
        <v>778</v>
      </c>
      <c r="CW3" s="64" t="s">
        <v>778</v>
      </c>
      <c r="CX3" s="64" t="s">
        <v>778</v>
      </c>
      <c r="CY3" s="64" t="s">
        <v>778</v>
      </c>
      <c r="CZ3" s="56" t="s">
        <v>778</v>
      </c>
      <c r="DA3" s="292" t="s">
        <v>778</v>
      </c>
      <c r="DB3" s="64" t="s">
        <v>778</v>
      </c>
      <c r="DC3" s="64" t="s">
        <v>778</v>
      </c>
      <c r="DD3" s="64" t="s">
        <v>778</v>
      </c>
      <c r="DE3" s="64" t="s">
        <v>778</v>
      </c>
      <c r="DF3" s="64" t="s">
        <v>778</v>
      </c>
      <c r="DG3" s="64" t="s">
        <v>778</v>
      </c>
      <c r="DH3" s="64" t="s">
        <v>778</v>
      </c>
      <c r="DI3" s="64" t="s">
        <v>778</v>
      </c>
      <c r="DJ3" s="64" t="s">
        <v>778</v>
      </c>
      <c r="DK3" s="64" t="s">
        <v>778</v>
      </c>
      <c r="DL3" s="64" t="s">
        <v>778</v>
      </c>
      <c r="DM3" s="334" t="s">
        <v>959</v>
      </c>
      <c r="DN3" s="341" t="s">
        <v>959</v>
      </c>
      <c r="DO3" s="345" t="s">
        <v>959</v>
      </c>
      <c r="DP3" s="334" t="s">
        <v>959</v>
      </c>
      <c r="DQ3" s="334" t="s">
        <v>959</v>
      </c>
      <c r="DR3" s="334" t="s">
        <v>959</v>
      </c>
      <c r="DS3" s="334" t="s">
        <v>779</v>
      </c>
      <c r="DT3" s="334" t="s">
        <v>779</v>
      </c>
      <c r="DU3" s="334" t="s">
        <v>779</v>
      </c>
      <c r="DV3" s="292" t="s">
        <v>959</v>
      </c>
      <c r="DW3" s="61" t="s">
        <v>637</v>
      </c>
      <c r="DX3" s="61" t="s">
        <v>560</v>
      </c>
      <c r="DY3" s="61" t="s">
        <v>561</v>
      </c>
      <c r="DZ3" s="61" t="s">
        <v>960</v>
      </c>
      <c r="EA3" s="61" t="s">
        <v>961</v>
      </c>
      <c r="EB3" s="61" t="s">
        <v>962</v>
      </c>
      <c r="EC3" s="64" t="s">
        <v>563</v>
      </c>
      <c r="ED3" s="295" t="s">
        <v>434</v>
      </c>
      <c r="EE3" s="64" t="s">
        <v>435</v>
      </c>
      <c r="EF3" s="61" t="s">
        <v>963</v>
      </c>
      <c r="EG3" s="61" t="s">
        <v>964</v>
      </c>
      <c r="EH3" s="61" t="s">
        <v>965</v>
      </c>
      <c r="EI3" s="61" t="s">
        <v>562</v>
      </c>
      <c r="EJ3" s="61" t="s">
        <v>966</v>
      </c>
      <c r="EK3" s="61" t="s">
        <v>967</v>
      </c>
      <c r="EL3" s="61" t="s">
        <v>968</v>
      </c>
      <c r="EM3" s="61" t="s">
        <v>969</v>
      </c>
      <c r="EN3" s="61" t="s">
        <v>435</v>
      </c>
      <c r="EO3" s="61" t="s">
        <v>970</v>
      </c>
      <c r="EP3" s="61" t="s">
        <v>971</v>
      </c>
      <c r="EQ3" s="61" t="s">
        <v>972</v>
      </c>
      <c r="ER3" s="63" t="s">
        <v>973</v>
      </c>
      <c r="ES3" s="61" t="s">
        <v>564</v>
      </c>
      <c r="ET3" s="61" t="s">
        <v>974</v>
      </c>
      <c r="EU3" s="63" t="s">
        <v>975</v>
      </c>
      <c r="EV3" s="61" t="s">
        <v>976</v>
      </c>
      <c r="EW3" s="61" t="s">
        <v>977</v>
      </c>
      <c r="EX3" s="63" t="s">
        <v>978</v>
      </c>
      <c r="EY3" s="61" t="s">
        <v>979</v>
      </c>
      <c r="EZ3" s="61" t="s">
        <v>980</v>
      </c>
      <c r="FA3" s="61" t="s">
        <v>981</v>
      </c>
      <c r="FB3" s="61" t="s">
        <v>982</v>
      </c>
      <c r="FC3" s="63" t="s">
        <v>983</v>
      </c>
      <c r="FD3" s="61" t="s">
        <v>984</v>
      </c>
      <c r="FE3" s="61" t="s">
        <v>985</v>
      </c>
      <c r="FF3" s="61" t="s">
        <v>986</v>
      </c>
      <c r="FG3" s="62" t="s">
        <v>987</v>
      </c>
      <c r="FH3" s="244" t="s">
        <v>959</v>
      </c>
      <c r="FI3" s="61" t="s">
        <v>988</v>
      </c>
      <c r="FJ3" s="61" t="s">
        <v>989</v>
      </c>
      <c r="FK3" s="61" t="s">
        <v>990</v>
      </c>
      <c r="FL3" s="60" t="s">
        <v>991</v>
      </c>
      <c r="FM3" s="63" t="s">
        <v>436</v>
      </c>
      <c r="FN3" s="61" t="s">
        <v>992</v>
      </c>
      <c r="FO3" s="61" t="s">
        <v>437</v>
      </c>
      <c r="FP3" s="61" t="s">
        <v>993</v>
      </c>
      <c r="FQ3" s="61" t="s">
        <v>438</v>
      </c>
      <c r="FR3" s="61" t="s">
        <v>994</v>
      </c>
      <c r="FS3" s="61" t="s">
        <v>995</v>
      </c>
      <c r="FT3" s="61" t="s">
        <v>996</v>
      </c>
      <c r="FU3" s="61" t="s">
        <v>997</v>
      </c>
      <c r="FV3" s="60" t="s">
        <v>998</v>
      </c>
      <c r="FW3" s="63" t="s">
        <v>999</v>
      </c>
      <c r="FX3" s="61" t="s">
        <v>1000</v>
      </c>
      <c r="FY3" s="61" t="s">
        <v>1001</v>
      </c>
      <c r="FZ3" s="61" t="s">
        <v>1002</v>
      </c>
      <c r="GA3" s="61" t="s">
        <v>1003</v>
      </c>
      <c r="GB3" s="61" t="s">
        <v>1004</v>
      </c>
      <c r="GC3" s="61" t="s">
        <v>1005</v>
      </c>
      <c r="GD3" s="61" t="s">
        <v>1006</v>
      </c>
      <c r="GE3" s="61" t="s">
        <v>439</v>
      </c>
      <c r="GF3" s="60" t="s">
        <v>1007</v>
      </c>
      <c r="GG3" s="63" t="s">
        <v>1008</v>
      </c>
      <c r="GH3" s="61" t="s">
        <v>1009</v>
      </c>
      <c r="GI3" s="61" t="s">
        <v>1010</v>
      </c>
      <c r="GJ3" s="61" t="s">
        <v>1011</v>
      </c>
      <c r="GK3" s="61" t="s">
        <v>1012</v>
      </c>
      <c r="GL3" s="61" t="s">
        <v>1013</v>
      </c>
      <c r="GM3" s="61" t="s">
        <v>440</v>
      </c>
      <c r="GN3" s="61" t="s">
        <v>1014</v>
      </c>
      <c r="GO3" s="61" t="s">
        <v>441</v>
      </c>
      <c r="GP3" s="349" t="s">
        <v>1015</v>
      </c>
      <c r="GQ3" s="348" t="s">
        <v>1016</v>
      </c>
      <c r="GR3" s="347" t="s">
        <v>1017</v>
      </c>
      <c r="GS3" s="347" t="s">
        <v>1018</v>
      </c>
      <c r="GT3" s="347" t="s">
        <v>1019</v>
      </c>
      <c r="GU3" s="347" t="s">
        <v>1020</v>
      </c>
      <c r="GV3" s="347" t="s">
        <v>1021</v>
      </c>
      <c r="GW3" s="218" t="s">
        <v>1022</v>
      </c>
      <c r="GX3" s="350" t="s">
        <v>1023</v>
      </c>
      <c r="GY3" s="350" t="s">
        <v>1024</v>
      </c>
      <c r="GZ3" s="350" t="s">
        <v>1025</v>
      </c>
      <c r="HA3" s="219" t="s">
        <v>778</v>
      </c>
      <c r="HB3" s="219" t="s">
        <v>778</v>
      </c>
      <c r="HC3" s="217" t="s">
        <v>778</v>
      </c>
      <c r="HD3" s="217" t="s">
        <v>778</v>
      </c>
      <c r="HE3" s="217" t="s">
        <v>1026</v>
      </c>
      <c r="HF3" s="217" t="s">
        <v>1026</v>
      </c>
      <c r="HG3" s="217" t="s">
        <v>1026</v>
      </c>
      <c r="HH3" s="217" t="s">
        <v>1026</v>
      </c>
    </row>
    <row r="4" spans="1:216" s="102" customFormat="1" ht="30" customHeight="1">
      <c r="A4" s="95" t="s">
        <v>736</v>
      </c>
      <c r="B4" s="67" t="str">
        <f ca="1">INDIRECT($A$3&amp;$B3)</f>
        <v>新規・追加・減少・廃止・タイプ変更申込</v>
      </c>
      <c r="C4" s="171" t="str">
        <f ca="1">INDIRECT($A$3&amp;$C3)</f>
        <v>希望しない(本申込書のみ記載・送付してください)</v>
      </c>
      <c r="D4" s="67" t="str">
        <f ca="1">INDIRECT($A$3&amp;$D3)</f>
        <v>Ver.3.50</v>
      </c>
      <c r="E4" s="67" t="str">
        <f ca="1">INDIRECT($A$3&amp;$E3)</f>
        <v/>
      </c>
      <c r="F4" s="96"/>
      <c r="G4" s="68" t="str">
        <f ca="1">IF(INDIRECT($F$3&amp;G$3)="","",INDIRECT($F$3&amp;G$3))</f>
        <v>NTT西日本</v>
      </c>
      <c r="H4" s="97"/>
      <c r="I4" s="98">
        <f ca="1">INDIRECT($F$3&amp;I3)</f>
        <v>2024</v>
      </c>
      <c r="J4" s="99" t="str">
        <f ca="1">TEXT(INDIRECT($F$3&amp;J3),"dd")</f>
        <v>03</v>
      </c>
      <c r="K4" s="100" t="str">
        <f ca="1">TEXT(INDIRECT($F$3&amp;K3),"dd")</f>
        <v>07</v>
      </c>
      <c r="L4" s="101" t="str">
        <f ca="1">INDIRECT($F$3&amp;L3)</f>
        <v>カブシキガイシャセネ</v>
      </c>
      <c r="M4" s="70" t="str">
        <f ca="1">INDIRECT($F$3&amp;M3)</f>
        <v>株式会社CENE</v>
      </c>
      <c r="N4" s="98" t="str">
        <f t="shared" ref="N4:BY4" ca="1" si="0">IF(INDIRECT($F$3&amp;N$3)="","",INDIRECT($F$3&amp;N$3))</f>
        <v>150</v>
      </c>
      <c r="O4" s="100" t="str">
        <f t="shared" ca="1" si="0"/>
        <v>0001</v>
      </c>
      <c r="P4" s="101" t="str">
        <f t="shared" ca="1" si="0"/>
        <v>シブヤクジングウマエイッチョウメ</v>
      </c>
      <c r="Q4" s="99" t="str">
        <f t="shared" ca="1" si="0"/>
        <v>東京都</v>
      </c>
      <c r="R4" s="99" t="str">
        <f t="shared" ca="1" si="0"/>
        <v>渋谷区</v>
      </c>
      <c r="S4" s="99" t="str">
        <f ca="1">IF(INDIRECT($F$3&amp;S$3)="","",INDIRECT($F$3&amp;S$3))</f>
        <v>神宮前1丁目10−34　</v>
      </c>
      <c r="T4" s="99" t="str">
        <f t="shared" ca="1" si="0"/>
        <v>原宿セントラルプレイス2F</v>
      </c>
      <c r="U4" s="67" t="str">
        <f t="shared" ca="1" si="0"/>
        <v>□</v>
      </c>
      <c r="V4" s="70" t="str">
        <f t="shared" ca="1" si="0"/>
        <v>■</v>
      </c>
      <c r="W4" s="68" t="str">
        <f t="shared" ca="1" si="0"/>
        <v>150</v>
      </c>
      <c r="X4" s="71" t="str">
        <f t="shared" ca="1" si="0"/>
        <v>0001</v>
      </c>
      <c r="Y4" s="72" t="str">
        <f t="shared" ca="1" si="0"/>
        <v>シブヤクジングウマエイッチョウメ</v>
      </c>
      <c r="Z4" s="67" t="str">
        <f t="shared" ca="1" si="0"/>
        <v>東京都</v>
      </c>
      <c r="AA4" s="67" t="str">
        <f t="shared" ca="1" si="0"/>
        <v>渋谷区</v>
      </c>
      <c r="AB4" s="67" t="str">
        <f t="shared" ca="1" si="0"/>
        <v>神宮前1丁目10−34　</v>
      </c>
      <c r="AC4" s="67" t="str">
        <f t="shared" ca="1" si="0"/>
        <v>原宿セントラルプレイス2F</v>
      </c>
      <c r="AD4" s="70" t="str">
        <f ca="1">IF(INDIRECT($F$3&amp;AD$3)="","",INDIRECT($F$3&amp;AD$3))</f>
        <v>□</v>
      </c>
      <c r="AE4" s="68" t="str">
        <f t="shared" ca="1" si="0"/>
        <v/>
      </c>
      <c r="AF4" s="67" t="str">
        <f t="shared" ca="1" si="0"/>
        <v/>
      </c>
      <c r="AG4" s="67" t="str">
        <f t="shared" ca="1" si="0"/>
        <v/>
      </c>
      <c r="AH4" s="67" t="str">
        <f t="shared" ca="1" si="0"/>
        <v/>
      </c>
      <c r="AI4" s="67" t="str">
        <f t="shared" ca="1" si="0"/>
        <v/>
      </c>
      <c r="AJ4" s="67" t="str">
        <f t="shared" ca="1" si="0"/>
        <v/>
      </c>
      <c r="AK4" s="67" t="str">
        <f t="shared" ca="1" si="0"/>
        <v/>
      </c>
      <c r="AL4" s="67" t="str">
        <f t="shared" ca="1" si="0"/>
        <v/>
      </c>
      <c r="AM4" s="70" t="str">
        <f ca="1">IF(INDIRECT($F$3&amp;AM$3)="","",INDIRECT($F$3&amp;AM$3))</f>
        <v/>
      </c>
      <c r="AN4" s="71" t="str">
        <f ca="1">IF(INDIRECT($F$3&amp;AN$3)="","",INDIRECT($F$3&amp;AN$3))</f>
        <v/>
      </c>
      <c r="AO4" s="72" t="str">
        <f t="shared" ca="1" si="0"/>
        <v>本社</v>
      </c>
      <c r="AP4" s="67" t="str">
        <f t="shared" ca="1" si="0"/>
        <v>ヒライ　サトシ</v>
      </c>
      <c r="AQ4" s="70" t="str">
        <f t="shared" ca="1" si="0"/>
        <v>平井　聡</v>
      </c>
      <c r="AR4" s="68" t="str">
        <f t="shared" ca="1" si="0"/>
        <v>03</v>
      </c>
      <c r="AS4" s="67" t="str">
        <f t="shared" ca="1" si="0"/>
        <v>5456</v>
      </c>
      <c r="AT4" s="71" t="str">
        <f t="shared" ca="1" si="0"/>
        <v>5978</v>
      </c>
      <c r="AU4" s="68" t="str">
        <f t="shared" ca="1" si="0"/>
        <v>080</v>
      </c>
      <c r="AV4" s="67" t="str">
        <f t="shared" ca="1" si="0"/>
        <v>4184</v>
      </c>
      <c r="AW4" s="71" t="str">
        <f t="shared" ca="1" si="0"/>
        <v>9715</v>
      </c>
      <c r="AX4" s="72" t="str">
        <f t="shared" ca="1" si="0"/>
        <v>s-hirai</v>
      </c>
      <c r="AY4" s="71" t="str">
        <f t="shared" ca="1" si="0"/>
        <v>cene.jp</v>
      </c>
      <c r="AZ4" s="72" t="str">
        <f t="shared" ca="1" si="0"/>
        <v>■</v>
      </c>
      <c r="BA4" s="247" t="str">
        <f t="shared" ca="1" si="0"/>
        <v/>
      </c>
      <c r="BB4" s="247" t="str">
        <f t="shared" ca="1" si="0"/>
        <v/>
      </c>
      <c r="BC4" s="247" t="str">
        <f t="shared" ca="1" si="0"/>
        <v/>
      </c>
      <c r="BD4" s="247" t="str">
        <f t="shared" ca="1" si="0"/>
        <v/>
      </c>
      <c r="BE4" s="247" t="str">
        <f t="shared" ca="1" si="0"/>
        <v/>
      </c>
      <c r="BF4" s="247" t="str">
        <f t="shared" ca="1" si="0"/>
        <v/>
      </c>
      <c r="BG4" s="67" t="str">
        <f t="shared" ca="1" si="0"/>
        <v>□</v>
      </c>
      <c r="BH4" s="70" t="str">
        <f t="shared" ca="1" si="0"/>
        <v>■</v>
      </c>
      <c r="BI4" s="68" t="str">
        <f t="shared" ca="1" si="0"/>
        <v>□</v>
      </c>
      <c r="BJ4" s="67" t="str">
        <f t="shared" ca="1" si="0"/>
        <v/>
      </c>
      <c r="BK4" s="67" t="str">
        <f t="shared" ca="1" si="0"/>
        <v>□</v>
      </c>
      <c r="BL4" s="67" t="str">
        <f t="shared" ca="1" si="0"/>
        <v/>
      </c>
      <c r="BM4" s="67" t="str">
        <f t="shared" ca="1" si="0"/>
        <v>□</v>
      </c>
      <c r="BN4" s="67" t="str">
        <f t="shared" ca="1" si="0"/>
        <v/>
      </c>
      <c r="BO4" s="67" t="str">
        <f t="shared" ca="1" si="0"/>
        <v>■</v>
      </c>
      <c r="BP4" s="67">
        <f t="shared" ca="1" si="0"/>
        <v>1</v>
      </c>
      <c r="BQ4" s="67" t="str">
        <f t="shared" ca="1" si="0"/>
        <v>□</v>
      </c>
      <c r="BR4" s="67" t="str">
        <f t="shared" ca="1" si="0"/>
        <v/>
      </c>
      <c r="BS4" s="67" t="str">
        <f t="shared" ca="1" si="0"/>
        <v>□</v>
      </c>
      <c r="BT4" s="71" t="str">
        <f t="shared" ca="1" si="0"/>
        <v/>
      </c>
      <c r="BU4" s="72" t="str">
        <f t="shared" ca="1" si="0"/>
        <v>□</v>
      </c>
      <c r="BV4" s="67" t="str">
        <f t="shared" ca="1" si="0"/>
        <v/>
      </c>
      <c r="BW4" s="67" t="str">
        <f t="shared" ca="1" si="0"/>
        <v>□</v>
      </c>
      <c r="BX4" s="70" t="str">
        <f t="shared" ca="1" si="0"/>
        <v/>
      </c>
      <c r="BY4" s="291" t="str">
        <f t="shared" ca="1" si="0"/>
        <v>□</v>
      </c>
      <c r="BZ4" s="291" t="str">
        <f t="shared" ref="BZ4:DL4" ca="1" si="1">IF(INDIRECT($F$3&amp;BZ$3)="","",INDIRECT($F$3&amp;BZ$3))</f>
        <v/>
      </c>
      <c r="CA4" s="291" t="str">
        <f t="shared" ca="1" si="1"/>
        <v>□</v>
      </c>
      <c r="CB4" s="294" t="str">
        <f t="shared" ca="1" si="1"/>
        <v/>
      </c>
      <c r="CC4" s="293" t="str">
        <f t="shared" ca="1" si="1"/>
        <v/>
      </c>
      <c r="CD4" s="243" t="str">
        <f t="shared" ca="1" si="1"/>
        <v/>
      </c>
      <c r="CE4" s="243" t="str">
        <f t="shared" ca="1" si="1"/>
        <v/>
      </c>
      <c r="CF4" s="243" t="str">
        <f t="shared" ca="1" si="1"/>
        <v/>
      </c>
      <c r="CG4" s="243" t="str">
        <f t="shared" ca="1" si="1"/>
        <v/>
      </c>
      <c r="CH4" s="243" t="str">
        <f t="shared" ca="1" si="1"/>
        <v/>
      </c>
      <c r="CI4" s="243" t="str">
        <f t="shared" ca="1" si="1"/>
        <v/>
      </c>
      <c r="CJ4" s="243" t="str">
        <f t="shared" ca="1" si="1"/>
        <v/>
      </c>
      <c r="CK4" s="243" t="str">
        <f t="shared" ca="1" si="1"/>
        <v/>
      </c>
      <c r="CL4" s="243" t="str">
        <f t="shared" ca="1" si="1"/>
        <v/>
      </c>
      <c r="CM4" s="243" t="str">
        <f t="shared" ca="1" si="1"/>
        <v/>
      </c>
      <c r="CN4" s="243" t="str">
        <f t="shared" ca="1" si="1"/>
        <v/>
      </c>
      <c r="CO4" s="243" t="str">
        <f t="shared" ca="1" si="1"/>
        <v/>
      </c>
      <c r="CP4" s="243" t="str">
        <f t="shared" ca="1" si="1"/>
        <v/>
      </c>
      <c r="CQ4" s="243" t="str">
        <f t="shared" ca="1" si="1"/>
        <v/>
      </c>
      <c r="CR4" s="248" t="str">
        <f t="shared" ca="1" si="1"/>
        <v/>
      </c>
      <c r="CS4" s="243" t="str">
        <f t="shared" ca="1" si="1"/>
        <v/>
      </c>
      <c r="CT4" s="243" t="str">
        <f t="shared" ca="1" si="1"/>
        <v/>
      </c>
      <c r="CU4" s="243" t="str">
        <f t="shared" ca="1" si="1"/>
        <v/>
      </c>
      <c r="CV4" s="243" t="str">
        <f t="shared" ca="1" si="1"/>
        <v/>
      </c>
      <c r="CW4" s="243" t="str">
        <f t="shared" ca="1" si="1"/>
        <v/>
      </c>
      <c r="CX4" s="243" t="str">
        <f t="shared" ca="1" si="1"/>
        <v/>
      </c>
      <c r="CY4" s="243" t="str">
        <f t="shared" ca="1" si="1"/>
        <v/>
      </c>
      <c r="CZ4" s="245" t="str">
        <f t="shared" ca="1" si="1"/>
        <v/>
      </c>
      <c r="DA4" s="293" t="str">
        <f t="shared" ca="1" si="1"/>
        <v/>
      </c>
      <c r="DB4" s="243" t="str">
        <f t="shared" ca="1" si="1"/>
        <v/>
      </c>
      <c r="DC4" s="243" t="str">
        <f t="shared" ca="1" si="1"/>
        <v/>
      </c>
      <c r="DD4" s="243" t="str">
        <f t="shared" ca="1" si="1"/>
        <v/>
      </c>
      <c r="DE4" s="243" t="str">
        <f t="shared" ca="1" si="1"/>
        <v/>
      </c>
      <c r="DF4" s="243" t="str">
        <f t="shared" ca="1" si="1"/>
        <v/>
      </c>
      <c r="DG4" s="243" t="str">
        <f t="shared" ca="1" si="1"/>
        <v/>
      </c>
      <c r="DH4" s="243" t="str">
        <f t="shared" ca="1" si="1"/>
        <v/>
      </c>
      <c r="DI4" s="243" t="str">
        <f t="shared" ca="1" si="1"/>
        <v/>
      </c>
      <c r="DJ4" s="248" t="str">
        <f t="shared" ca="1" si="1"/>
        <v/>
      </c>
      <c r="DK4" s="243" t="str">
        <f t="shared" ca="1" si="1"/>
        <v/>
      </c>
      <c r="DL4" s="243" t="str">
        <f t="shared" ca="1" si="1"/>
        <v/>
      </c>
      <c r="DM4" s="335" t="str">
        <f t="shared" ref="DM4:EY4" ca="1" si="2">IF(INDIRECT($F$3&amp;DM$3)="","",INDIRECT($F$3&amp;DM$3))</f>
        <v/>
      </c>
      <c r="DN4" s="335" t="str">
        <f t="shared" ca="1" si="2"/>
        <v/>
      </c>
      <c r="DO4" s="335" t="str">
        <f t="shared" ca="1" si="2"/>
        <v/>
      </c>
      <c r="DP4" s="335" t="str">
        <f t="shared" ca="1" si="2"/>
        <v/>
      </c>
      <c r="DQ4" s="335" t="str">
        <f t="shared" ca="1" si="2"/>
        <v/>
      </c>
      <c r="DR4" s="335" t="str">
        <f t="shared" ca="1" si="2"/>
        <v/>
      </c>
      <c r="DS4" s="335" t="str">
        <f t="shared" ca="1" si="2"/>
        <v/>
      </c>
      <c r="DT4" s="335" t="str">
        <f t="shared" ca="1" si="2"/>
        <v/>
      </c>
      <c r="DU4" s="335" t="str">
        <f t="shared" ca="1" si="2"/>
        <v/>
      </c>
      <c r="DV4" s="342" t="str">
        <f t="shared" ca="1" si="2"/>
        <v/>
      </c>
      <c r="DW4" s="67">
        <f t="shared" ca="1" si="2"/>
        <v>2024</v>
      </c>
      <c r="DX4" s="67" t="str">
        <f ca="1">IF(INDIRECT($F$3&amp;DX$3)="","",TEXT(INDIRECT($F$3&amp;DX$3),"dd"))</f>
        <v>04</v>
      </c>
      <c r="DY4" s="67" t="str">
        <f ca="1">IF(INDIRECT($F$3&amp;DY$3)="","",TEXT(INDIRECT($F$3&amp;DY$3),"dd"))</f>
        <v>11</v>
      </c>
      <c r="DZ4" s="67">
        <f t="shared" ca="1" si="2"/>
        <v>2024</v>
      </c>
      <c r="EA4" s="67" t="str">
        <f ca="1">IF(INDIRECT($F$3&amp;EA$3)="","",TEXT(INDIRECT($F$3&amp;EA$3),"dd"))</f>
        <v>04</v>
      </c>
      <c r="EB4" s="67" t="str">
        <f ca="1">IF(INDIRECT($F$3&amp;EB$3)="","",TEXT(INDIRECT($F$3&amp;EB$3),"dd"))</f>
        <v>15</v>
      </c>
      <c r="EC4" s="335" t="str">
        <f t="shared" ca="1" si="2"/>
        <v/>
      </c>
      <c r="ED4" s="336" t="str">
        <f t="shared" ca="1" si="2"/>
        <v/>
      </c>
      <c r="EE4" s="335" t="str">
        <f t="shared" ca="1" si="2"/>
        <v>□</v>
      </c>
      <c r="EF4" s="67" t="str">
        <f t="shared" ca="1" si="2"/>
        <v>□</v>
      </c>
      <c r="EG4" s="67" t="str">
        <f t="shared" ca="1" si="2"/>
        <v>450</v>
      </c>
      <c r="EH4" s="67" t="str">
        <f t="shared" ca="1" si="2"/>
        <v>0002</v>
      </c>
      <c r="EI4" s="67" t="str">
        <f t="shared" ca="1" si="2"/>
        <v>ナゴヤシナカムラクメイエキイッチョウメ</v>
      </c>
      <c r="EJ4" s="67" t="str">
        <f t="shared" ca="1" si="2"/>
        <v>愛知県</v>
      </c>
      <c r="EK4" s="67" t="str">
        <f t="shared" ca="1" si="2"/>
        <v>名古屋市中村区</v>
      </c>
      <c r="EL4" s="67" t="str">
        <f t="shared" ca="1" si="2"/>
        <v>名駅1丁目１－３　タカシマヤゲートタワーモール5階</v>
      </c>
      <c r="EM4" s="67" t="str">
        <f t="shared" ca="1" si="2"/>
        <v/>
      </c>
      <c r="EN4" s="67" t="str">
        <f t="shared" ca="1" si="2"/>
        <v>□</v>
      </c>
      <c r="EO4" s="67" t="str">
        <f t="shared" ca="1" si="2"/>
        <v>□</v>
      </c>
      <c r="EP4" s="67" t="str">
        <f t="shared" ca="1" si="2"/>
        <v>□</v>
      </c>
      <c r="EQ4" s="67" t="str">
        <f t="shared" ca="1" si="2"/>
        <v>460</v>
      </c>
      <c r="ER4" s="72" t="str">
        <f t="shared" ca="1" si="2"/>
        <v>0004</v>
      </c>
      <c r="ES4" s="67" t="str">
        <f t="shared" ca="1" si="2"/>
        <v>ナゴヤシナカクシンサカエマチ</v>
      </c>
      <c r="ET4" s="67" t="str">
        <f t="shared" ca="1" si="2"/>
        <v>愛知県</v>
      </c>
      <c r="EU4" s="72" t="str">
        <f t="shared" ca="1" si="2"/>
        <v>名古屋市</v>
      </c>
      <c r="EV4" s="67" t="str">
        <f t="shared" ca="1" si="2"/>
        <v>中区新栄町２－１０</v>
      </c>
      <c r="EW4" s="67" t="str">
        <f t="shared" ca="1" si="2"/>
        <v/>
      </c>
      <c r="EX4" s="337" t="str">
        <f t="shared" ca="1" si="2"/>
        <v>□</v>
      </c>
      <c r="EY4" s="67" t="str">
        <f t="shared" ca="1" si="2"/>
        <v>NTT西日本ビジネスフロント㈱</v>
      </c>
      <c r="EZ4" s="67" t="str">
        <f ca="1">IF(INDIRECT($F$3&amp;EZ$3)="","",INDIRECT($F$3&amp;EZ$3))</f>
        <v>エバ　フミヤス</v>
      </c>
      <c r="FA4" s="67" t="str">
        <f t="shared" ref="FA4:GV4" ca="1" si="3">IF(INDIRECT($F$3&amp;FA$3)="","",INDIRECT($F$3&amp;FA$3))</f>
        <v>江場　史康</v>
      </c>
      <c r="FB4" s="67" t="str">
        <f t="shared" ca="1" si="3"/>
        <v>052</v>
      </c>
      <c r="FC4" s="72" t="str">
        <f t="shared" ca="1" si="3"/>
        <v>387</v>
      </c>
      <c r="FD4" s="67" t="str">
        <f t="shared" ca="1" si="3"/>
        <v>6261</v>
      </c>
      <c r="FE4" s="67" t="str">
        <f t="shared" ca="1" si="3"/>
        <v>070</v>
      </c>
      <c r="FF4" s="67" t="str">
        <f t="shared" ca="1" si="3"/>
        <v>2901</v>
      </c>
      <c r="FG4" s="70" t="str">
        <f t="shared" ca="1" si="3"/>
        <v>1593</v>
      </c>
      <c r="FH4" s="244" t="str">
        <f t="shared" ca="1" si="3"/>
        <v/>
      </c>
      <c r="FI4" s="67" t="str">
        <f t="shared" ca="1" si="3"/>
        <v>□</v>
      </c>
      <c r="FJ4" s="67" t="str">
        <f t="shared" ca="1" si="3"/>
        <v>■</v>
      </c>
      <c r="FK4" s="67" t="str">
        <f t="shared" ca="1" si="3"/>
        <v>□</v>
      </c>
      <c r="FL4" s="71" t="str">
        <f t="shared" ca="1" si="3"/>
        <v/>
      </c>
      <c r="FM4" s="72" t="str">
        <f t="shared" ca="1" si="3"/>
        <v>NTT西日本ビジネスフロント株式会社</v>
      </c>
      <c r="FN4" s="67" t="str">
        <f t="shared" ca="1" si="3"/>
        <v>２９１００２００</v>
      </c>
      <c r="FO4" s="67" t="str">
        <f t="shared" ca="1" si="3"/>
        <v>名古屋</v>
      </c>
      <c r="FP4" s="67" t="str">
        <f t="shared" ca="1" si="3"/>
        <v>名古屋</v>
      </c>
      <c r="FQ4" s="67" t="str">
        <f t="shared" ca="1" si="3"/>
        <v>名古屋中央</v>
      </c>
      <c r="FR4" s="67" t="str">
        <f t="shared" ca="1" si="3"/>
        <v>I</v>
      </c>
      <c r="FS4" s="67" t="str">
        <f t="shared" ca="1" si="3"/>
        <v>江場　史康</v>
      </c>
      <c r="FT4" s="67" t="str">
        <f t="shared" ca="1" si="3"/>
        <v>２２２８６７２</v>
      </c>
      <c r="FU4" s="67" t="str">
        <f t="shared" ca="1" si="3"/>
        <v>052-387-6261</v>
      </c>
      <c r="FV4" s="71" t="str">
        <f t="shared" ca="1" si="3"/>
        <v>fumiyasu.eba.kv@west.ntt.co.jp</v>
      </c>
      <c r="FW4" s="72" t="str">
        <f t="shared" ca="1" si="3"/>
        <v>■</v>
      </c>
      <c r="FX4" s="67" t="str">
        <f t="shared" ca="1" si="3"/>
        <v>NTT西日本ビジネスフロント株式会社</v>
      </c>
      <c r="FY4" s="67" t="str">
        <f t="shared" ca="1" si="3"/>
        <v>２９１００２００</v>
      </c>
      <c r="FZ4" s="67" t="str">
        <f t="shared" ca="1" si="3"/>
        <v>名古屋</v>
      </c>
      <c r="GA4" s="67" t="str">
        <f t="shared" ca="1" si="3"/>
        <v>名古屋</v>
      </c>
      <c r="GB4" s="67" t="str">
        <f t="shared" ca="1" si="3"/>
        <v>名古屋中央</v>
      </c>
      <c r="GC4" s="67" t="str">
        <f t="shared" ca="1" si="3"/>
        <v>江場　史康</v>
      </c>
      <c r="GD4" s="67" t="str">
        <f t="shared" ca="1" si="3"/>
        <v>２２２８６７２</v>
      </c>
      <c r="GE4" s="67" t="str">
        <f t="shared" ca="1" si="3"/>
        <v>052-387-6261</v>
      </c>
      <c r="GF4" s="71" t="str">
        <f t="shared" ca="1" si="3"/>
        <v>fumiyasu.eba.kv@west.ntt.co.jp</v>
      </c>
      <c r="GG4" s="72" t="str">
        <f t="shared" ca="1" si="3"/>
        <v>■</v>
      </c>
      <c r="GH4" s="67" t="str">
        <f t="shared" ca="1" si="3"/>
        <v>NTT西日本ビジネスフロント株式会社</v>
      </c>
      <c r="GI4" s="67">
        <f t="shared" ca="1" si="3"/>
        <v>29100200</v>
      </c>
      <c r="GJ4" s="67" t="str">
        <f t="shared" ca="1" si="3"/>
        <v>名古屋</v>
      </c>
      <c r="GK4" s="67" t="str">
        <f t="shared" ca="1" si="3"/>
        <v>名古屋</v>
      </c>
      <c r="GL4" s="67" t="str">
        <f t="shared" ca="1" si="3"/>
        <v>名古屋中央</v>
      </c>
      <c r="GM4" s="67" t="str">
        <f t="shared" ca="1" si="3"/>
        <v>江場　史康</v>
      </c>
      <c r="GN4" s="67">
        <f t="shared" ca="1" si="3"/>
        <v>2228672</v>
      </c>
      <c r="GO4" s="67" t="str">
        <f t="shared" ca="1" si="3"/>
        <v>052-387-6261</v>
      </c>
      <c r="GP4" s="294" t="str">
        <f t="shared" ca="1" si="3"/>
        <v>fumiyasu.eba.kv@west.ntt.co.jp</v>
      </c>
      <c r="GQ4" s="351" t="str">
        <f t="shared" ca="1" si="3"/>
        <v>■</v>
      </c>
      <c r="GR4" s="352" t="str">
        <f t="shared" ca="1" si="3"/>
        <v>NTT西日本ビジネスフロント株式会社</v>
      </c>
      <c r="GS4" s="352">
        <f t="shared" ca="1" si="3"/>
        <v>29100200</v>
      </c>
      <c r="GT4" s="352" t="str">
        <f t="shared" ca="1" si="3"/>
        <v>名古屋</v>
      </c>
      <c r="GU4" s="352" t="str">
        <f t="shared" ca="1" si="3"/>
        <v>名古屋</v>
      </c>
      <c r="GV4" s="352" t="str">
        <f t="shared" ca="1" si="3"/>
        <v>名古屋中央</v>
      </c>
      <c r="GW4" s="220" t="str">
        <f t="shared" ref="GW4:HH4" ca="1" si="4">IF(INDIRECT($F$3&amp;GW$3)="","",INDIRECT($F$3&amp;GW$3))</f>
        <v>江場　史康</v>
      </c>
      <c r="GX4" s="353">
        <f t="shared" ca="1" si="4"/>
        <v>2228672</v>
      </c>
      <c r="GY4" s="353" t="str">
        <f t="shared" ca="1" si="4"/>
        <v>052-387-6261</v>
      </c>
      <c r="GZ4" s="353" t="str">
        <f t="shared" ca="1" si="4"/>
        <v>fumiyasu.eba.kv@west.ntt.co.jp</v>
      </c>
      <c r="HA4" s="246" t="str">
        <f t="shared" ca="1" si="4"/>
        <v/>
      </c>
      <c r="HB4" s="246" t="str">
        <f t="shared" ca="1" si="4"/>
        <v/>
      </c>
      <c r="HC4" s="249" t="str">
        <f t="shared" ca="1" si="4"/>
        <v/>
      </c>
      <c r="HD4" s="249" t="str">
        <f t="shared" ca="1" si="4"/>
        <v/>
      </c>
      <c r="HE4" s="249" t="str">
        <f t="shared" ca="1" si="4"/>
        <v/>
      </c>
      <c r="HF4" s="249" t="str">
        <f t="shared" ca="1" si="4"/>
        <v/>
      </c>
      <c r="HG4" s="249" t="str">
        <f t="shared" ca="1" si="4"/>
        <v/>
      </c>
      <c r="HH4" s="249" t="str">
        <f t="shared" ca="1" si="4"/>
        <v/>
      </c>
    </row>
    <row r="5" spans="1:216">
      <c r="H5" s="51"/>
    </row>
  </sheetData>
  <mergeCells count="25">
    <mergeCell ref="HD1:HE1"/>
    <mergeCell ref="HF1:HG1"/>
    <mergeCell ref="BU1:CB1"/>
    <mergeCell ref="CC1:CZ1"/>
    <mergeCell ref="DA1:DN1"/>
    <mergeCell ref="DO1:DV1"/>
    <mergeCell ref="DW1:DY1"/>
    <mergeCell ref="EO1:FG1"/>
    <mergeCell ref="FH1:FL1"/>
    <mergeCell ref="FM1:FV1"/>
    <mergeCell ref="FW1:GF1"/>
    <mergeCell ref="GG1:GP1"/>
    <mergeCell ref="GQ1:GZ1"/>
    <mergeCell ref="DZ1:EB1"/>
    <mergeCell ref="EC1:EE1"/>
    <mergeCell ref="EF1:EN1"/>
    <mergeCell ref="AO1:AY1"/>
    <mergeCell ref="AZ1:BE1"/>
    <mergeCell ref="BG1:BH1"/>
    <mergeCell ref="BI1:BT1"/>
    <mergeCell ref="I1:K1"/>
    <mergeCell ref="L1:M1"/>
    <mergeCell ref="N1:U1"/>
    <mergeCell ref="V1:AD1"/>
    <mergeCell ref="AE1:AN1"/>
  </mergeCells>
  <phoneticPr fontId="18"/>
  <conditionalFormatting sqref="GP3:GW3">
    <cfRule type="duplicateValues" dxfId="207" priority="13"/>
  </conditionalFormatting>
  <conditionalFormatting sqref="GX3:HB3">
    <cfRule type="duplicateValues" dxfId="206" priority="12"/>
  </conditionalFormatting>
  <conditionalFormatting sqref="HC3:HH3">
    <cfRule type="duplicateValues" dxfId="205" priority="10"/>
  </conditionalFormatting>
  <conditionalFormatting sqref="A2:BX2 DO2:DR2 CW2:CZ2 DU2:FQ2 FS2:GZ2 CC2:CR2">
    <cfRule type="duplicateValues" dxfId="204" priority="9"/>
  </conditionalFormatting>
  <conditionalFormatting sqref="DA2:DN2">
    <cfRule type="duplicateValues" dxfId="203" priority="8"/>
  </conditionalFormatting>
  <conditionalFormatting sqref="HD2:HH2">
    <cfRule type="duplicateValues" dxfId="202" priority="7"/>
  </conditionalFormatting>
  <conditionalFormatting sqref="CS2:CT2">
    <cfRule type="duplicateValues" dxfId="201" priority="6"/>
  </conditionalFormatting>
  <conditionalFormatting sqref="CU2:CV2">
    <cfRule type="duplicateValues" dxfId="200" priority="5"/>
  </conditionalFormatting>
  <conditionalFormatting sqref="DS2:DT2">
    <cfRule type="duplicateValues" dxfId="199" priority="4"/>
  </conditionalFormatting>
  <conditionalFormatting sqref="FR2">
    <cfRule type="duplicateValues" dxfId="198" priority="3"/>
  </conditionalFormatting>
  <conditionalFormatting sqref="CA2:CB2">
    <cfRule type="duplicateValues" dxfId="197" priority="2"/>
  </conditionalFormatting>
  <conditionalFormatting sqref="BY2:BZ2">
    <cfRule type="duplicateValues" dxfId="196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U102"/>
  <sheetViews>
    <sheetView workbookViewId="0"/>
  </sheetViews>
  <sheetFormatPr defaultColWidth="9.109375" defaultRowHeight="13.2"/>
  <cols>
    <col min="1" max="1" width="17.5546875" style="49" customWidth="1"/>
    <col min="2" max="2" width="41.33203125" style="49" bestFit="1" customWidth="1"/>
    <col min="3" max="5" width="41.33203125" style="49" customWidth="1"/>
    <col min="6" max="6" width="17.5546875" style="49" customWidth="1"/>
    <col min="7" max="7" width="6.5546875" style="49" bestFit="1" customWidth="1"/>
    <col min="8" max="8" width="4.109375" style="49" customWidth="1"/>
    <col min="9" max="9" width="4.109375" style="51" customWidth="1"/>
    <col min="10" max="10" width="11.44140625" style="51" customWidth="1"/>
    <col min="11" max="11" width="11.33203125" style="51" bestFit="1" customWidth="1"/>
    <col min="12" max="16" width="4.109375" style="49" customWidth="1"/>
    <col min="17" max="18" width="20.5546875" style="49" customWidth="1"/>
    <col min="19" max="19" width="13.88671875" style="49" bestFit="1" customWidth="1"/>
    <col min="20" max="20" width="12.88671875" style="172" customWidth="1"/>
    <col min="21" max="21" width="9.109375" style="178"/>
    <col min="22" max="16384" width="9.109375" style="49"/>
  </cols>
  <sheetData>
    <row r="1" spans="1:21" ht="27.75" customHeight="1">
      <c r="A1" s="47"/>
      <c r="B1" s="47"/>
      <c r="C1" s="48"/>
      <c r="D1" s="48"/>
      <c r="E1" s="48"/>
      <c r="F1" s="107"/>
      <c r="G1" s="453" t="s">
        <v>442</v>
      </c>
      <c r="H1" s="454"/>
      <c r="I1" s="454"/>
      <c r="J1" s="455"/>
      <c r="K1" s="456" t="s">
        <v>443</v>
      </c>
      <c r="L1" s="454"/>
      <c r="M1" s="454"/>
      <c r="N1" s="454"/>
      <c r="O1" s="454"/>
      <c r="P1" s="454"/>
      <c r="Q1" s="454"/>
      <c r="R1" s="454"/>
      <c r="S1" s="108"/>
    </row>
    <row r="2" spans="1:21" s="51" customFormat="1" ht="140.4" customHeight="1">
      <c r="A2" s="50" t="s">
        <v>638</v>
      </c>
      <c r="B2" s="50" t="s">
        <v>639</v>
      </c>
      <c r="C2" s="170" t="s">
        <v>726</v>
      </c>
      <c r="D2" s="170" t="s">
        <v>634</v>
      </c>
      <c r="E2" s="93" t="s">
        <v>730</v>
      </c>
      <c r="F2" s="76" t="s">
        <v>636</v>
      </c>
      <c r="G2" s="77" t="s">
        <v>444</v>
      </c>
      <c r="H2" s="78" t="s">
        <v>653</v>
      </c>
      <c r="I2" s="78" t="s">
        <v>654</v>
      </c>
      <c r="J2" s="79" t="s">
        <v>445</v>
      </c>
      <c r="K2" s="80" t="s">
        <v>446</v>
      </c>
      <c r="L2" s="78" t="s">
        <v>655</v>
      </c>
      <c r="M2" s="78" t="s">
        <v>656</v>
      </c>
      <c r="N2" s="78" t="s">
        <v>657</v>
      </c>
      <c r="O2" s="78" t="s">
        <v>658</v>
      </c>
      <c r="P2" s="78" t="s">
        <v>659</v>
      </c>
      <c r="Q2" s="81" t="s">
        <v>660</v>
      </c>
      <c r="R2" s="81" t="s">
        <v>661</v>
      </c>
      <c r="S2" s="79" t="s">
        <v>662</v>
      </c>
      <c r="T2" s="173" t="s">
        <v>663</v>
      </c>
      <c r="U2" s="179" t="s">
        <v>732</v>
      </c>
    </row>
    <row r="3" spans="1:21" s="65" customFormat="1" ht="37.200000000000003" customHeight="1">
      <c r="A3" s="52" t="s">
        <v>431</v>
      </c>
      <c r="B3" s="53" t="s">
        <v>432</v>
      </c>
      <c r="C3" s="177" t="s">
        <v>729</v>
      </c>
      <c r="D3" s="94" t="s">
        <v>565</v>
      </c>
      <c r="E3" s="94" t="s">
        <v>592</v>
      </c>
      <c r="F3" s="54" t="s">
        <v>447</v>
      </c>
      <c r="G3" s="55" t="s">
        <v>448</v>
      </c>
      <c r="H3" s="64"/>
      <c r="I3" s="82"/>
      <c r="J3" s="83" t="s">
        <v>449</v>
      </c>
      <c r="K3" s="57" t="s">
        <v>450</v>
      </c>
      <c r="L3" s="64"/>
      <c r="M3" s="64"/>
      <c r="N3" s="64"/>
      <c r="O3" s="64"/>
      <c r="P3" s="64"/>
      <c r="Q3" s="61" t="s">
        <v>451</v>
      </c>
      <c r="R3" s="61" t="s">
        <v>452</v>
      </c>
      <c r="S3" s="60" t="s">
        <v>453</v>
      </c>
      <c r="T3" s="174"/>
      <c r="U3" s="180"/>
    </row>
    <row r="4" spans="1:21" s="87" customFormat="1" ht="21.75" customHeight="1">
      <c r="A4" s="66" t="str">
        <f ca="1">IF(G4="","","*")</f>
        <v>*</v>
      </c>
      <c r="B4" s="67" t="str">
        <f ca="1">INDIRECT($A$3&amp;$B3)</f>
        <v>新規・追加・減少・廃止・タイプ変更申込</v>
      </c>
      <c r="C4" s="171" t="str">
        <f ca="1">INDIRECT($A$3&amp;$C3)</f>
        <v>希望しない(本申込書のみ記載・送付してください)</v>
      </c>
      <c r="D4" s="67" t="str">
        <f ca="1">INDIRECT($A$3&amp;$D3)</f>
        <v>Ver.3.50</v>
      </c>
      <c r="E4" s="67" t="str">
        <f ca="1">INDIRECT($A$3&amp;$E3)</f>
        <v/>
      </c>
      <c r="F4" s="84">
        <v>9</v>
      </c>
      <c r="G4" s="196" t="str">
        <f ca="1">IF(INDIRECT($F$3&amp;J$3&amp;$F4)="","",TEXT(INDIRECT($F$3&amp;G$3&amp;$F4),"00"))</f>
        <v>01</v>
      </c>
      <c r="H4" s="106"/>
      <c r="I4" s="106"/>
      <c r="J4" s="86" t="str">
        <f ca="1">IF(INDIRECT($F$3&amp;J$3&amp;$F4)="","",INDIRECT($F$3&amp;J$3&amp;$F4))</f>
        <v>60日タイプ</v>
      </c>
      <c r="K4" s="69" t="str">
        <f ca="1">IF(INDIRECT($F$3&amp;K$3&amp;$F4)="","",INDIRECT($F$3&amp;K$3&amp;$F4))</f>
        <v/>
      </c>
      <c r="L4" s="106"/>
      <c r="M4" s="106"/>
      <c r="N4" s="106"/>
      <c r="O4" s="106"/>
      <c r="P4" s="106"/>
      <c r="Q4" s="85" t="str">
        <f ca="1">IF(INDIRECT($F$3&amp;Q$3&amp;$F4)="","",INDIRECT($F$3&amp;Q$3&amp;$F4))</f>
        <v/>
      </c>
      <c r="R4" s="85" t="str">
        <f t="shared" ref="R4:S19" ca="1" si="0">IF(INDIRECT($F$3&amp;R$3&amp;$F4)="","",INDIRECT($F$3&amp;R$3&amp;$F4))</f>
        <v/>
      </c>
      <c r="S4" s="86" t="str">
        <f t="shared" ca="1" si="0"/>
        <v/>
      </c>
      <c r="T4" s="173"/>
      <c r="U4" s="181"/>
    </row>
    <row r="5" spans="1:21" s="87" customFormat="1" ht="21.75" customHeight="1">
      <c r="A5" s="66" t="str">
        <f t="shared" ref="A5:A68" ca="1" si="1">IF(G5="","","*")</f>
        <v/>
      </c>
      <c r="B5" s="171" t="str">
        <f ca="1">IF(G5="","",INDIRECT($A$3&amp;$B$3))</f>
        <v/>
      </c>
      <c r="C5" s="171" t="str">
        <f ca="1">IF(G5="","",INDIRECT($A$3&amp;$C$3))</f>
        <v/>
      </c>
      <c r="D5" s="171" t="str">
        <f ca="1">IF(G5="","",INDIRECT($A$3&amp;$D$3))</f>
        <v/>
      </c>
      <c r="E5" s="171" t="str">
        <f ca="1">INDIRECT($A$3&amp;$E$3)</f>
        <v/>
      </c>
      <c r="F5" s="84">
        <v>10</v>
      </c>
      <c r="G5" s="196" t="str">
        <f t="shared" ref="G5:G68" ca="1" si="2">IF(INDIRECT($F$3&amp;J$3&amp;$F5)="","",TEXT(INDIRECT($F$3&amp;G$3&amp;$F5),"00"))</f>
        <v/>
      </c>
      <c r="H5" s="106"/>
      <c r="I5" s="106"/>
      <c r="J5" s="86" t="str">
        <f t="shared" ref="J5:K27" ca="1" si="3">IF(INDIRECT($F$3&amp;J$3&amp;$F5)="","",INDIRECT($F$3&amp;J$3&amp;$F5))</f>
        <v/>
      </c>
      <c r="K5" s="69" t="str">
        <f t="shared" ca="1" si="3"/>
        <v/>
      </c>
      <c r="L5" s="106"/>
      <c r="M5" s="106"/>
      <c r="N5" s="106"/>
      <c r="O5" s="106"/>
      <c r="P5" s="106"/>
      <c r="Q5" s="85" t="str">
        <f t="shared" ref="Q5:S27" ca="1" si="4">IF(INDIRECT($F$3&amp;Q$3&amp;$F5)="","",INDIRECT($F$3&amp;Q$3&amp;$F5))</f>
        <v/>
      </c>
      <c r="R5" s="85" t="str">
        <f t="shared" ca="1" si="0"/>
        <v/>
      </c>
      <c r="S5" s="86" t="str">
        <f t="shared" ca="1" si="0"/>
        <v/>
      </c>
      <c r="T5" s="173"/>
      <c r="U5" s="182"/>
    </row>
    <row r="6" spans="1:21" ht="21.75" customHeight="1">
      <c r="A6" s="66" t="str">
        <f t="shared" ca="1" si="1"/>
        <v/>
      </c>
      <c r="B6" s="171" t="str">
        <f t="shared" ref="B6:B69" ca="1" si="5">IF(G6="","",INDIRECT($A$3&amp;$B$3))</f>
        <v/>
      </c>
      <c r="C6" s="171" t="str">
        <f t="shared" ref="C6:C69" ca="1" si="6">IF(G6="","",INDIRECT($A$3&amp;$C$3))</f>
        <v/>
      </c>
      <c r="D6" s="171" t="str">
        <f t="shared" ref="D6:D69" ca="1" si="7">IF(G6="","",INDIRECT($A$3&amp;$D$3))</f>
        <v/>
      </c>
      <c r="E6" s="171" t="str">
        <f t="shared" ref="E6:E69" ca="1" si="8">INDIRECT($A$3&amp;$E$3)</f>
        <v/>
      </c>
      <c r="F6" s="84">
        <v>11</v>
      </c>
      <c r="G6" s="196" t="str">
        <f t="shared" ca="1" si="2"/>
        <v/>
      </c>
      <c r="H6" s="106"/>
      <c r="I6" s="106"/>
      <c r="J6" s="86" t="str">
        <f t="shared" ca="1" si="3"/>
        <v/>
      </c>
      <c r="K6" s="69" t="str">
        <f t="shared" ca="1" si="3"/>
        <v/>
      </c>
      <c r="L6" s="106"/>
      <c r="M6" s="106"/>
      <c r="N6" s="106"/>
      <c r="O6" s="106"/>
      <c r="P6" s="106"/>
      <c r="Q6" s="85" t="str">
        <f t="shared" ca="1" si="4"/>
        <v/>
      </c>
      <c r="R6" s="85" t="str">
        <f t="shared" ca="1" si="0"/>
        <v/>
      </c>
      <c r="S6" s="86" t="str">
        <f t="shared" ca="1" si="0"/>
        <v/>
      </c>
      <c r="T6" s="173"/>
      <c r="U6" s="182"/>
    </row>
    <row r="7" spans="1:21" ht="21.75" customHeight="1">
      <c r="A7" s="66" t="str">
        <f t="shared" ca="1" si="1"/>
        <v/>
      </c>
      <c r="B7" s="171" t="str">
        <f t="shared" ca="1" si="5"/>
        <v/>
      </c>
      <c r="C7" s="171" t="str">
        <f t="shared" ca="1" si="6"/>
        <v/>
      </c>
      <c r="D7" s="171" t="str">
        <f t="shared" ca="1" si="7"/>
        <v/>
      </c>
      <c r="E7" s="171" t="str">
        <f t="shared" ca="1" si="8"/>
        <v/>
      </c>
      <c r="F7" s="84">
        <v>12</v>
      </c>
      <c r="G7" s="196" t="str">
        <f t="shared" ca="1" si="2"/>
        <v/>
      </c>
      <c r="H7" s="106"/>
      <c r="I7" s="106"/>
      <c r="J7" s="86" t="str">
        <f t="shared" ca="1" si="3"/>
        <v/>
      </c>
      <c r="K7" s="69" t="str">
        <f t="shared" ca="1" si="3"/>
        <v/>
      </c>
      <c r="L7" s="106"/>
      <c r="M7" s="106"/>
      <c r="N7" s="106"/>
      <c r="O7" s="106"/>
      <c r="P7" s="106"/>
      <c r="Q7" s="85" t="str">
        <f t="shared" ca="1" si="4"/>
        <v/>
      </c>
      <c r="R7" s="85" t="str">
        <f t="shared" ca="1" si="0"/>
        <v/>
      </c>
      <c r="S7" s="86" t="str">
        <f t="shared" ca="1" si="0"/>
        <v/>
      </c>
      <c r="T7" s="173"/>
      <c r="U7" s="182"/>
    </row>
    <row r="8" spans="1:21" ht="21.75" customHeight="1">
      <c r="A8" s="66" t="str">
        <f t="shared" ca="1" si="1"/>
        <v/>
      </c>
      <c r="B8" s="171" t="str">
        <f t="shared" ca="1" si="5"/>
        <v/>
      </c>
      <c r="C8" s="171" t="str">
        <f ca="1">IF(G8="","",INDIRECT($A$3&amp;$C$3))</f>
        <v/>
      </c>
      <c r="D8" s="171" t="str">
        <f t="shared" ca="1" si="7"/>
        <v/>
      </c>
      <c r="E8" s="171" t="str">
        <f t="shared" ca="1" si="8"/>
        <v/>
      </c>
      <c r="F8" s="84">
        <v>13</v>
      </c>
      <c r="G8" s="196" t="str">
        <f t="shared" ca="1" si="2"/>
        <v/>
      </c>
      <c r="H8" s="106"/>
      <c r="I8" s="106"/>
      <c r="J8" s="86" t="str">
        <f t="shared" ca="1" si="3"/>
        <v/>
      </c>
      <c r="K8" s="69" t="str">
        <f t="shared" ca="1" si="3"/>
        <v/>
      </c>
      <c r="L8" s="106"/>
      <c r="M8" s="106"/>
      <c r="N8" s="106"/>
      <c r="O8" s="106"/>
      <c r="P8" s="106"/>
      <c r="Q8" s="85" t="str">
        <f t="shared" ca="1" si="4"/>
        <v/>
      </c>
      <c r="R8" s="85" t="str">
        <f t="shared" ca="1" si="0"/>
        <v/>
      </c>
      <c r="S8" s="86" t="str">
        <f t="shared" ca="1" si="0"/>
        <v/>
      </c>
      <c r="T8" s="173"/>
      <c r="U8" s="182"/>
    </row>
    <row r="9" spans="1:21" ht="21.75" customHeight="1">
      <c r="A9" s="66" t="str">
        <f t="shared" ca="1" si="1"/>
        <v/>
      </c>
      <c r="B9" s="171" t="str">
        <f t="shared" ca="1" si="5"/>
        <v/>
      </c>
      <c r="C9" s="171" t="str">
        <f t="shared" ca="1" si="6"/>
        <v/>
      </c>
      <c r="D9" s="171" t="str">
        <f t="shared" ca="1" si="7"/>
        <v/>
      </c>
      <c r="E9" s="171" t="str">
        <f t="shared" ca="1" si="8"/>
        <v/>
      </c>
      <c r="F9" s="84">
        <v>14</v>
      </c>
      <c r="G9" s="196" t="str">
        <f t="shared" ca="1" si="2"/>
        <v/>
      </c>
      <c r="H9" s="106"/>
      <c r="I9" s="106"/>
      <c r="J9" s="86" t="str">
        <f t="shared" ca="1" si="3"/>
        <v/>
      </c>
      <c r="K9" s="69" t="str">
        <f t="shared" ca="1" si="3"/>
        <v/>
      </c>
      <c r="L9" s="106"/>
      <c r="M9" s="106"/>
      <c r="N9" s="106"/>
      <c r="O9" s="106"/>
      <c r="P9" s="106"/>
      <c r="Q9" s="85" t="str">
        <f t="shared" ca="1" si="4"/>
        <v/>
      </c>
      <c r="R9" s="85" t="str">
        <f t="shared" ca="1" si="0"/>
        <v/>
      </c>
      <c r="S9" s="86" t="str">
        <f t="shared" ca="1" si="0"/>
        <v/>
      </c>
      <c r="T9" s="173"/>
      <c r="U9" s="182"/>
    </row>
    <row r="10" spans="1:21" ht="21.75" customHeight="1">
      <c r="A10" s="66" t="str">
        <f t="shared" ca="1" si="1"/>
        <v/>
      </c>
      <c r="B10" s="171" t="str">
        <f t="shared" ca="1" si="5"/>
        <v/>
      </c>
      <c r="C10" s="171" t="str">
        <f t="shared" ca="1" si="6"/>
        <v/>
      </c>
      <c r="D10" s="171" t="str">
        <f t="shared" ca="1" si="7"/>
        <v/>
      </c>
      <c r="E10" s="171" t="str">
        <f t="shared" ca="1" si="8"/>
        <v/>
      </c>
      <c r="F10" s="84">
        <v>15</v>
      </c>
      <c r="G10" s="196" t="str">
        <f t="shared" ca="1" si="2"/>
        <v/>
      </c>
      <c r="H10" s="106"/>
      <c r="I10" s="106"/>
      <c r="J10" s="86" t="str">
        <f t="shared" ca="1" si="3"/>
        <v/>
      </c>
      <c r="K10" s="69" t="str">
        <f t="shared" ca="1" si="3"/>
        <v/>
      </c>
      <c r="L10" s="106"/>
      <c r="M10" s="106"/>
      <c r="N10" s="106"/>
      <c r="O10" s="106"/>
      <c r="P10" s="106"/>
      <c r="Q10" s="85" t="str">
        <f t="shared" ca="1" si="4"/>
        <v/>
      </c>
      <c r="R10" s="85" t="str">
        <f t="shared" ca="1" si="0"/>
        <v/>
      </c>
      <c r="S10" s="86" t="str">
        <f t="shared" ca="1" si="0"/>
        <v/>
      </c>
      <c r="T10" s="173"/>
      <c r="U10" s="182"/>
    </row>
    <row r="11" spans="1:21" ht="21.75" customHeight="1">
      <c r="A11" s="66" t="str">
        <f t="shared" ca="1" si="1"/>
        <v/>
      </c>
      <c r="B11" s="171" t="str">
        <f t="shared" ca="1" si="5"/>
        <v/>
      </c>
      <c r="C11" s="171" t="str">
        <f t="shared" ca="1" si="6"/>
        <v/>
      </c>
      <c r="D11" s="171" t="str">
        <f t="shared" ca="1" si="7"/>
        <v/>
      </c>
      <c r="E11" s="171" t="str">
        <f t="shared" ca="1" si="8"/>
        <v/>
      </c>
      <c r="F11" s="84">
        <v>16</v>
      </c>
      <c r="G11" s="196" t="str">
        <f t="shared" ca="1" si="2"/>
        <v/>
      </c>
      <c r="H11" s="106"/>
      <c r="I11" s="106"/>
      <c r="J11" s="86" t="str">
        <f t="shared" ca="1" si="3"/>
        <v/>
      </c>
      <c r="K11" s="69" t="str">
        <f t="shared" ca="1" si="3"/>
        <v/>
      </c>
      <c r="L11" s="106"/>
      <c r="M11" s="106"/>
      <c r="N11" s="106"/>
      <c r="O11" s="106"/>
      <c r="P11" s="106"/>
      <c r="Q11" s="85" t="str">
        <f t="shared" ca="1" si="4"/>
        <v/>
      </c>
      <c r="R11" s="85" t="str">
        <f t="shared" ca="1" si="0"/>
        <v/>
      </c>
      <c r="S11" s="86" t="str">
        <f t="shared" ca="1" si="0"/>
        <v/>
      </c>
      <c r="T11" s="173"/>
      <c r="U11" s="182"/>
    </row>
    <row r="12" spans="1:21" ht="21.75" customHeight="1">
      <c r="A12" s="66" t="str">
        <f t="shared" ca="1" si="1"/>
        <v/>
      </c>
      <c r="B12" s="171" t="str">
        <f t="shared" ca="1" si="5"/>
        <v/>
      </c>
      <c r="C12" s="171" t="str">
        <f t="shared" ca="1" si="6"/>
        <v/>
      </c>
      <c r="D12" s="171" t="str">
        <f t="shared" ca="1" si="7"/>
        <v/>
      </c>
      <c r="E12" s="171" t="str">
        <f t="shared" ca="1" si="8"/>
        <v/>
      </c>
      <c r="F12" s="84">
        <v>17</v>
      </c>
      <c r="G12" s="196" t="str">
        <f t="shared" ca="1" si="2"/>
        <v/>
      </c>
      <c r="H12" s="106"/>
      <c r="I12" s="106"/>
      <c r="J12" s="86" t="str">
        <f t="shared" ca="1" si="3"/>
        <v/>
      </c>
      <c r="K12" s="69" t="str">
        <f t="shared" ca="1" si="3"/>
        <v/>
      </c>
      <c r="L12" s="106"/>
      <c r="M12" s="106"/>
      <c r="N12" s="106"/>
      <c r="O12" s="106"/>
      <c r="P12" s="106"/>
      <c r="Q12" s="85" t="str">
        <f t="shared" ca="1" si="4"/>
        <v/>
      </c>
      <c r="R12" s="85" t="str">
        <f t="shared" ca="1" si="0"/>
        <v/>
      </c>
      <c r="S12" s="86" t="str">
        <f t="shared" ca="1" si="0"/>
        <v/>
      </c>
      <c r="T12" s="173"/>
      <c r="U12" s="182"/>
    </row>
    <row r="13" spans="1:21" ht="21.75" customHeight="1">
      <c r="A13" s="66" t="str">
        <f t="shared" ca="1" si="1"/>
        <v/>
      </c>
      <c r="B13" s="171" t="str">
        <f t="shared" ca="1" si="5"/>
        <v/>
      </c>
      <c r="C13" s="171" t="str">
        <f t="shared" ca="1" si="6"/>
        <v/>
      </c>
      <c r="D13" s="171" t="str">
        <f t="shared" ca="1" si="7"/>
        <v/>
      </c>
      <c r="E13" s="171" t="str">
        <f t="shared" ca="1" si="8"/>
        <v/>
      </c>
      <c r="F13" s="84">
        <v>18</v>
      </c>
      <c r="G13" s="196" t="str">
        <f t="shared" ca="1" si="2"/>
        <v/>
      </c>
      <c r="H13" s="106"/>
      <c r="I13" s="106"/>
      <c r="J13" s="86" t="str">
        <f t="shared" ca="1" si="3"/>
        <v/>
      </c>
      <c r="K13" s="69" t="str">
        <f t="shared" ca="1" si="3"/>
        <v/>
      </c>
      <c r="L13" s="106"/>
      <c r="M13" s="106"/>
      <c r="N13" s="106"/>
      <c r="O13" s="106"/>
      <c r="P13" s="106"/>
      <c r="Q13" s="85" t="str">
        <f t="shared" ca="1" si="4"/>
        <v/>
      </c>
      <c r="R13" s="85" t="str">
        <f t="shared" ca="1" si="0"/>
        <v/>
      </c>
      <c r="S13" s="86" t="str">
        <f t="shared" ca="1" si="0"/>
        <v/>
      </c>
      <c r="T13" s="173"/>
      <c r="U13" s="182"/>
    </row>
    <row r="14" spans="1:21" ht="21.75" customHeight="1">
      <c r="A14" s="66" t="str">
        <f t="shared" ca="1" si="1"/>
        <v/>
      </c>
      <c r="B14" s="171" t="str">
        <f t="shared" ca="1" si="5"/>
        <v/>
      </c>
      <c r="C14" s="171" t="str">
        <f t="shared" ca="1" si="6"/>
        <v/>
      </c>
      <c r="D14" s="171" t="str">
        <f t="shared" ca="1" si="7"/>
        <v/>
      </c>
      <c r="E14" s="171" t="str">
        <f t="shared" ca="1" si="8"/>
        <v/>
      </c>
      <c r="F14" s="84">
        <v>19</v>
      </c>
      <c r="G14" s="196" t="str">
        <f t="shared" ca="1" si="2"/>
        <v/>
      </c>
      <c r="H14" s="106"/>
      <c r="I14" s="106"/>
      <c r="J14" s="86" t="str">
        <f t="shared" ca="1" si="3"/>
        <v/>
      </c>
      <c r="K14" s="69" t="str">
        <f t="shared" ca="1" si="3"/>
        <v/>
      </c>
      <c r="L14" s="106"/>
      <c r="M14" s="106"/>
      <c r="N14" s="106"/>
      <c r="O14" s="106"/>
      <c r="P14" s="106"/>
      <c r="Q14" s="85" t="str">
        <f t="shared" ca="1" si="4"/>
        <v/>
      </c>
      <c r="R14" s="85" t="str">
        <f t="shared" ca="1" si="0"/>
        <v/>
      </c>
      <c r="S14" s="86" t="str">
        <f t="shared" ca="1" si="0"/>
        <v/>
      </c>
      <c r="T14" s="173"/>
      <c r="U14" s="182"/>
    </row>
    <row r="15" spans="1:21" ht="21.75" customHeight="1">
      <c r="A15" s="66" t="str">
        <f t="shared" ca="1" si="1"/>
        <v/>
      </c>
      <c r="B15" s="171" t="str">
        <f t="shared" ca="1" si="5"/>
        <v/>
      </c>
      <c r="C15" s="171" t="str">
        <f t="shared" ca="1" si="6"/>
        <v/>
      </c>
      <c r="D15" s="171" t="str">
        <f t="shared" ca="1" si="7"/>
        <v/>
      </c>
      <c r="E15" s="171" t="str">
        <f t="shared" ca="1" si="8"/>
        <v/>
      </c>
      <c r="F15" s="84">
        <v>20</v>
      </c>
      <c r="G15" s="196" t="str">
        <f t="shared" ca="1" si="2"/>
        <v/>
      </c>
      <c r="H15" s="106"/>
      <c r="I15" s="106"/>
      <c r="J15" s="86" t="str">
        <f t="shared" ca="1" si="3"/>
        <v/>
      </c>
      <c r="K15" s="69" t="str">
        <f t="shared" ca="1" si="3"/>
        <v/>
      </c>
      <c r="L15" s="106"/>
      <c r="M15" s="106"/>
      <c r="N15" s="106"/>
      <c r="O15" s="106"/>
      <c r="P15" s="106"/>
      <c r="Q15" s="85" t="str">
        <f t="shared" ca="1" si="4"/>
        <v/>
      </c>
      <c r="R15" s="85" t="str">
        <f t="shared" ca="1" si="0"/>
        <v/>
      </c>
      <c r="S15" s="86" t="str">
        <f t="shared" ca="1" si="0"/>
        <v/>
      </c>
      <c r="T15" s="173"/>
      <c r="U15" s="182"/>
    </row>
    <row r="16" spans="1:21" ht="21.75" customHeight="1">
      <c r="A16" s="66" t="str">
        <f t="shared" ca="1" si="1"/>
        <v/>
      </c>
      <c r="B16" s="171" t="str">
        <f t="shared" ca="1" si="5"/>
        <v/>
      </c>
      <c r="C16" s="171" t="str">
        <f t="shared" ca="1" si="6"/>
        <v/>
      </c>
      <c r="D16" s="171" t="str">
        <f t="shared" ca="1" si="7"/>
        <v/>
      </c>
      <c r="E16" s="171" t="str">
        <f t="shared" ca="1" si="8"/>
        <v/>
      </c>
      <c r="F16" s="84">
        <v>21</v>
      </c>
      <c r="G16" s="196" t="str">
        <f t="shared" ca="1" si="2"/>
        <v/>
      </c>
      <c r="H16" s="106"/>
      <c r="I16" s="106"/>
      <c r="J16" s="86" t="str">
        <f t="shared" ca="1" si="3"/>
        <v/>
      </c>
      <c r="K16" s="69" t="str">
        <f t="shared" ca="1" si="3"/>
        <v/>
      </c>
      <c r="L16" s="106"/>
      <c r="M16" s="106"/>
      <c r="N16" s="106"/>
      <c r="O16" s="106"/>
      <c r="P16" s="106"/>
      <c r="Q16" s="85" t="str">
        <f t="shared" ca="1" si="4"/>
        <v/>
      </c>
      <c r="R16" s="85" t="str">
        <f t="shared" ca="1" si="0"/>
        <v/>
      </c>
      <c r="S16" s="86" t="str">
        <f t="shared" ca="1" si="0"/>
        <v/>
      </c>
      <c r="T16" s="173"/>
      <c r="U16" s="182"/>
    </row>
    <row r="17" spans="1:21" ht="21.75" customHeight="1">
      <c r="A17" s="66" t="str">
        <f t="shared" ca="1" si="1"/>
        <v/>
      </c>
      <c r="B17" s="171" t="str">
        <f t="shared" ca="1" si="5"/>
        <v/>
      </c>
      <c r="C17" s="171" t="str">
        <f t="shared" ca="1" si="6"/>
        <v/>
      </c>
      <c r="D17" s="171" t="str">
        <f t="shared" ca="1" si="7"/>
        <v/>
      </c>
      <c r="E17" s="171" t="str">
        <f t="shared" ca="1" si="8"/>
        <v/>
      </c>
      <c r="F17" s="84">
        <v>22</v>
      </c>
      <c r="G17" s="196" t="str">
        <f t="shared" ca="1" si="2"/>
        <v/>
      </c>
      <c r="H17" s="106"/>
      <c r="I17" s="106"/>
      <c r="J17" s="86" t="str">
        <f t="shared" ca="1" si="3"/>
        <v/>
      </c>
      <c r="K17" s="69" t="str">
        <f t="shared" ca="1" si="3"/>
        <v/>
      </c>
      <c r="L17" s="106"/>
      <c r="M17" s="106"/>
      <c r="N17" s="106"/>
      <c r="O17" s="106"/>
      <c r="P17" s="106"/>
      <c r="Q17" s="85" t="str">
        <f t="shared" ca="1" si="4"/>
        <v/>
      </c>
      <c r="R17" s="85" t="str">
        <f t="shared" ca="1" si="0"/>
        <v/>
      </c>
      <c r="S17" s="86" t="str">
        <f t="shared" ca="1" si="0"/>
        <v/>
      </c>
      <c r="T17" s="173"/>
      <c r="U17" s="182"/>
    </row>
    <row r="18" spans="1:21" ht="21.75" customHeight="1">
      <c r="A18" s="66" t="str">
        <f t="shared" ca="1" si="1"/>
        <v/>
      </c>
      <c r="B18" s="171" t="str">
        <f t="shared" ca="1" si="5"/>
        <v/>
      </c>
      <c r="C18" s="171" t="str">
        <f t="shared" ca="1" si="6"/>
        <v/>
      </c>
      <c r="D18" s="171" t="str">
        <f t="shared" ca="1" si="7"/>
        <v/>
      </c>
      <c r="E18" s="171" t="str">
        <f t="shared" ca="1" si="8"/>
        <v/>
      </c>
      <c r="F18" s="84">
        <v>23</v>
      </c>
      <c r="G18" s="196" t="str">
        <f t="shared" ca="1" si="2"/>
        <v/>
      </c>
      <c r="H18" s="106"/>
      <c r="I18" s="106"/>
      <c r="J18" s="86" t="str">
        <f t="shared" ca="1" si="3"/>
        <v/>
      </c>
      <c r="K18" s="69" t="str">
        <f t="shared" ca="1" si="3"/>
        <v/>
      </c>
      <c r="L18" s="106"/>
      <c r="M18" s="106"/>
      <c r="N18" s="106"/>
      <c r="O18" s="106"/>
      <c r="P18" s="106"/>
      <c r="Q18" s="85" t="str">
        <f t="shared" ca="1" si="4"/>
        <v/>
      </c>
      <c r="R18" s="85" t="str">
        <f t="shared" ca="1" si="0"/>
        <v/>
      </c>
      <c r="S18" s="86" t="str">
        <f t="shared" ca="1" si="0"/>
        <v/>
      </c>
      <c r="T18" s="173"/>
      <c r="U18" s="182"/>
    </row>
    <row r="19" spans="1:21" ht="21.75" customHeight="1">
      <c r="A19" s="66" t="str">
        <f t="shared" ca="1" si="1"/>
        <v/>
      </c>
      <c r="B19" s="171" t="str">
        <f t="shared" ca="1" si="5"/>
        <v/>
      </c>
      <c r="C19" s="171" t="str">
        <f t="shared" ca="1" si="6"/>
        <v/>
      </c>
      <c r="D19" s="171" t="str">
        <f t="shared" ca="1" si="7"/>
        <v/>
      </c>
      <c r="E19" s="171" t="str">
        <f t="shared" ca="1" si="8"/>
        <v/>
      </c>
      <c r="F19" s="84">
        <v>24</v>
      </c>
      <c r="G19" s="196" t="str">
        <f t="shared" ca="1" si="2"/>
        <v/>
      </c>
      <c r="H19" s="106"/>
      <c r="I19" s="106"/>
      <c r="J19" s="86" t="str">
        <f t="shared" ca="1" si="3"/>
        <v/>
      </c>
      <c r="K19" s="69" t="str">
        <f t="shared" ca="1" si="3"/>
        <v/>
      </c>
      <c r="L19" s="106"/>
      <c r="M19" s="106"/>
      <c r="N19" s="106"/>
      <c r="O19" s="106"/>
      <c r="P19" s="106"/>
      <c r="Q19" s="85" t="str">
        <f t="shared" ca="1" si="4"/>
        <v/>
      </c>
      <c r="R19" s="85" t="str">
        <f t="shared" ca="1" si="0"/>
        <v/>
      </c>
      <c r="S19" s="86" t="str">
        <f t="shared" ca="1" si="0"/>
        <v/>
      </c>
      <c r="T19" s="173"/>
      <c r="U19" s="182"/>
    </row>
    <row r="20" spans="1:21" ht="21.75" customHeight="1">
      <c r="A20" s="66" t="str">
        <f t="shared" ca="1" si="1"/>
        <v/>
      </c>
      <c r="B20" s="171" t="str">
        <f t="shared" ca="1" si="5"/>
        <v/>
      </c>
      <c r="C20" s="171" t="str">
        <f t="shared" ca="1" si="6"/>
        <v/>
      </c>
      <c r="D20" s="171" t="str">
        <f t="shared" ca="1" si="7"/>
        <v/>
      </c>
      <c r="E20" s="171" t="str">
        <f t="shared" ca="1" si="8"/>
        <v/>
      </c>
      <c r="F20" s="84">
        <v>25</v>
      </c>
      <c r="G20" s="196" t="str">
        <f t="shared" ca="1" si="2"/>
        <v/>
      </c>
      <c r="H20" s="106"/>
      <c r="I20" s="106"/>
      <c r="J20" s="86" t="str">
        <f t="shared" ca="1" si="3"/>
        <v/>
      </c>
      <c r="K20" s="69" t="str">
        <f t="shared" ca="1" si="3"/>
        <v/>
      </c>
      <c r="L20" s="106"/>
      <c r="M20" s="106"/>
      <c r="N20" s="106"/>
      <c r="O20" s="106"/>
      <c r="P20" s="106"/>
      <c r="Q20" s="85" t="str">
        <f t="shared" ca="1" si="4"/>
        <v/>
      </c>
      <c r="R20" s="85" t="str">
        <f t="shared" ca="1" si="4"/>
        <v/>
      </c>
      <c r="S20" s="86" t="str">
        <f t="shared" ca="1" si="4"/>
        <v/>
      </c>
      <c r="T20" s="173"/>
      <c r="U20" s="182"/>
    </row>
    <row r="21" spans="1:21" ht="21.75" customHeight="1">
      <c r="A21" s="66" t="str">
        <f t="shared" ca="1" si="1"/>
        <v/>
      </c>
      <c r="B21" s="171" t="str">
        <f t="shared" ca="1" si="5"/>
        <v/>
      </c>
      <c r="C21" s="171" t="str">
        <f t="shared" ca="1" si="6"/>
        <v/>
      </c>
      <c r="D21" s="171" t="str">
        <f t="shared" ca="1" si="7"/>
        <v/>
      </c>
      <c r="E21" s="171" t="str">
        <f t="shared" ca="1" si="8"/>
        <v/>
      </c>
      <c r="F21" s="84">
        <v>26</v>
      </c>
      <c r="G21" s="196" t="str">
        <f t="shared" ca="1" si="2"/>
        <v/>
      </c>
      <c r="H21" s="106"/>
      <c r="I21" s="106"/>
      <c r="J21" s="86" t="str">
        <f t="shared" ca="1" si="3"/>
        <v/>
      </c>
      <c r="K21" s="69" t="str">
        <f t="shared" ca="1" si="3"/>
        <v/>
      </c>
      <c r="L21" s="106"/>
      <c r="M21" s="106"/>
      <c r="N21" s="106"/>
      <c r="O21" s="106"/>
      <c r="P21" s="106"/>
      <c r="Q21" s="85" t="str">
        <f t="shared" ca="1" si="4"/>
        <v/>
      </c>
      <c r="R21" s="85" t="str">
        <f t="shared" ca="1" si="4"/>
        <v/>
      </c>
      <c r="S21" s="86" t="str">
        <f t="shared" ca="1" si="4"/>
        <v/>
      </c>
      <c r="T21" s="173"/>
      <c r="U21" s="182"/>
    </row>
    <row r="22" spans="1:21" ht="21.75" customHeight="1">
      <c r="A22" s="66" t="str">
        <f t="shared" ca="1" si="1"/>
        <v/>
      </c>
      <c r="B22" s="171" t="str">
        <f t="shared" ca="1" si="5"/>
        <v/>
      </c>
      <c r="C22" s="171" t="str">
        <f t="shared" ca="1" si="6"/>
        <v/>
      </c>
      <c r="D22" s="171" t="str">
        <f t="shared" ca="1" si="7"/>
        <v/>
      </c>
      <c r="E22" s="171" t="str">
        <f t="shared" ca="1" si="8"/>
        <v/>
      </c>
      <c r="F22" s="84">
        <v>27</v>
      </c>
      <c r="G22" s="196" t="str">
        <f t="shared" ca="1" si="2"/>
        <v/>
      </c>
      <c r="H22" s="106"/>
      <c r="I22" s="106"/>
      <c r="J22" s="86" t="str">
        <f t="shared" ca="1" si="3"/>
        <v/>
      </c>
      <c r="K22" s="69" t="str">
        <f t="shared" ca="1" si="3"/>
        <v/>
      </c>
      <c r="L22" s="106"/>
      <c r="M22" s="106"/>
      <c r="N22" s="106"/>
      <c r="O22" s="106"/>
      <c r="P22" s="106"/>
      <c r="Q22" s="85" t="str">
        <f t="shared" ca="1" si="4"/>
        <v/>
      </c>
      <c r="R22" s="85" t="str">
        <f t="shared" ca="1" si="4"/>
        <v/>
      </c>
      <c r="S22" s="86" t="str">
        <f t="shared" ca="1" si="4"/>
        <v/>
      </c>
      <c r="T22" s="173"/>
      <c r="U22" s="182"/>
    </row>
    <row r="23" spans="1:21" ht="21.75" customHeight="1">
      <c r="A23" s="66" t="str">
        <f t="shared" ca="1" si="1"/>
        <v/>
      </c>
      <c r="B23" s="171" t="str">
        <f t="shared" ca="1" si="5"/>
        <v/>
      </c>
      <c r="C23" s="171" t="str">
        <f t="shared" ca="1" si="6"/>
        <v/>
      </c>
      <c r="D23" s="171" t="str">
        <f t="shared" ca="1" si="7"/>
        <v/>
      </c>
      <c r="E23" s="171" t="str">
        <f t="shared" ca="1" si="8"/>
        <v/>
      </c>
      <c r="F23" s="84">
        <v>28</v>
      </c>
      <c r="G23" s="196" t="str">
        <f t="shared" ca="1" si="2"/>
        <v/>
      </c>
      <c r="H23" s="106"/>
      <c r="I23" s="106"/>
      <c r="J23" s="86" t="str">
        <f t="shared" ca="1" si="3"/>
        <v/>
      </c>
      <c r="K23" s="69" t="str">
        <f t="shared" ca="1" si="3"/>
        <v/>
      </c>
      <c r="L23" s="106"/>
      <c r="M23" s="106"/>
      <c r="N23" s="106"/>
      <c r="O23" s="106"/>
      <c r="P23" s="106"/>
      <c r="Q23" s="85" t="str">
        <f t="shared" ca="1" si="4"/>
        <v/>
      </c>
      <c r="R23" s="85" t="str">
        <f t="shared" ca="1" si="4"/>
        <v/>
      </c>
      <c r="S23" s="86" t="str">
        <f t="shared" ca="1" si="4"/>
        <v/>
      </c>
      <c r="T23" s="173"/>
      <c r="U23" s="182"/>
    </row>
    <row r="24" spans="1:21" ht="21.75" customHeight="1">
      <c r="A24" s="66" t="str">
        <f t="shared" ca="1" si="1"/>
        <v/>
      </c>
      <c r="B24" s="171" t="str">
        <f t="shared" ca="1" si="5"/>
        <v/>
      </c>
      <c r="C24" s="171" t="str">
        <f t="shared" ca="1" si="6"/>
        <v/>
      </c>
      <c r="D24" s="171" t="str">
        <f t="shared" ca="1" si="7"/>
        <v/>
      </c>
      <c r="E24" s="171" t="str">
        <f t="shared" ca="1" si="8"/>
        <v/>
      </c>
      <c r="F24" s="84">
        <v>29</v>
      </c>
      <c r="G24" s="196" t="str">
        <f t="shared" ca="1" si="2"/>
        <v/>
      </c>
      <c r="H24" s="106"/>
      <c r="I24" s="106"/>
      <c r="J24" s="86" t="str">
        <f t="shared" ca="1" si="3"/>
        <v/>
      </c>
      <c r="K24" s="69" t="str">
        <f t="shared" ca="1" si="3"/>
        <v/>
      </c>
      <c r="L24" s="106"/>
      <c r="M24" s="106"/>
      <c r="N24" s="106"/>
      <c r="O24" s="106"/>
      <c r="P24" s="106"/>
      <c r="Q24" s="85" t="str">
        <f t="shared" ca="1" si="4"/>
        <v/>
      </c>
      <c r="R24" s="85" t="str">
        <f t="shared" ca="1" si="4"/>
        <v/>
      </c>
      <c r="S24" s="86" t="str">
        <f t="shared" ca="1" si="4"/>
        <v/>
      </c>
      <c r="T24" s="173"/>
      <c r="U24" s="182"/>
    </row>
    <row r="25" spans="1:21" ht="21.75" customHeight="1">
      <c r="A25" s="66" t="str">
        <f t="shared" ca="1" si="1"/>
        <v/>
      </c>
      <c r="B25" s="171" t="str">
        <f t="shared" ca="1" si="5"/>
        <v/>
      </c>
      <c r="C25" s="171" t="str">
        <f t="shared" ca="1" si="6"/>
        <v/>
      </c>
      <c r="D25" s="171" t="str">
        <f t="shared" ca="1" si="7"/>
        <v/>
      </c>
      <c r="E25" s="171" t="str">
        <f t="shared" ca="1" si="8"/>
        <v/>
      </c>
      <c r="F25" s="84">
        <v>30</v>
      </c>
      <c r="G25" s="196" t="str">
        <f t="shared" ca="1" si="2"/>
        <v/>
      </c>
      <c r="H25" s="106"/>
      <c r="I25" s="106"/>
      <c r="J25" s="86" t="str">
        <f t="shared" ca="1" si="3"/>
        <v/>
      </c>
      <c r="K25" s="69" t="str">
        <f t="shared" ca="1" si="3"/>
        <v/>
      </c>
      <c r="L25" s="106"/>
      <c r="M25" s="106"/>
      <c r="N25" s="106"/>
      <c r="O25" s="106"/>
      <c r="P25" s="106"/>
      <c r="Q25" s="85" t="str">
        <f t="shared" ca="1" si="4"/>
        <v/>
      </c>
      <c r="R25" s="85" t="str">
        <f t="shared" ca="1" si="4"/>
        <v/>
      </c>
      <c r="S25" s="86" t="str">
        <f t="shared" ca="1" si="4"/>
        <v/>
      </c>
      <c r="T25" s="173"/>
      <c r="U25" s="182"/>
    </row>
    <row r="26" spans="1:21" ht="21.75" customHeight="1">
      <c r="A26" s="66" t="str">
        <f t="shared" ca="1" si="1"/>
        <v/>
      </c>
      <c r="B26" s="171" t="str">
        <f t="shared" ca="1" si="5"/>
        <v/>
      </c>
      <c r="C26" s="171" t="str">
        <f t="shared" ca="1" si="6"/>
        <v/>
      </c>
      <c r="D26" s="171" t="str">
        <f t="shared" ca="1" si="7"/>
        <v/>
      </c>
      <c r="E26" s="171" t="str">
        <f t="shared" ca="1" si="8"/>
        <v/>
      </c>
      <c r="F26" s="84">
        <v>31</v>
      </c>
      <c r="G26" s="196" t="str">
        <f t="shared" ca="1" si="2"/>
        <v/>
      </c>
      <c r="H26" s="106"/>
      <c r="I26" s="106"/>
      <c r="J26" s="86" t="str">
        <f t="shared" ca="1" si="3"/>
        <v/>
      </c>
      <c r="K26" s="69" t="str">
        <f t="shared" ca="1" si="3"/>
        <v/>
      </c>
      <c r="L26" s="106"/>
      <c r="M26" s="106"/>
      <c r="N26" s="106"/>
      <c r="O26" s="106"/>
      <c r="P26" s="106"/>
      <c r="Q26" s="85" t="str">
        <f t="shared" ca="1" si="4"/>
        <v/>
      </c>
      <c r="R26" s="85" t="str">
        <f t="shared" ca="1" si="4"/>
        <v/>
      </c>
      <c r="S26" s="86" t="str">
        <f t="shared" ca="1" si="4"/>
        <v/>
      </c>
      <c r="T26" s="173"/>
      <c r="U26" s="182"/>
    </row>
    <row r="27" spans="1:21" ht="21.75" customHeight="1">
      <c r="A27" s="66" t="str">
        <f t="shared" ca="1" si="1"/>
        <v/>
      </c>
      <c r="B27" s="171" t="str">
        <f t="shared" ca="1" si="5"/>
        <v/>
      </c>
      <c r="C27" s="171" t="str">
        <f t="shared" ca="1" si="6"/>
        <v/>
      </c>
      <c r="D27" s="171" t="str">
        <f t="shared" ca="1" si="7"/>
        <v/>
      </c>
      <c r="E27" s="171" t="str">
        <f t="shared" ca="1" si="8"/>
        <v/>
      </c>
      <c r="F27" s="84">
        <v>32</v>
      </c>
      <c r="G27" s="196" t="str">
        <f t="shared" ca="1" si="2"/>
        <v/>
      </c>
      <c r="H27" s="106"/>
      <c r="I27" s="106"/>
      <c r="J27" s="86" t="str">
        <f t="shared" ca="1" si="3"/>
        <v/>
      </c>
      <c r="K27" s="69" t="str">
        <f t="shared" ca="1" si="3"/>
        <v/>
      </c>
      <c r="L27" s="106"/>
      <c r="M27" s="106"/>
      <c r="N27" s="106"/>
      <c r="O27" s="106"/>
      <c r="P27" s="106"/>
      <c r="Q27" s="85" t="str">
        <f t="shared" ca="1" si="4"/>
        <v/>
      </c>
      <c r="R27" s="85" t="str">
        <f t="shared" ca="1" si="4"/>
        <v/>
      </c>
      <c r="S27" s="86" t="str">
        <f t="shared" ca="1" si="4"/>
        <v/>
      </c>
      <c r="T27" s="173"/>
      <c r="U27" s="182"/>
    </row>
    <row r="28" spans="1:21" ht="21.75" customHeight="1">
      <c r="A28" s="66" t="str">
        <f t="shared" ca="1" si="1"/>
        <v/>
      </c>
      <c r="B28" s="171" t="str">
        <f t="shared" ca="1" si="5"/>
        <v/>
      </c>
      <c r="C28" s="171" t="str">
        <f t="shared" ca="1" si="6"/>
        <v/>
      </c>
      <c r="D28" s="171" t="str">
        <f t="shared" ca="1" si="7"/>
        <v/>
      </c>
      <c r="E28" s="171" t="str">
        <f t="shared" ca="1" si="8"/>
        <v/>
      </c>
      <c r="F28" s="84">
        <v>33</v>
      </c>
      <c r="G28" s="196" t="str">
        <f t="shared" ca="1" si="2"/>
        <v/>
      </c>
      <c r="H28" s="106"/>
      <c r="I28" s="106"/>
      <c r="J28" s="86" t="str">
        <f t="shared" ref="J28:K43" ca="1" si="9">IF(INDIRECT($F$3&amp;J$3&amp;$F28)="","",INDIRECT($F$3&amp;J$3&amp;$F28))</f>
        <v/>
      </c>
      <c r="K28" s="69" t="str">
        <f t="shared" ca="1" si="9"/>
        <v/>
      </c>
      <c r="L28" s="106"/>
      <c r="M28" s="106"/>
      <c r="N28" s="106"/>
      <c r="O28" s="106"/>
      <c r="P28" s="106"/>
      <c r="Q28" s="85" t="str">
        <f t="shared" ref="Q28:S43" ca="1" si="10">IF(INDIRECT($F$3&amp;Q$3&amp;$F28)="","",INDIRECT($F$3&amp;Q$3&amp;$F28))</f>
        <v/>
      </c>
      <c r="R28" s="85" t="str">
        <f t="shared" ca="1" si="10"/>
        <v/>
      </c>
      <c r="S28" s="86" t="str">
        <f t="shared" ca="1" si="10"/>
        <v/>
      </c>
      <c r="T28" s="173"/>
      <c r="U28" s="182"/>
    </row>
    <row r="29" spans="1:21" ht="21.75" customHeight="1">
      <c r="A29" s="66" t="str">
        <f t="shared" ca="1" si="1"/>
        <v/>
      </c>
      <c r="B29" s="171" t="str">
        <f t="shared" ca="1" si="5"/>
        <v/>
      </c>
      <c r="C29" s="171" t="str">
        <f t="shared" ca="1" si="6"/>
        <v/>
      </c>
      <c r="D29" s="171" t="str">
        <f t="shared" ca="1" si="7"/>
        <v/>
      </c>
      <c r="E29" s="171" t="str">
        <f t="shared" ca="1" si="8"/>
        <v/>
      </c>
      <c r="F29" s="84">
        <v>34</v>
      </c>
      <c r="G29" s="196" t="str">
        <f t="shared" ca="1" si="2"/>
        <v/>
      </c>
      <c r="H29" s="106"/>
      <c r="I29" s="106"/>
      <c r="J29" s="86" t="str">
        <f t="shared" ca="1" si="9"/>
        <v/>
      </c>
      <c r="K29" s="69" t="str">
        <f t="shared" ca="1" si="9"/>
        <v/>
      </c>
      <c r="L29" s="106"/>
      <c r="M29" s="106"/>
      <c r="N29" s="106"/>
      <c r="O29" s="106"/>
      <c r="P29" s="106"/>
      <c r="Q29" s="85" t="str">
        <f t="shared" ca="1" si="10"/>
        <v/>
      </c>
      <c r="R29" s="85" t="str">
        <f t="shared" ca="1" si="10"/>
        <v/>
      </c>
      <c r="S29" s="86" t="str">
        <f t="shared" ca="1" si="10"/>
        <v/>
      </c>
      <c r="T29" s="173"/>
      <c r="U29" s="182"/>
    </row>
    <row r="30" spans="1:21" ht="21.75" customHeight="1">
      <c r="A30" s="66" t="str">
        <f t="shared" ca="1" si="1"/>
        <v/>
      </c>
      <c r="B30" s="171" t="str">
        <f t="shared" ca="1" si="5"/>
        <v/>
      </c>
      <c r="C30" s="171" t="str">
        <f t="shared" ca="1" si="6"/>
        <v/>
      </c>
      <c r="D30" s="171" t="str">
        <f t="shared" ca="1" si="7"/>
        <v/>
      </c>
      <c r="E30" s="171" t="str">
        <f t="shared" ca="1" si="8"/>
        <v/>
      </c>
      <c r="F30" s="84">
        <v>35</v>
      </c>
      <c r="G30" s="196" t="str">
        <f t="shared" ca="1" si="2"/>
        <v/>
      </c>
      <c r="H30" s="106"/>
      <c r="I30" s="106"/>
      <c r="J30" s="86" t="str">
        <f t="shared" ca="1" si="9"/>
        <v/>
      </c>
      <c r="K30" s="69" t="str">
        <f t="shared" ca="1" si="9"/>
        <v/>
      </c>
      <c r="L30" s="106"/>
      <c r="M30" s="106"/>
      <c r="N30" s="106"/>
      <c r="O30" s="106"/>
      <c r="P30" s="106"/>
      <c r="Q30" s="85" t="str">
        <f t="shared" ca="1" si="10"/>
        <v/>
      </c>
      <c r="R30" s="85" t="str">
        <f t="shared" ca="1" si="10"/>
        <v/>
      </c>
      <c r="S30" s="86" t="str">
        <f t="shared" ca="1" si="10"/>
        <v/>
      </c>
      <c r="T30" s="173"/>
      <c r="U30" s="182"/>
    </row>
    <row r="31" spans="1:21" ht="21.75" customHeight="1">
      <c r="A31" s="66" t="str">
        <f t="shared" ca="1" si="1"/>
        <v/>
      </c>
      <c r="B31" s="171" t="str">
        <f t="shared" ca="1" si="5"/>
        <v/>
      </c>
      <c r="C31" s="171" t="str">
        <f t="shared" ca="1" si="6"/>
        <v/>
      </c>
      <c r="D31" s="171" t="str">
        <f t="shared" ca="1" si="7"/>
        <v/>
      </c>
      <c r="E31" s="171" t="str">
        <f t="shared" ca="1" si="8"/>
        <v/>
      </c>
      <c r="F31" s="84">
        <v>36</v>
      </c>
      <c r="G31" s="196" t="str">
        <f t="shared" ca="1" si="2"/>
        <v/>
      </c>
      <c r="H31" s="106"/>
      <c r="I31" s="106"/>
      <c r="J31" s="86" t="str">
        <f t="shared" ca="1" si="9"/>
        <v/>
      </c>
      <c r="K31" s="69" t="str">
        <f t="shared" ca="1" si="9"/>
        <v/>
      </c>
      <c r="L31" s="106"/>
      <c r="M31" s="106"/>
      <c r="N31" s="106"/>
      <c r="O31" s="106"/>
      <c r="P31" s="106"/>
      <c r="Q31" s="85" t="str">
        <f t="shared" ca="1" si="10"/>
        <v/>
      </c>
      <c r="R31" s="85" t="str">
        <f t="shared" ca="1" si="10"/>
        <v/>
      </c>
      <c r="S31" s="86" t="str">
        <f t="shared" ca="1" si="10"/>
        <v/>
      </c>
      <c r="T31" s="173"/>
      <c r="U31" s="182"/>
    </row>
    <row r="32" spans="1:21" ht="21.75" customHeight="1">
      <c r="A32" s="66" t="str">
        <f t="shared" ca="1" si="1"/>
        <v/>
      </c>
      <c r="B32" s="171" t="str">
        <f t="shared" ca="1" si="5"/>
        <v/>
      </c>
      <c r="C32" s="171" t="str">
        <f t="shared" ca="1" si="6"/>
        <v/>
      </c>
      <c r="D32" s="171" t="str">
        <f t="shared" ca="1" si="7"/>
        <v/>
      </c>
      <c r="E32" s="171" t="str">
        <f t="shared" ca="1" si="8"/>
        <v/>
      </c>
      <c r="F32" s="84">
        <v>37</v>
      </c>
      <c r="G32" s="196" t="str">
        <f t="shared" ca="1" si="2"/>
        <v/>
      </c>
      <c r="H32" s="106"/>
      <c r="I32" s="106"/>
      <c r="J32" s="86" t="str">
        <f t="shared" ca="1" si="9"/>
        <v/>
      </c>
      <c r="K32" s="69" t="str">
        <f t="shared" ca="1" si="9"/>
        <v/>
      </c>
      <c r="L32" s="106"/>
      <c r="M32" s="106"/>
      <c r="N32" s="106"/>
      <c r="O32" s="106"/>
      <c r="P32" s="106"/>
      <c r="Q32" s="85" t="str">
        <f t="shared" ca="1" si="10"/>
        <v/>
      </c>
      <c r="R32" s="85" t="str">
        <f t="shared" ca="1" si="10"/>
        <v/>
      </c>
      <c r="S32" s="86" t="str">
        <f t="shared" ca="1" si="10"/>
        <v/>
      </c>
      <c r="T32" s="173"/>
      <c r="U32" s="182"/>
    </row>
    <row r="33" spans="1:21" ht="21.75" customHeight="1">
      <c r="A33" s="66" t="str">
        <f t="shared" ca="1" si="1"/>
        <v/>
      </c>
      <c r="B33" s="171" t="str">
        <f t="shared" ca="1" si="5"/>
        <v/>
      </c>
      <c r="C33" s="171" t="str">
        <f t="shared" ca="1" si="6"/>
        <v/>
      </c>
      <c r="D33" s="171" t="str">
        <f t="shared" ca="1" si="7"/>
        <v/>
      </c>
      <c r="E33" s="171" t="str">
        <f t="shared" ca="1" si="8"/>
        <v/>
      </c>
      <c r="F33" s="84">
        <v>38</v>
      </c>
      <c r="G33" s="196" t="str">
        <f t="shared" ca="1" si="2"/>
        <v/>
      </c>
      <c r="H33" s="106"/>
      <c r="I33" s="106"/>
      <c r="J33" s="86" t="str">
        <f t="shared" ca="1" si="9"/>
        <v/>
      </c>
      <c r="K33" s="69" t="str">
        <f t="shared" ca="1" si="9"/>
        <v/>
      </c>
      <c r="L33" s="106"/>
      <c r="M33" s="106"/>
      <c r="N33" s="106"/>
      <c r="O33" s="106"/>
      <c r="P33" s="106"/>
      <c r="Q33" s="85" t="str">
        <f t="shared" ca="1" si="10"/>
        <v/>
      </c>
      <c r="R33" s="85" t="str">
        <f t="shared" ca="1" si="10"/>
        <v/>
      </c>
      <c r="S33" s="86" t="str">
        <f t="shared" ca="1" si="10"/>
        <v/>
      </c>
      <c r="T33" s="173"/>
      <c r="U33" s="182"/>
    </row>
    <row r="34" spans="1:21" ht="21.75" customHeight="1">
      <c r="A34" s="66" t="str">
        <f t="shared" ca="1" si="1"/>
        <v/>
      </c>
      <c r="B34" s="171" t="str">
        <f t="shared" ca="1" si="5"/>
        <v/>
      </c>
      <c r="C34" s="171" t="str">
        <f t="shared" ca="1" si="6"/>
        <v/>
      </c>
      <c r="D34" s="171" t="str">
        <f t="shared" ca="1" si="7"/>
        <v/>
      </c>
      <c r="E34" s="171" t="str">
        <f t="shared" ca="1" si="8"/>
        <v/>
      </c>
      <c r="F34" s="84">
        <v>39</v>
      </c>
      <c r="G34" s="196" t="str">
        <f t="shared" ca="1" si="2"/>
        <v/>
      </c>
      <c r="H34" s="106"/>
      <c r="I34" s="106"/>
      <c r="J34" s="86" t="str">
        <f t="shared" ca="1" si="9"/>
        <v/>
      </c>
      <c r="K34" s="69" t="str">
        <f t="shared" ca="1" si="9"/>
        <v/>
      </c>
      <c r="L34" s="106"/>
      <c r="M34" s="106"/>
      <c r="N34" s="106"/>
      <c r="O34" s="106"/>
      <c r="P34" s="106"/>
      <c r="Q34" s="85" t="str">
        <f t="shared" ca="1" si="10"/>
        <v/>
      </c>
      <c r="R34" s="85" t="str">
        <f t="shared" ca="1" si="10"/>
        <v/>
      </c>
      <c r="S34" s="86" t="str">
        <f t="shared" ca="1" si="10"/>
        <v/>
      </c>
      <c r="T34" s="173"/>
      <c r="U34" s="182"/>
    </row>
    <row r="35" spans="1:21" ht="21.75" customHeight="1">
      <c r="A35" s="66" t="str">
        <f t="shared" ca="1" si="1"/>
        <v/>
      </c>
      <c r="B35" s="171" t="str">
        <f t="shared" ca="1" si="5"/>
        <v/>
      </c>
      <c r="C35" s="171" t="str">
        <f t="shared" ca="1" si="6"/>
        <v/>
      </c>
      <c r="D35" s="171" t="str">
        <f t="shared" ca="1" si="7"/>
        <v/>
      </c>
      <c r="E35" s="171" t="str">
        <f t="shared" ca="1" si="8"/>
        <v/>
      </c>
      <c r="F35" s="84">
        <v>40</v>
      </c>
      <c r="G35" s="196" t="str">
        <f t="shared" ca="1" si="2"/>
        <v/>
      </c>
      <c r="H35" s="106"/>
      <c r="I35" s="106"/>
      <c r="J35" s="86" t="str">
        <f t="shared" ca="1" si="9"/>
        <v/>
      </c>
      <c r="K35" s="69" t="str">
        <f t="shared" ca="1" si="9"/>
        <v/>
      </c>
      <c r="L35" s="106"/>
      <c r="M35" s="106"/>
      <c r="N35" s="106"/>
      <c r="O35" s="106"/>
      <c r="P35" s="106"/>
      <c r="Q35" s="85" t="str">
        <f t="shared" ca="1" si="10"/>
        <v/>
      </c>
      <c r="R35" s="85" t="str">
        <f t="shared" ca="1" si="10"/>
        <v/>
      </c>
      <c r="S35" s="86" t="str">
        <f t="shared" ca="1" si="10"/>
        <v/>
      </c>
      <c r="T35" s="173"/>
      <c r="U35" s="182"/>
    </row>
    <row r="36" spans="1:21" ht="21.75" customHeight="1">
      <c r="A36" s="66" t="str">
        <f t="shared" ca="1" si="1"/>
        <v/>
      </c>
      <c r="B36" s="171" t="str">
        <f t="shared" ca="1" si="5"/>
        <v/>
      </c>
      <c r="C36" s="171" t="str">
        <f t="shared" ca="1" si="6"/>
        <v/>
      </c>
      <c r="D36" s="171" t="str">
        <f t="shared" ca="1" si="7"/>
        <v/>
      </c>
      <c r="E36" s="171" t="str">
        <f t="shared" ca="1" si="8"/>
        <v/>
      </c>
      <c r="F36" s="84">
        <v>41</v>
      </c>
      <c r="G36" s="196" t="str">
        <f t="shared" ca="1" si="2"/>
        <v/>
      </c>
      <c r="H36" s="106"/>
      <c r="I36" s="106"/>
      <c r="J36" s="86" t="str">
        <f t="shared" ca="1" si="9"/>
        <v/>
      </c>
      <c r="K36" s="69" t="str">
        <f t="shared" ca="1" si="9"/>
        <v/>
      </c>
      <c r="L36" s="106"/>
      <c r="M36" s="106"/>
      <c r="N36" s="106"/>
      <c r="O36" s="106"/>
      <c r="P36" s="106"/>
      <c r="Q36" s="85" t="str">
        <f t="shared" ca="1" si="10"/>
        <v/>
      </c>
      <c r="R36" s="85" t="str">
        <f t="shared" ca="1" si="10"/>
        <v/>
      </c>
      <c r="S36" s="86" t="str">
        <f t="shared" ca="1" si="10"/>
        <v/>
      </c>
      <c r="T36" s="173"/>
      <c r="U36" s="182"/>
    </row>
    <row r="37" spans="1:21" ht="21.75" customHeight="1">
      <c r="A37" s="66" t="str">
        <f t="shared" ca="1" si="1"/>
        <v/>
      </c>
      <c r="B37" s="171" t="str">
        <f t="shared" ca="1" si="5"/>
        <v/>
      </c>
      <c r="C37" s="171" t="str">
        <f t="shared" ca="1" si="6"/>
        <v/>
      </c>
      <c r="D37" s="171" t="str">
        <f t="shared" ca="1" si="7"/>
        <v/>
      </c>
      <c r="E37" s="171" t="str">
        <f t="shared" ca="1" si="8"/>
        <v/>
      </c>
      <c r="F37" s="84">
        <v>42</v>
      </c>
      <c r="G37" s="196" t="str">
        <f t="shared" ca="1" si="2"/>
        <v/>
      </c>
      <c r="H37" s="106"/>
      <c r="I37" s="106"/>
      <c r="J37" s="86" t="str">
        <f t="shared" ca="1" si="9"/>
        <v/>
      </c>
      <c r="K37" s="69" t="str">
        <f t="shared" ca="1" si="9"/>
        <v/>
      </c>
      <c r="L37" s="106"/>
      <c r="M37" s="106"/>
      <c r="N37" s="106"/>
      <c r="O37" s="106"/>
      <c r="P37" s="106"/>
      <c r="Q37" s="85" t="str">
        <f t="shared" ca="1" si="10"/>
        <v/>
      </c>
      <c r="R37" s="85" t="str">
        <f t="shared" ca="1" si="10"/>
        <v/>
      </c>
      <c r="S37" s="86" t="str">
        <f t="shared" ca="1" si="10"/>
        <v/>
      </c>
      <c r="T37" s="173"/>
      <c r="U37" s="182"/>
    </row>
    <row r="38" spans="1:21" ht="21.75" customHeight="1">
      <c r="A38" s="66" t="str">
        <f t="shared" ca="1" si="1"/>
        <v/>
      </c>
      <c r="B38" s="171" t="str">
        <f t="shared" ca="1" si="5"/>
        <v/>
      </c>
      <c r="C38" s="171" t="str">
        <f t="shared" ca="1" si="6"/>
        <v/>
      </c>
      <c r="D38" s="171" t="str">
        <f t="shared" ca="1" si="7"/>
        <v/>
      </c>
      <c r="E38" s="171" t="str">
        <f t="shared" ca="1" si="8"/>
        <v/>
      </c>
      <c r="F38" s="84">
        <v>43</v>
      </c>
      <c r="G38" s="196" t="str">
        <f t="shared" ca="1" si="2"/>
        <v/>
      </c>
      <c r="H38" s="106"/>
      <c r="I38" s="106"/>
      <c r="J38" s="86" t="str">
        <f t="shared" ca="1" si="9"/>
        <v/>
      </c>
      <c r="K38" s="69" t="str">
        <f t="shared" ca="1" si="9"/>
        <v/>
      </c>
      <c r="L38" s="106"/>
      <c r="M38" s="106"/>
      <c r="N38" s="106"/>
      <c r="O38" s="106"/>
      <c r="P38" s="106"/>
      <c r="Q38" s="85" t="str">
        <f t="shared" ca="1" si="10"/>
        <v/>
      </c>
      <c r="R38" s="85" t="str">
        <f t="shared" ca="1" si="10"/>
        <v/>
      </c>
      <c r="S38" s="86" t="str">
        <f t="shared" ca="1" si="10"/>
        <v/>
      </c>
      <c r="T38" s="173"/>
      <c r="U38" s="182"/>
    </row>
    <row r="39" spans="1:21" ht="21.75" customHeight="1">
      <c r="A39" s="66" t="str">
        <f t="shared" ca="1" si="1"/>
        <v/>
      </c>
      <c r="B39" s="171" t="str">
        <f t="shared" ca="1" si="5"/>
        <v/>
      </c>
      <c r="C39" s="171" t="str">
        <f t="shared" ca="1" si="6"/>
        <v/>
      </c>
      <c r="D39" s="171" t="str">
        <f t="shared" ca="1" si="7"/>
        <v/>
      </c>
      <c r="E39" s="171" t="str">
        <f t="shared" ca="1" si="8"/>
        <v/>
      </c>
      <c r="F39" s="84">
        <v>44</v>
      </c>
      <c r="G39" s="196" t="str">
        <f t="shared" ca="1" si="2"/>
        <v/>
      </c>
      <c r="H39" s="106"/>
      <c r="I39" s="106"/>
      <c r="J39" s="86" t="str">
        <f t="shared" ca="1" si="9"/>
        <v/>
      </c>
      <c r="K39" s="69" t="str">
        <f t="shared" ca="1" si="9"/>
        <v/>
      </c>
      <c r="L39" s="106"/>
      <c r="M39" s="106"/>
      <c r="N39" s="106"/>
      <c r="O39" s="106"/>
      <c r="P39" s="106"/>
      <c r="Q39" s="85" t="str">
        <f t="shared" ca="1" si="10"/>
        <v/>
      </c>
      <c r="R39" s="85" t="str">
        <f t="shared" ca="1" si="10"/>
        <v/>
      </c>
      <c r="S39" s="86" t="str">
        <f t="shared" ca="1" si="10"/>
        <v/>
      </c>
      <c r="T39" s="173"/>
      <c r="U39" s="182"/>
    </row>
    <row r="40" spans="1:21" ht="21.75" customHeight="1">
      <c r="A40" s="66" t="str">
        <f t="shared" ca="1" si="1"/>
        <v/>
      </c>
      <c r="B40" s="171" t="str">
        <f t="shared" ca="1" si="5"/>
        <v/>
      </c>
      <c r="C40" s="171" t="str">
        <f t="shared" ca="1" si="6"/>
        <v/>
      </c>
      <c r="D40" s="171" t="str">
        <f t="shared" ca="1" si="7"/>
        <v/>
      </c>
      <c r="E40" s="171" t="str">
        <f t="shared" ca="1" si="8"/>
        <v/>
      </c>
      <c r="F40" s="84">
        <v>45</v>
      </c>
      <c r="G40" s="196" t="str">
        <f t="shared" ca="1" si="2"/>
        <v/>
      </c>
      <c r="H40" s="106"/>
      <c r="I40" s="106"/>
      <c r="J40" s="86" t="str">
        <f t="shared" ca="1" si="9"/>
        <v/>
      </c>
      <c r="K40" s="69" t="str">
        <f t="shared" ca="1" si="9"/>
        <v/>
      </c>
      <c r="L40" s="106"/>
      <c r="M40" s="106"/>
      <c r="N40" s="106"/>
      <c r="O40" s="106"/>
      <c r="P40" s="106"/>
      <c r="Q40" s="85" t="str">
        <f t="shared" ca="1" si="10"/>
        <v/>
      </c>
      <c r="R40" s="85" t="str">
        <f t="shared" ca="1" si="10"/>
        <v/>
      </c>
      <c r="S40" s="86" t="str">
        <f t="shared" ca="1" si="10"/>
        <v/>
      </c>
      <c r="T40" s="173"/>
      <c r="U40" s="182"/>
    </row>
    <row r="41" spans="1:21" ht="21.75" customHeight="1">
      <c r="A41" s="66" t="str">
        <f t="shared" ca="1" si="1"/>
        <v/>
      </c>
      <c r="B41" s="171" t="str">
        <f t="shared" ca="1" si="5"/>
        <v/>
      </c>
      <c r="C41" s="171" t="str">
        <f t="shared" ca="1" si="6"/>
        <v/>
      </c>
      <c r="D41" s="171" t="str">
        <f t="shared" ca="1" si="7"/>
        <v/>
      </c>
      <c r="E41" s="171" t="str">
        <f t="shared" ca="1" si="8"/>
        <v/>
      </c>
      <c r="F41" s="84">
        <v>46</v>
      </c>
      <c r="G41" s="196" t="str">
        <f t="shared" ca="1" si="2"/>
        <v/>
      </c>
      <c r="H41" s="106"/>
      <c r="I41" s="106"/>
      <c r="J41" s="86" t="str">
        <f t="shared" ca="1" si="9"/>
        <v/>
      </c>
      <c r="K41" s="69" t="str">
        <f t="shared" ca="1" si="9"/>
        <v/>
      </c>
      <c r="L41" s="106"/>
      <c r="M41" s="106"/>
      <c r="N41" s="106"/>
      <c r="O41" s="106"/>
      <c r="P41" s="106"/>
      <c r="Q41" s="85" t="str">
        <f t="shared" ca="1" si="10"/>
        <v/>
      </c>
      <c r="R41" s="85" t="str">
        <f t="shared" ca="1" si="10"/>
        <v/>
      </c>
      <c r="S41" s="86" t="str">
        <f t="shared" ca="1" si="10"/>
        <v/>
      </c>
      <c r="T41" s="173"/>
      <c r="U41" s="182"/>
    </row>
    <row r="42" spans="1:21" ht="21.75" customHeight="1">
      <c r="A42" s="66" t="str">
        <f t="shared" ca="1" si="1"/>
        <v/>
      </c>
      <c r="B42" s="171" t="str">
        <f t="shared" ca="1" si="5"/>
        <v/>
      </c>
      <c r="C42" s="171" t="str">
        <f t="shared" ca="1" si="6"/>
        <v/>
      </c>
      <c r="D42" s="171" t="str">
        <f t="shared" ca="1" si="7"/>
        <v/>
      </c>
      <c r="E42" s="171" t="str">
        <f t="shared" ca="1" si="8"/>
        <v/>
      </c>
      <c r="F42" s="84">
        <v>47</v>
      </c>
      <c r="G42" s="196" t="str">
        <f t="shared" ca="1" si="2"/>
        <v/>
      </c>
      <c r="H42" s="106"/>
      <c r="I42" s="106"/>
      <c r="J42" s="86" t="str">
        <f t="shared" ca="1" si="9"/>
        <v/>
      </c>
      <c r="K42" s="69" t="str">
        <f t="shared" ca="1" si="9"/>
        <v/>
      </c>
      <c r="L42" s="106"/>
      <c r="M42" s="106"/>
      <c r="N42" s="106"/>
      <c r="O42" s="106"/>
      <c r="P42" s="106"/>
      <c r="Q42" s="85" t="str">
        <f t="shared" ca="1" si="10"/>
        <v/>
      </c>
      <c r="R42" s="85" t="str">
        <f t="shared" ca="1" si="10"/>
        <v/>
      </c>
      <c r="S42" s="86" t="str">
        <f t="shared" ca="1" si="10"/>
        <v/>
      </c>
      <c r="T42" s="173"/>
      <c r="U42" s="182"/>
    </row>
    <row r="43" spans="1:21" ht="21.75" customHeight="1">
      <c r="A43" s="66" t="str">
        <f t="shared" ca="1" si="1"/>
        <v/>
      </c>
      <c r="B43" s="171" t="str">
        <f t="shared" ca="1" si="5"/>
        <v/>
      </c>
      <c r="C43" s="171" t="str">
        <f t="shared" ca="1" si="6"/>
        <v/>
      </c>
      <c r="D43" s="171" t="str">
        <f t="shared" ca="1" si="7"/>
        <v/>
      </c>
      <c r="E43" s="171" t="str">
        <f t="shared" ca="1" si="8"/>
        <v/>
      </c>
      <c r="F43" s="84">
        <v>48</v>
      </c>
      <c r="G43" s="196" t="str">
        <f t="shared" ca="1" si="2"/>
        <v/>
      </c>
      <c r="H43" s="106"/>
      <c r="I43" s="106"/>
      <c r="J43" s="86" t="str">
        <f t="shared" ca="1" si="9"/>
        <v/>
      </c>
      <c r="K43" s="69" t="str">
        <f t="shared" ca="1" si="9"/>
        <v/>
      </c>
      <c r="L43" s="106"/>
      <c r="M43" s="106"/>
      <c r="N43" s="106"/>
      <c r="O43" s="106"/>
      <c r="P43" s="106"/>
      <c r="Q43" s="85" t="str">
        <f t="shared" ca="1" si="10"/>
        <v/>
      </c>
      <c r="R43" s="85" t="str">
        <f t="shared" ca="1" si="10"/>
        <v/>
      </c>
      <c r="S43" s="86" t="str">
        <f t="shared" ca="1" si="10"/>
        <v/>
      </c>
      <c r="T43" s="173"/>
      <c r="U43" s="182"/>
    </row>
    <row r="44" spans="1:21" ht="21.75" customHeight="1">
      <c r="A44" s="66" t="str">
        <f t="shared" ca="1" si="1"/>
        <v/>
      </c>
      <c r="B44" s="171" t="str">
        <f t="shared" ca="1" si="5"/>
        <v/>
      </c>
      <c r="C44" s="171" t="str">
        <f t="shared" ca="1" si="6"/>
        <v/>
      </c>
      <c r="D44" s="171" t="str">
        <f t="shared" ca="1" si="7"/>
        <v/>
      </c>
      <c r="E44" s="171" t="str">
        <f t="shared" ca="1" si="8"/>
        <v/>
      </c>
      <c r="F44" s="84">
        <v>49</v>
      </c>
      <c r="G44" s="196" t="str">
        <f t="shared" ca="1" si="2"/>
        <v/>
      </c>
      <c r="H44" s="106"/>
      <c r="I44" s="106"/>
      <c r="J44" s="86" t="str">
        <f t="shared" ref="J44:K96" ca="1" si="11">IF(INDIRECT($F$3&amp;J$3&amp;$F44)="","",INDIRECT($F$3&amp;J$3&amp;$F44))</f>
        <v/>
      </c>
      <c r="K44" s="69" t="str">
        <f t="shared" ca="1" si="11"/>
        <v/>
      </c>
      <c r="L44" s="106"/>
      <c r="M44" s="106"/>
      <c r="N44" s="106"/>
      <c r="O44" s="106"/>
      <c r="P44" s="106"/>
      <c r="Q44" s="85" t="str">
        <f t="shared" ref="Q44:S96" ca="1" si="12">IF(INDIRECT($F$3&amp;Q$3&amp;$F44)="","",INDIRECT($F$3&amp;Q$3&amp;$F44))</f>
        <v/>
      </c>
      <c r="R44" s="85" t="str">
        <f t="shared" ca="1" si="12"/>
        <v/>
      </c>
      <c r="S44" s="86" t="str">
        <f t="shared" ca="1" si="12"/>
        <v/>
      </c>
      <c r="T44" s="173"/>
      <c r="U44" s="182"/>
    </row>
    <row r="45" spans="1:21" ht="21.75" customHeight="1">
      <c r="A45" s="66" t="str">
        <f t="shared" ca="1" si="1"/>
        <v/>
      </c>
      <c r="B45" s="171" t="str">
        <f t="shared" ca="1" si="5"/>
        <v/>
      </c>
      <c r="C45" s="171" t="str">
        <f t="shared" ca="1" si="6"/>
        <v/>
      </c>
      <c r="D45" s="171" t="str">
        <f t="shared" ca="1" si="7"/>
        <v/>
      </c>
      <c r="E45" s="171" t="str">
        <f t="shared" ca="1" si="8"/>
        <v/>
      </c>
      <c r="F45" s="84">
        <v>50</v>
      </c>
      <c r="G45" s="196" t="str">
        <f t="shared" ca="1" si="2"/>
        <v/>
      </c>
      <c r="H45" s="106"/>
      <c r="I45" s="106"/>
      <c r="J45" s="86" t="str">
        <f t="shared" ca="1" si="11"/>
        <v/>
      </c>
      <c r="K45" s="69" t="str">
        <f t="shared" ca="1" si="11"/>
        <v/>
      </c>
      <c r="L45" s="106"/>
      <c r="M45" s="106"/>
      <c r="N45" s="106"/>
      <c r="O45" s="106"/>
      <c r="P45" s="106"/>
      <c r="Q45" s="85" t="str">
        <f t="shared" ca="1" si="12"/>
        <v/>
      </c>
      <c r="R45" s="85" t="str">
        <f t="shared" ca="1" si="12"/>
        <v/>
      </c>
      <c r="S45" s="86" t="str">
        <f t="shared" ca="1" si="12"/>
        <v/>
      </c>
      <c r="T45" s="173"/>
      <c r="U45" s="182"/>
    </row>
    <row r="46" spans="1:21" ht="21.75" customHeight="1">
      <c r="A46" s="66" t="str">
        <f t="shared" ca="1" si="1"/>
        <v/>
      </c>
      <c r="B46" s="171" t="str">
        <f t="shared" ca="1" si="5"/>
        <v/>
      </c>
      <c r="C46" s="171" t="str">
        <f t="shared" ca="1" si="6"/>
        <v/>
      </c>
      <c r="D46" s="171" t="str">
        <f t="shared" ca="1" si="7"/>
        <v/>
      </c>
      <c r="E46" s="171" t="str">
        <f t="shared" ca="1" si="8"/>
        <v/>
      </c>
      <c r="F46" s="84">
        <v>51</v>
      </c>
      <c r="G46" s="196" t="str">
        <f t="shared" ca="1" si="2"/>
        <v/>
      </c>
      <c r="H46" s="106"/>
      <c r="I46" s="106"/>
      <c r="J46" s="86" t="str">
        <f t="shared" ca="1" si="11"/>
        <v/>
      </c>
      <c r="K46" s="69" t="str">
        <f t="shared" ca="1" si="11"/>
        <v/>
      </c>
      <c r="L46" s="106"/>
      <c r="M46" s="106"/>
      <c r="N46" s="106"/>
      <c r="O46" s="106"/>
      <c r="P46" s="106"/>
      <c r="Q46" s="85" t="str">
        <f t="shared" ca="1" si="12"/>
        <v/>
      </c>
      <c r="R46" s="85" t="str">
        <f t="shared" ca="1" si="12"/>
        <v/>
      </c>
      <c r="S46" s="86" t="str">
        <f t="shared" ca="1" si="12"/>
        <v/>
      </c>
      <c r="T46" s="173"/>
      <c r="U46" s="182"/>
    </row>
    <row r="47" spans="1:21" ht="21.75" customHeight="1">
      <c r="A47" s="66" t="str">
        <f t="shared" ca="1" si="1"/>
        <v/>
      </c>
      <c r="B47" s="171" t="str">
        <f t="shared" ca="1" si="5"/>
        <v/>
      </c>
      <c r="C47" s="171" t="str">
        <f t="shared" ca="1" si="6"/>
        <v/>
      </c>
      <c r="D47" s="171" t="str">
        <f t="shared" ca="1" si="7"/>
        <v/>
      </c>
      <c r="E47" s="171" t="str">
        <f t="shared" ca="1" si="8"/>
        <v/>
      </c>
      <c r="F47" s="84">
        <v>52</v>
      </c>
      <c r="G47" s="196" t="str">
        <f t="shared" ca="1" si="2"/>
        <v/>
      </c>
      <c r="H47" s="106"/>
      <c r="I47" s="106"/>
      <c r="J47" s="86" t="str">
        <f t="shared" ca="1" si="11"/>
        <v/>
      </c>
      <c r="K47" s="69" t="str">
        <f t="shared" ca="1" si="11"/>
        <v/>
      </c>
      <c r="L47" s="106"/>
      <c r="M47" s="106"/>
      <c r="N47" s="106"/>
      <c r="O47" s="106"/>
      <c r="P47" s="106"/>
      <c r="Q47" s="85" t="str">
        <f t="shared" ca="1" si="12"/>
        <v/>
      </c>
      <c r="R47" s="85" t="str">
        <f t="shared" ca="1" si="12"/>
        <v/>
      </c>
      <c r="S47" s="86" t="str">
        <f t="shared" ca="1" si="12"/>
        <v/>
      </c>
      <c r="T47" s="173"/>
      <c r="U47" s="182"/>
    </row>
    <row r="48" spans="1:21" ht="21.75" customHeight="1">
      <c r="A48" s="66" t="str">
        <f t="shared" ca="1" si="1"/>
        <v/>
      </c>
      <c r="B48" s="171" t="str">
        <f t="shared" ca="1" si="5"/>
        <v/>
      </c>
      <c r="C48" s="171" t="str">
        <f t="shared" ca="1" si="6"/>
        <v/>
      </c>
      <c r="D48" s="171" t="str">
        <f t="shared" ca="1" si="7"/>
        <v/>
      </c>
      <c r="E48" s="171" t="str">
        <f t="shared" ca="1" si="8"/>
        <v/>
      </c>
      <c r="F48" s="84">
        <v>53</v>
      </c>
      <c r="G48" s="196" t="str">
        <f t="shared" ca="1" si="2"/>
        <v/>
      </c>
      <c r="H48" s="106"/>
      <c r="I48" s="106"/>
      <c r="J48" s="86" t="str">
        <f t="shared" ca="1" si="11"/>
        <v/>
      </c>
      <c r="K48" s="69" t="str">
        <f t="shared" ca="1" si="11"/>
        <v/>
      </c>
      <c r="L48" s="106"/>
      <c r="M48" s="106"/>
      <c r="N48" s="106"/>
      <c r="O48" s="106"/>
      <c r="P48" s="106"/>
      <c r="Q48" s="85" t="str">
        <f t="shared" ca="1" si="12"/>
        <v/>
      </c>
      <c r="R48" s="85" t="str">
        <f t="shared" ca="1" si="12"/>
        <v/>
      </c>
      <c r="S48" s="86" t="str">
        <f t="shared" ca="1" si="12"/>
        <v/>
      </c>
      <c r="T48" s="173"/>
      <c r="U48" s="182"/>
    </row>
    <row r="49" spans="1:21" ht="21.75" customHeight="1">
      <c r="A49" s="66" t="str">
        <f t="shared" ca="1" si="1"/>
        <v/>
      </c>
      <c r="B49" s="171" t="str">
        <f t="shared" ca="1" si="5"/>
        <v/>
      </c>
      <c r="C49" s="171" t="str">
        <f t="shared" ca="1" si="6"/>
        <v/>
      </c>
      <c r="D49" s="171" t="str">
        <f t="shared" ca="1" si="7"/>
        <v/>
      </c>
      <c r="E49" s="171" t="str">
        <f t="shared" ca="1" si="8"/>
        <v/>
      </c>
      <c r="F49" s="84">
        <v>54</v>
      </c>
      <c r="G49" s="196" t="str">
        <f t="shared" ca="1" si="2"/>
        <v/>
      </c>
      <c r="H49" s="106"/>
      <c r="I49" s="106"/>
      <c r="J49" s="86" t="str">
        <f t="shared" ca="1" si="11"/>
        <v/>
      </c>
      <c r="K49" s="69" t="str">
        <f t="shared" ca="1" si="11"/>
        <v/>
      </c>
      <c r="L49" s="106"/>
      <c r="M49" s="106"/>
      <c r="N49" s="106"/>
      <c r="O49" s="106"/>
      <c r="P49" s="106"/>
      <c r="Q49" s="85" t="str">
        <f t="shared" ca="1" si="12"/>
        <v/>
      </c>
      <c r="R49" s="85" t="str">
        <f t="shared" ca="1" si="12"/>
        <v/>
      </c>
      <c r="S49" s="86" t="str">
        <f t="shared" ca="1" si="12"/>
        <v/>
      </c>
      <c r="T49" s="173"/>
      <c r="U49" s="182"/>
    </row>
    <row r="50" spans="1:21" ht="21.75" customHeight="1">
      <c r="A50" s="66" t="str">
        <f t="shared" ca="1" si="1"/>
        <v/>
      </c>
      <c r="B50" s="171" t="str">
        <f t="shared" ca="1" si="5"/>
        <v/>
      </c>
      <c r="C50" s="171" t="str">
        <f t="shared" ca="1" si="6"/>
        <v/>
      </c>
      <c r="D50" s="171" t="str">
        <f t="shared" ca="1" si="7"/>
        <v/>
      </c>
      <c r="E50" s="171" t="str">
        <f t="shared" ca="1" si="8"/>
        <v/>
      </c>
      <c r="F50" s="84">
        <v>55</v>
      </c>
      <c r="G50" s="196" t="str">
        <f t="shared" ca="1" si="2"/>
        <v/>
      </c>
      <c r="H50" s="106"/>
      <c r="I50" s="106"/>
      <c r="J50" s="86" t="str">
        <f t="shared" ca="1" si="11"/>
        <v/>
      </c>
      <c r="K50" s="69" t="str">
        <f t="shared" ca="1" si="11"/>
        <v/>
      </c>
      <c r="L50" s="106"/>
      <c r="M50" s="106"/>
      <c r="N50" s="106"/>
      <c r="O50" s="106"/>
      <c r="P50" s="106"/>
      <c r="Q50" s="85" t="str">
        <f t="shared" ca="1" si="12"/>
        <v/>
      </c>
      <c r="R50" s="85" t="str">
        <f t="shared" ca="1" si="12"/>
        <v/>
      </c>
      <c r="S50" s="86" t="str">
        <f t="shared" ca="1" si="12"/>
        <v/>
      </c>
      <c r="T50" s="173"/>
      <c r="U50" s="182"/>
    </row>
    <row r="51" spans="1:21" ht="21.75" customHeight="1">
      <c r="A51" s="66" t="str">
        <f t="shared" ca="1" si="1"/>
        <v/>
      </c>
      <c r="B51" s="171" t="str">
        <f t="shared" ca="1" si="5"/>
        <v/>
      </c>
      <c r="C51" s="171" t="str">
        <f t="shared" ca="1" si="6"/>
        <v/>
      </c>
      <c r="D51" s="171" t="str">
        <f t="shared" ca="1" si="7"/>
        <v/>
      </c>
      <c r="E51" s="171" t="str">
        <f t="shared" ca="1" si="8"/>
        <v/>
      </c>
      <c r="F51" s="84">
        <v>56</v>
      </c>
      <c r="G51" s="196" t="str">
        <f t="shared" ca="1" si="2"/>
        <v/>
      </c>
      <c r="H51" s="106"/>
      <c r="I51" s="106"/>
      <c r="J51" s="86" t="str">
        <f t="shared" ca="1" si="11"/>
        <v/>
      </c>
      <c r="K51" s="69" t="str">
        <f t="shared" ca="1" si="11"/>
        <v/>
      </c>
      <c r="L51" s="106"/>
      <c r="M51" s="106"/>
      <c r="N51" s="106"/>
      <c r="O51" s="106"/>
      <c r="P51" s="106"/>
      <c r="Q51" s="85" t="str">
        <f t="shared" ca="1" si="12"/>
        <v/>
      </c>
      <c r="R51" s="85" t="str">
        <f t="shared" ca="1" si="12"/>
        <v/>
      </c>
      <c r="S51" s="86" t="str">
        <f t="shared" ca="1" si="12"/>
        <v/>
      </c>
      <c r="T51" s="173"/>
      <c r="U51" s="182"/>
    </row>
    <row r="52" spans="1:21" ht="21.75" customHeight="1">
      <c r="A52" s="66" t="str">
        <f t="shared" ca="1" si="1"/>
        <v/>
      </c>
      <c r="B52" s="171" t="str">
        <f t="shared" ca="1" si="5"/>
        <v/>
      </c>
      <c r="C52" s="171" t="str">
        <f t="shared" ca="1" si="6"/>
        <v/>
      </c>
      <c r="D52" s="171" t="str">
        <f t="shared" ca="1" si="7"/>
        <v/>
      </c>
      <c r="E52" s="171" t="str">
        <f t="shared" ca="1" si="8"/>
        <v/>
      </c>
      <c r="F52" s="84">
        <v>57</v>
      </c>
      <c r="G52" s="196" t="str">
        <f t="shared" ca="1" si="2"/>
        <v/>
      </c>
      <c r="H52" s="106"/>
      <c r="I52" s="106"/>
      <c r="J52" s="86" t="str">
        <f t="shared" ca="1" si="11"/>
        <v/>
      </c>
      <c r="K52" s="69" t="str">
        <f t="shared" ca="1" si="11"/>
        <v/>
      </c>
      <c r="L52" s="106"/>
      <c r="M52" s="106"/>
      <c r="N52" s="106"/>
      <c r="O52" s="106"/>
      <c r="P52" s="106"/>
      <c r="Q52" s="85" t="str">
        <f t="shared" ca="1" si="12"/>
        <v/>
      </c>
      <c r="R52" s="85" t="str">
        <f t="shared" ca="1" si="12"/>
        <v/>
      </c>
      <c r="S52" s="86" t="str">
        <f t="shared" ca="1" si="12"/>
        <v/>
      </c>
      <c r="T52" s="173"/>
      <c r="U52" s="182"/>
    </row>
    <row r="53" spans="1:21" ht="21.75" customHeight="1">
      <c r="A53" s="66" t="str">
        <f t="shared" ca="1" si="1"/>
        <v/>
      </c>
      <c r="B53" s="171" t="str">
        <f t="shared" ca="1" si="5"/>
        <v/>
      </c>
      <c r="C53" s="171" t="str">
        <f t="shared" ca="1" si="6"/>
        <v/>
      </c>
      <c r="D53" s="171" t="str">
        <f t="shared" ca="1" si="7"/>
        <v/>
      </c>
      <c r="E53" s="171" t="str">
        <f t="shared" ca="1" si="8"/>
        <v/>
      </c>
      <c r="F53" s="84">
        <v>58</v>
      </c>
      <c r="G53" s="196" t="str">
        <f t="shared" ca="1" si="2"/>
        <v/>
      </c>
      <c r="H53" s="106"/>
      <c r="I53" s="106"/>
      <c r="J53" s="86" t="str">
        <f t="shared" ca="1" si="11"/>
        <v/>
      </c>
      <c r="K53" s="69" t="str">
        <f t="shared" ca="1" si="11"/>
        <v/>
      </c>
      <c r="L53" s="106"/>
      <c r="M53" s="106"/>
      <c r="N53" s="106"/>
      <c r="O53" s="106"/>
      <c r="P53" s="106"/>
      <c r="Q53" s="85" t="str">
        <f t="shared" ca="1" si="12"/>
        <v/>
      </c>
      <c r="R53" s="85" t="str">
        <f t="shared" ca="1" si="12"/>
        <v/>
      </c>
      <c r="S53" s="86" t="str">
        <f t="shared" ca="1" si="12"/>
        <v/>
      </c>
      <c r="T53" s="173"/>
      <c r="U53" s="182"/>
    </row>
    <row r="54" spans="1:21" ht="21.75" customHeight="1">
      <c r="A54" s="66" t="str">
        <f t="shared" ca="1" si="1"/>
        <v/>
      </c>
      <c r="B54" s="171" t="str">
        <f t="shared" ca="1" si="5"/>
        <v/>
      </c>
      <c r="C54" s="171" t="str">
        <f t="shared" ca="1" si="6"/>
        <v/>
      </c>
      <c r="D54" s="171" t="str">
        <f t="shared" ca="1" si="7"/>
        <v/>
      </c>
      <c r="E54" s="171" t="str">
        <f t="shared" ca="1" si="8"/>
        <v/>
      </c>
      <c r="F54" s="84">
        <v>59</v>
      </c>
      <c r="G54" s="196" t="str">
        <f t="shared" ca="1" si="2"/>
        <v/>
      </c>
      <c r="H54" s="106"/>
      <c r="I54" s="106"/>
      <c r="J54" s="86" t="str">
        <f t="shared" ca="1" si="11"/>
        <v/>
      </c>
      <c r="K54" s="69" t="str">
        <f t="shared" ca="1" si="11"/>
        <v/>
      </c>
      <c r="L54" s="106"/>
      <c r="M54" s="106"/>
      <c r="N54" s="106"/>
      <c r="O54" s="106"/>
      <c r="P54" s="106"/>
      <c r="Q54" s="85" t="str">
        <f t="shared" ca="1" si="12"/>
        <v/>
      </c>
      <c r="R54" s="85" t="str">
        <f t="shared" ca="1" si="12"/>
        <v/>
      </c>
      <c r="S54" s="86" t="str">
        <f t="shared" ca="1" si="12"/>
        <v/>
      </c>
      <c r="T54" s="173"/>
      <c r="U54" s="182"/>
    </row>
    <row r="55" spans="1:21" ht="21.75" customHeight="1">
      <c r="A55" s="66" t="str">
        <f t="shared" ca="1" si="1"/>
        <v/>
      </c>
      <c r="B55" s="171" t="str">
        <f t="shared" ca="1" si="5"/>
        <v/>
      </c>
      <c r="C55" s="171" t="str">
        <f t="shared" ca="1" si="6"/>
        <v/>
      </c>
      <c r="D55" s="171" t="str">
        <f t="shared" ca="1" si="7"/>
        <v/>
      </c>
      <c r="E55" s="171" t="str">
        <f t="shared" ca="1" si="8"/>
        <v/>
      </c>
      <c r="F55" s="84">
        <v>60</v>
      </c>
      <c r="G55" s="196" t="str">
        <f t="shared" ca="1" si="2"/>
        <v/>
      </c>
      <c r="H55" s="106"/>
      <c r="I55" s="106"/>
      <c r="J55" s="86" t="str">
        <f t="shared" ca="1" si="11"/>
        <v/>
      </c>
      <c r="K55" s="69" t="str">
        <f t="shared" ca="1" si="11"/>
        <v/>
      </c>
      <c r="L55" s="106"/>
      <c r="M55" s="106"/>
      <c r="N55" s="106"/>
      <c r="O55" s="106"/>
      <c r="P55" s="106"/>
      <c r="Q55" s="85" t="str">
        <f t="shared" ca="1" si="12"/>
        <v/>
      </c>
      <c r="R55" s="85" t="str">
        <f t="shared" ca="1" si="12"/>
        <v/>
      </c>
      <c r="S55" s="86" t="str">
        <f t="shared" ca="1" si="12"/>
        <v/>
      </c>
      <c r="T55" s="173"/>
      <c r="U55" s="182"/>
    </row>
    <row r="56" spans="1:21" ht="21.75" customHeight="1">
      <c r="A56" s="66" t="str">
        <f t="shared" ca="1" si="1"/>
        <v/>
      </c>
      <c r="B56" s="171" t="str">
        <f t="shared" ca="1" si="5"/>
        <v/>
      </c>
      <c r="C56" s="171" t="str">
        <f t="shared" ca="1" si="6"/>
        <v/>
      </c>
      <c r="D56" s="171" t="str">
        <f t="shared" ca="1" si="7"/>
        <v/>
      </c>
      <c r="E56" s="171" t="str">
        <f t="shared" ca="1" si="8"/>
        <v/>
      </c>
      <c r="F56" s="84">
        <v>61</v>
      </c>
      <c r="G56" s="196" t="str">
        <f t="shared" ca="1" si="2"/>
        <v/>
      </c>
      <c r="H56" s="106"/>
      <c r="I56" s="106"/>
      <c r="J56" s="86" t="str">
        <f t="shared" ca="1" si="11"/>
        <v/>
      </c>
      <c r="K56" s="69" t="str">
        <f t="shared" ca="1" si="11"/>
        <v/>
      </c>
      <c r="L56" s="106"/>
      <c r="M56" s="106"/>
      <c r="N56" s="106"/>
      <c r="O56" s="106"/>
      <c r="P56" s="106"/>
      <c r="Q56" s="85" t="str">
        <f t="shared" ca="1" si="12"/>
        <v/>
      </c>
      <c r="R56" s="85" t="str">
        <f t="shared" ca="1" si="12"/>
        <v/>
      </c>
      <c r="S56" s="86" t="str">
        <f t="shared" ca="1" si="12"/>
        <v/>
      </c>
      <c r="T56" s="173"/>
      <c r="U56" s="182"/>
    </row>
    <row r="57" spans="1:21" ht="21.75" customHeight="1">
      <c r="A57" s="66" t="str">
        <f t="shared" ca="1" si="1"/>
        <v/>
      </c>
      <c r="B57" s="171" t="str">
        <f t="shared" ca="1" si="5"/>
        <v/>
      </c>
      <c r="C57" s="171" t="str">
        <f t="shared" ca="1" si="6"/>
        <v/>
      </c>
      <c r="D57" s="171" t="str">
        <f t="shared" ca="1" si="7"/>
        <v/>
      </c>
      <c r="E57" s="171" t="str">
        <f t="shared" ca="1" si="8"/>
        <v/>
      </c>
      <c r="F57" s="84">
        <v>62</v>
      </c>
      <c r="G57" s="196" t="str">
        <f t="shared" ca="1" si="2"/>
        <v/>
      </c>
      <c r="H57" s="106"/>
      <c r="I57" s="106"/>
      <c r="J57" s="86" t="str">
        <f t="shared" ca="1" si="11"/>
        <v/>
      </c>
      <c r="K57" s="69" t="str">
        <f t="shared" ca="1" si="11"/>
        <v/>
      </c>
      <c r="L57" s="106"/>
      <c r="M57" s="106"/>
      <c r="N57" s="106"/>
      <c r="O57" s="106"/>
      <c r="P57" s="106"/>
      <c r="Q57" s="85" t="str">
        <f t="shared" ca="1" si="12"/>
        <v/>
      </c>
      <c r="R57" s="85" t="str">
        <f t="shared" ca="1" si="12"/>
        <v/>
      </c>
      <c r="S57" s="86" t="str">
        <f t="shared" ca="1" si="12"/>
        <v/>
      </c>
      <c r="T57" s="173"/>
      <c r="U57" s="182"/>
    </row>
    <row r="58" spans="1:21" ht="21.75" customHeight="1">
      <c r="A58" s="66" t="str">
        <f t="shared" ca="1" si="1"/>
        <v/>
      </c>
      <c r="B58" s="171" t="str">
        <f t="shared" ca="1" si="5"/>
        <v/>
      </c>
      <c r="C58" s="171" t="str">
        <f t="shared" ca="1" si="6"/>
        <v/>
      </c>
      <c r="D58" s="171" t="str">
        <f t="shared" ca="1" si="7"/>
        <v/>
      </c>
      <c r="E58" s="171" t="str">
        <f t="shared" ca="1" si="8"/>
        <v/>
      </c>
      <c r="F58" s="84">
        <v>63</v>
      </c>
      <c r="G58" s="196" t="str">
        <f t="shared" ca="1" si="2"/>
        <v/>
      </c>
      <c r="H58" s="106"/>
      <c r="I58" s="106"/>
      <c r="J58" s="86" t="str">
        <f t="shared" ca="1" si="11"/>
        <v/>
      </c>
      <c r="K58" s="69" t="str">
        <f t="shared" ca="1" si="11"/>
        <v/>
      </c>
      <c r="L58" s="106"/>
      <c r="M58" s="106"/>
      <c r="N58" s="106"/>
      <c r="O58" s="106"/>
      <c r="P58" s="106"/>
      <c r="Q58" s="85" t="str">
        <f t="shared" ca="1" si="12"/>
        <v/>
      </c>
      <c r="R58" s="85" t="str">
        <f t="shared" ca="1" si="12"/>
        <v/>
      </c>
      <c r="S58" s="86" t="str">
        <f t="shared" ca="1" si="12"/>
        <v/>
      </c>
      <c r="T58" s="173"/>
      <c r="U58" s="182"/>
    </row>
    <row r="59" spans="1:21" ht="21.75" customHeight="1">
      <c r="A59" s="66" t="str">
        <f t="shared" ca="1" si="1"/>
        <v/>
      </c>
      <c r="B59" s="171" t="str">
        <f t="shared" ca="1" si="5"/>
        <v/>
      </c>
      <c r="C59" s="171" t="str">
        <f t="shared" ca="1" si="6"/>
        <v/>
      </c>
      <c r="D59" s="171" t="str">
        <f t="shared" ca="1" si="7"/>
        <v/>
      </c>
      <c r="E59" s="171" t="str">
        <f t="shared" ca="1" si="8"/>
        <v/>
      </c>
      <c r="F59" s="84">
        <v>64</v>
      </c>
      <c r="G59" s="196" t="str">
        <f t="shared" ca="1" si="2"/>
        <v/>
      </c>
      <c r="H59" s="106"/>
      <c r="I59" s="106"/>
      <c r="J59" s="86" t="str">
        <f t="shared" ca="1" si="11"/>
        <v/>
      </c>
      <c r="K59" s="69" t="str">
        <f t="shared" ca="1" si="11"/>
        <v/>
      </c>
      <c r="L59" s="106"/>
      <c r="M59" s="106"/>
      <c r="N59" s="106"/>
      <c r="O59" s="106"/>
      <c r="P59" s="106"/>
      <c r="Q59" s="85" t="str">
        <f t="shared" ca="1" si="12"/>
        <v/>
      </c>
      <c r="R59" s="85" t="str">
        <f t="shared" ca="1" si="12"/>
        <v/>
      </c>
      <c r="S59" s="86" t="str">
        <f t="shared" ca="1" si="12"/>
        <v/>
      </c>
      <c r="T59" s="173"/>
      <c r="U59" s="182"/>
    </row>
    <row r="60" spans="1:21" ht="21.75" customHeight="1">
      <c r="A60" s="66" t="str">
        <f t="shared" ca="1" si="1"/>
        <v/>
      </c>
      <c r="B60" s="171" t="str">
        <f t="shared" ca="1" si="5"/>
        <v/>
      </c>
      <c r="C60" s="171" t="str">
        <f t="shared" ca="1" si="6"/>
        <v/>
      </c>
      <c r="D60" s="171" t="str">
        <f t="shared" ca="1" si="7"/>
        <v/>
      </c>
      <c r="E60" s="171" t="str">
        <f t="shared" ca="1" si="8"/>
        <v/>
      </c>
      <c r="F60" s="84">
        <v>65</v>
      </c>
      <c r="G60" s="196" t="str">
        <f t="shared" ca="1" si="2"/>
        <v/>
      </c>
      <c r="H60" s="106"/>
      <c r="I60" s="106"/>
      <c r="J60" s="86" t="str">
        <f t="shared" ca="1" si="11"/>
        <v/>
      </c>
      <c r="K60" s="69" t="str">
        <f t="shared" ca="1" si="11"/>
        <v/>
      </c>
      <c r="L60" s="106"/>
      <c r="M60" s="106"/>
      <c r="N60" s="106"/>
      <c r="O60" s="106"/>
      <c r="P60" s="106"/>
      <c r="Q60" s="85" t="str">
        <f t="shared" ca="1" si="12"/>
        <v/>
      </c>
      <c r="R60" s="85" t="str">
        <f t="shared" ca="1" si="12"/>
        <v/>
      </c>
      <c r="S60" s="86" t="str">
        <f t="shared" ca="1" si="12"/>
        <v/>
      </c>
      <c r="T60" s="173"/>
      <c r="U60" s="182"/>
    </row>
    <row r="61" spans="1:21" ht="21.75" customHeight="1">
      <c r="A61" s="66" t="str">
        <f t="shared" ca="1" si="1"/>
        <v/>
      </c>
      <c r="B61" s="171" t="str">
        <f t="shared" ca="1" si="5"/>
        <v/>
      </c>
      <c r="C61" s="171" t="str">
        <f t="shared" ca="1" si="6"/>
        <v/>
      </c>
      <c r="D61" s="171" t="str">
        <f t="shared" ca="1" si="7"/>
        <v/>
      </c>
      <c r="E61" s="171" t="str">
        <f t="shared" ca="1" si="8"/>
        <v/>
      </c>
      <c r="F61" s="84">
        <v>66</v>
      </c>
      <c r="G61" s="196" t="str">
        <f t="shared" ca="1" si="2"/>
        <v/>
      </c>
      <c r="H61" s="106"/>
      <c r="I61" s="106"/>
      <c r="J61" s="86" t="str">
        <f t="shared" ca="1" si="11"/>
        <v/>
      </c>
      <c r="K61" s="69" t="str">
        <f t="shared" ca="1" si="11"/>
        <v/>
      </c>
      <c r="L61" s="106"/>
      <c r="M61" s="106"/>
      <c r="N61" s="106"/>
      <c r="O61" s="106"/>
      <c r="P61" s="106"/>
      <c r="Q61" s="85" t="str">
        <f t="shared" ca="1" si="12"/>
        <v/>
      </c>
      <c r="R61" s="85" t="str">
        <f t="shared" ca="1" si="12"/>
        <v/>
      </c>
      <c r="S61" s="86" t="str">
        <f t="shared" ca="1" si="12"/>
        <v/>
      </c>
      <c r="T61" s="173"/>
      <c r="U61" s="182"/>
    </row>
    <row r="62" spans="1:21" ht="21.75" customHeight="1">
      <c r="A62" s="66" t="str">
        <f t="shared" ca="1" si="1"/>
        <v/>
      </c>
      <c r="B62" s="171" t="str">
        <f t="shared" ca="1" si="5"/>
        <v/>
      </c>
      <c r="C62" s="171" t="str">
        <f t="shared" ca="1" si="6"/>
        <v/>
      </c>
      <c r="D62" s="171" t="str">
        <f t="shared" ca="1" si="7"/>
        <v/>
      </c>
      <c r="E62" s="171" t="str">
        <f t="shared" ca="1" si="8"/>
        <v/>
      </c>
      <c r="F62" s="84">
        <v>67</v>
      </c>
      <c r="G62" s="196" t="str">
        <f t="shared" ca="1" si="2"/>
        <v/>
      </c>
      <c r="H62" s="106"/>
      <c r="I62" s="106"/>
      <c r="J62" s="86" t="str">
        <f t="shared" ca="1" si="11"/>
        <v/>
      </c>
      <c r="K62" s="69" t="str">
        <f t="shared" ca="1" si="11"/>
        <v/>
      </c>
      <c r="L62" s="106"/>
      <c r="M62" s="106"/>
      <c r="N62" s="106"/>
      <c r="O62" s="106"/>
      <c r="P62" s="106"/>
      <c r="Q62" s="85" t="str">
        <f t="shared" ca="1" si="12"/>
        <v/>
      </c>
      <c r="R62" s="85" t="str">
        <f t="shared" ca="1" si="12"/>
        <v/>
      </c>
      <c r="S62" s="86" t="str">
        <f t="shared" ca="1" si="12"/>
        <v/>
      </c>
      <c r="T62" s="173"/>
      <c r="U62" s="182"/>
    </row>
    <row r="63" spans="1:21" ht="21.75" customHeight="1">
      <c r="A63" s="66" t="str">
        <f t="shared" ca="1" si="1"/>
        <v/>
      </c>
      <c r="B63" s="171" t="str">
        <f t="shared" ca="1" si="5"/>
        <v/>
      </c>
      <c r="C63" s="171" t="str">
        <f t="shared" ca="1" si="6"/>
        <v/>
      </c>
      <c r="D63" s="171" t="str">
        <f t="shared" ca="1" si="7"/>
        <v/>
      </c>
      <c r="E63" s="171" t="str">
        <f t="shared" ca="1" si="8"/>
        <v/>
      </c>
      <c r="F63" s="84">
        <v>68</v>
      </c>
      <c r="G63" s="196" t="str">
        <f t="shared" ca="1" si="2"/>
        <v/>
      </c>
      <c r="H63" s="106"/>
      <c r="I63" s="106"/>
      <c r="J63" s="86" t="str">
        <f t="shared" ca="1" si="11"/>
        <v/>
      </c>
      <c r="K63" s="69" t="str">
        <f t="shared" ca="1" si="11"/>
        <v/>
      </c>
      <c r="L63" s="106"/>
      <c r="M63" s="106"/>
      <c r="N63" s="106"/>
      <c r="O63" s="106"/>
      <c r="P63" s="106"/>
      <c r="Q63" s="85" t="str">
        <f t="shared" ca="1" si="12"/>
        <v/>
      </c>
      <c r="R63" s="85" t="str">
        <f t="shared" ca="1" si="12"/>
        <v/>
      </c>
      <c r="S63" s="86" t="str">
        <f t="shared" ca="1" si="12"/>
        <v/>
      </c>
      <c r="T63" s="173"/>
      <c r="U63" s="182"/>
    </row>
    <row r="64" spans="1:21" ht="21.75" customHeight="1">
      <c r="A64" s="66" t="str">
        <f t="shared" ca="1" si="1"/>
        <v/>
      </c>
      <c r="B64" s="171" t="str">
        <f t="shared" ca="1" si="5"/>
        <v/>
      </c>
      <c r="C64" s="171" t="str">
        <f t="shared" ca="1" si="6"/>
        <v/>
      </c>
      <c r="D64" s="171" t="str">
        <f t="shared" ca="1" si="7"/>
        <v/>
      </c>
      <c r="E64" s="171" t="str">
        <f t="shared" ca="1" si="8"/>
        <v/>
      </c>
      <c r="F64" s="84">
        <v>69</v>
      </c>
      <c r="G64" s="196" t="str">
        <f t="shared" ca="1" si="2"/>
        <v/>
      </c>
      <c r="H64" s="106"/>
      <c r="I64" s="106"/>
      <c r="J64" s="86" t="str">
        <f t="shared" ca="1" si="11"/>
        <v/>
      </c>
      <c r="K64" s="69" t="str">
        <f t="shared" ca="1" si="11"/>
        <v/>
      </c>
      <c r="L64" s="106"/>
      <c r="M64" s="106"/>
      <c r="N64" s="106"/>
      <c r="O64" s="106"/>
      <c r="P64" s="106"/>
      <c r="Q64" s="85" t="str">
        <f t="shared" ca="1" si="12"/>
        <v/>
      </c>
      <c r="R64" s="85" t="str">
        <f t="shared" ca="1" si="12"/>
        <v/>
      </c>
      <c r="S64" s="86" t="str">
        <f t="shared" ca="1" si="12"/>
        <v/>
      </c>
      <c r="T64" s="173"/>
      <c r="U64" s="182"/>
    </row>
    <row r="65" spans="1:21" ht="21.75" customHeight="1">
      <c r="A65" s="66" t="str">
        <f t="shared" ca="1" si="1"/>
        <v/>
      </c>
      <c r="B65" s="171" t="str">
        <f t="shared" ca="1" si="5"/>
        <v/>
      </c>
      <c r="C65" s="171" t="str">
        <f t="shared" ca="1" si="6"/>
        <v/>
      </c>
      <c r="D65" s="171" t="str">
        <f t="shared" ca="1" si="7"/>
        <v/>
      </c>
      <c r="E65" s="171" t="str">
        <f t="shared" ca="1" si="8"/>
        <v/>
      </c>
      <c r="F65" s="84">
        <v>70</v>
      </c>
      <c r="G65" s="196" t="str">
        <f t="shared" ca="1" si="2"/>
        <v/>
      </c>
      <c r="H65" s="106"/>
      <c r="I65" s="106"/>
      <c r="J65" s="86" t="str">
        <f t="shared" ca="1" si="11"/>
        <v/>
      </c>
      <c r="K65" s="69" t="str">
        <f t="shared" ca="1" si="11"/>
        <v/>
      </c>
      <c r="L65" s="106"/>
      <c r="M65" s="106"/>
      <c r="N65" s="106"/>
      <c r="O65" s="106"/>
      <c r="P65" s="106"/>
      <c r="Q65" s="85" t="str">
        <f t="shared" ca="1" si="12"/>
        <v/>
      </c>
      <c r="R65" s="85" t="str">
        <f t="shared" ca="1" si="12"/>
        <v/>
      </c>
      <c r="S65" s="86" t="str">
        <f t="shared" ca="1" si="12"/>
        <v/>
      </c>
      <c r="T65" s="173"/>
      <c r="U65" s="182"/>
    </row>
    <row r="66" spans="1:21" ht="21.75" customHeight="1">
      <c r="A66" s="66" t="str">
        <f t="shared" ca="1" si="1"/>
        <v/>
      </c>
      <c r="B66" s="171" t="str">
        <f t="shared" ca="1" si="5"/>
        <v/>
      </c>
      <c r="C66" s="171" t="str">
        <f t="shared" ca="1" si="6"/>
        <v/>
      </c>
      <c r="D66" s="171" t="str">
        <f t="shared" ca="1" si="7"/>
        <v/>
      </c>
      <c r="E66" s="171" t="str">
        <f t="shared" ca="1" si="8"/>
        <v/>
      </c>
      <c r="F66" s="84">
        <v>71</v>
      </c>
      <c r="G66" s="196" t="str">
        <f t="shared" ca="1" si="2"/>
        <v/>
      </c>
      <c r="H66" s="106"/>
      <c r="I66" s="106"/>
      <c r="J66" s="86" t="str">
        <f t="shared" ca="1" si="11"/>
        <v/>
      </c>
      <c r="K66" s="69" t="str">
        <f t="shared" ca="1" si="11"/>
        <v/>
      </c>
      <c r="L66" s="106"/>
      <c r="M66" s="106"/>
      <c r="N66" s="106"/>
      <c r="O66" s="106"/>
      <c r="P66" s="106"/>
      <c r="Q66" s="85" t="str">
        <f t="shared" ca="1" si="12"/>
        <v/>
      </c>
      <c r="R66" s="85" t="str">
        <f t="shared" ca="1" si="12"/>
        <v/>
      </c>
      <c r="S66" s="86" t="str">
        <f t="shared" ca="1" si="12"/>
        <v/>
      </c>
      <c r="T66" s="173"/>
      <c r="U66" s="182"/>
    </row>
    <row r="67" spans="1:21" ht="21.75" customHeight="1">
      <c r="A67" s="66" t="str">
        <f t="shared" ca="1" si="1"/>
        <v/>
      </c>
      <c r="B67" s="171" t="str">
        <f t="shared" ca="1" si="5"/>
        <v/>
      </c>
      <c r="C67" s="171" t="str">
        <f t="shared" ca="1" si="6"/>
        <v/>
      </c>
      <c r="D67" s="171" t="str">
        <f t="shared" ca="1" si="7"/>
        <v/>
      </c>
      <c r="E67" s="171" t="str">
        <f t="shared" ca="1" si="8"/>
        <v/>
      </c>
      <c r="F67" s="84">
        <v>72</v>
      </c>
      <c r="G67" s="196" t="str">
        <f t="shared" ca="1" si="2"/>
        <v/>
      </c>
      <c r="H67" s="106"/>
      <c r="I67" s="106"/>
      <c r="J67" s="86" t="str">
        <f t="shared" ca="1" si="11"/>
        <v/>
      </c>
      <c r="K67" s="69" t="str">
        <f t="shared" ca="1" si="11"/>
        <v/>
      </c>
      <c r="L67" s="106"/>
      <c r="M67" s="106"/>
      <c r="N67" s="106"/>
      <c r="O67" s="106"/>
      <c r="P67" s="106"/>
      <c r="Q67" s="85" t="str">
        <f t="shared" ca="1" si="12"/>
        <v/>
      </c>
      <c r="R67" s="85" t="str">
        <f t="shared" ca="1" si="12"/>
        <v/>
      </c>
      <c r="S67" s="86" t="str">
        <f t="shared" ca="1" si="12"/>
        <v/>
      </c>
      <c r="T67" s="173"/>
      <c r="U67" s="182"/>
    </row>
    <row r="68" spans="1:21" ht="21.75" customHeight="1">
      <c r="A68" s="66" t="str">
        <f t="shared" ca="1" si="1"/>
        <v/>
      </c>
      <c r="B68" s="171" t="str">
        <f t="shared" ca="1" si="5"/>
        <v/>
      </c>
      <c r="C68" s="171" t="str">
        <f t="shared" ca="1" si="6"/>
        <v/>
      </c>
      <c r="D68" s="171" t="str">
        <f t="shared" ca="1" si="7"/>
        <v/>
      </c>
      <c r="E68" s="171" t="str">
        <f t="shared" ca="1" si="8"/>
        <v/>
      </c>
      <c r="F68" s="84">
        <v>73</v>
      </c>
      <c r="G68" s="196" t="str">
        <f t="shared" ca="1" si="2"/>
        <v/>
      </c>
      <c r="H68" s="106"/>
      <c r="I68" s="106"/>
      <c r="J68" s="86" t="str">
        <f t="shared" ca="1" si="11"/>
        <v/>
      </c>
      <c r="K68" s="69" t="str">
        <f t="shared" ca="1" si="11"/>
        <v/>
      </c>
      <c r="L68" s="106"/>
      <c r="M68" s="106"/>
      <c r="N68" s="106"/>
      <c r="O68" s="106"/>
      <c r="P68" s="106"/>
      <c r="Q68" s="85" t="str">
        <f t="shared" ca="1" si="12"/>
        <v/>
      </c>
      <c r="R68" s="85" t="str">
        <f t="shared" ca="1" si="12"/>
        <v/>
      </c>
      <c r="S68" s="86" t="str">
        <f t="shared" ca="1" si="12"/>
        <v/>
      </c>
      <c r="T68" s="173"/>
      <c r="U68" s="182"/>
    </row>
    <row r="69" spans="1:21" ht="21.75" customHeight="1">
      <c r="A69" s="66" t="str">
        <f t="shared" ref="A69:A101" ca="1" si="13">IF(G69="","","*")</f>
        <v/>
      </c>
      <c r="B69" s="171" t="str">
        <f t="shared" ca="1" si="5"/>
        <v/>
      </c>
      <c r="C69" s="171" t="str">
        <f t="shared" ca="1" si="6"/>
        <v/>
      </c>
      <c r="D69" s="171" t="str">
        <f t="shared" ca="1" si="7"/>
        <v/>
      </c>
      <c r="E69" s="171" t="str">
        <f t="shared" ca="1" si="8"/>
        <v/>
      </c>
      <c r="F69" s="84">
        <v>74</v>
      </c>
      <c r="G69" s="196" t="str">
        <f t="shared" ref="G69:G94" ca="1" si="14">IF(INDIRECT($F$3&amp;J$3&amp;$F69)="","",TEXT(INDIRECT($F$3&amp;G$3&amp;$F69),"00"))</f>
        <v/>
      </c>
      <c r="H69" s="106"/>
      <c r="I69" s="106"/>
      <c r="J69" s="86" t="str">
        <f t="shared" ca="1" si="11"/>
        <v/>
      </c>
      <c r="K69" s="69" t="str">
        <f t="shared" ca="1" si="11"/>
        <v/>
      </c>
      <c r="L69" s="106"/>
      <c r="M69" s="106"/>
      <c r="N69" s="106"/>
      <c r="O69" s="106"/>
      <c r="P69" s="106"/>
      <c r="Q69" s="85" t="str">
        <f t="shared" ca="1" si="12"/>
        <v/>
      </c>
      <c r="R69" s="85" t="str">
        <f t="shared" ca="1" si="12"/>
        <v/>
      </c>
      <c r="S69" s="86" t="str">
        <f t="shared" ca="1" si="12"/>
        <v/>
      </c>
      <c r="T69" s="173"/>
      <c r="U69" s="182"/>
    </row>
    <row r="70" spans="1:21" ht="21.75" customHeight="1">
      <c r="A70" s="66" t="str">
        <f t="shared" ca="1" si="13"/>
        <v/>
      </c>
      <c r="B70" s="171" t="str">
        <f t="shared" ref="B70:B94" ca="1" si="15">IF(G70="","",INDIRECT($A$3&amp;$B$3))</f>
        <v/>
      </c>
      <c r="C70" s="171" t="str">
        <f t="shared" ref="C70:C94" ca="1" si="16">IF(G70="","",INDIRECT($A$3&amp;$C$3))</f>
        <v/>
      </c>
      <c r="D70" s="171" t="str">
        <f t="shared" ref="D70:D94" ca="1" si="17">IF(G70="","",INDIRECT($A$3&amp;$D$3))</f>
        <v/>
      </c>
      <c r="E70" s="171" t="str">
        <f t="shared" ref="E70:E102" ca="1" si="18">INDIRECT($A$3&amp;$E$3)</f>
        <v/>
      </c>
      <c r="F70" s="84">
        <v>75</v>
      </c>
      <c r="G70" s="196" t="str">
        <f t="shared" ca="1" si="14"/>
        <v/>
      </c>
      <c r="H70" s="106"/>
      <c r="I70" s="106"/>
      <c r="J70" s="86" t="str">
        <f t="shared" ca="1" si="11"/>
        <v/>
      </c>
      <c r="K70" s="69" t="str">
        <f t="shared" ca="1" si="11"/>
        <v/>
      </c>
      <c r="L70" s="106"/>
      <c r="M70" s="106"/>
      <c r="N70" s="106"/>
      <c r="O70" s="106"/>
      <c r="P70" s="106"/>
      <c r="Q70" s="85" t="str">
        <f t="shared" ca="1" si="12"/>
        <v/>
      </c>
      <c r="R70" s="85" t="str">
        <f t="shared" ca="1" si="12"/>
        <v/>
      </c>
      <c r="S70" s="86" t="str">
        <f t="shared" ca="1" si="12"/>
        <v/>
      </c>
      <c r="T70" s="173"/>
      <c r="U70" s="182"/>
    </row>
    <row r="71" spans="1:21" ht="21.75" customHeight="1">
      <c r="A71" s="66" t="str">
        <f t="shared" ca="1" si="13"/>
        <v/>
      </c>
      <c r="B71" s="171" t="str">
        <f t="shared" ca="1" si="15"/>
        <v/>
      </c>
      <c r="C71" s="171" t="str">
        <f t="shared" ca="1" si="16"/>
        <v/>
      </c>
      <c r="D71" s="171" t="str">
        <f t="shared" ca="1" si="17"/>
        <v/>
      </c>
      <c r="E71" s="171" t="str">
        <f t="shared" ca="1" si="18"/>
        <v/>
      </c>
      <c r="F71" s="84">
        <v>76</v>
      </c>
      <c r="G71" s="196" t="str">
        <f t="shared" ca="1" si="14"/>
        <v/>
      </c>
      <c r="H71" s="106"/>
      <c r="I71" s="106"/>
      <c r="J71" s="86" t="str">
        <f t="shared" ca="1" si="11"/>
        <v/>
      </c>
      <c r="K71" s="69" t="str">
        <f t="shared" ca="1" si="11"/>
        <v/>
      </c>
      <c r="L71" s="106"/>
      <c r="M71" s="106"/>
      <c r="N71" s="106"/>
      <c r="O71" s="106"/>
      <c r="P71" s="106"/>
      <c r="Q71" s="85" t="str">
        <f t="shared" ca="1" si="12"/>
        <v/>
      </c>
      <c r="R71" s="85" t="str">
        <f t="shared" ca="1" si="12"/>
        <v/>
      </c>
      <c r="S71" s="86" t="str">
        <f t="shared" ca="1" si="12"/>
        <v/>
      </c>
      <c r="T71" s="173"/>
      <c r="U71" s="182"/>
    </row>
    <row r="72" spans="1:21" ht="21.75" customHeight="1">
      <c r="A72" s="66" t="str">
        <f t="shared" ca="1" si="13"/>
        <v/>
      </c>
      <c r="B72" s="171" t="str">
        <f t="shared" ca="1" si="15"/>
        <v/>
      </c>
      <c r="C72" s="171" t="str">
        <f t="shared" ca="1" si="16"/>
        <v/>
      </c>
      <c r="D72" s="171" t="str">
        <f t="shared" ca="1" si="17"/>
        <v/>
      </c>
      <c r="E72" s="171" t="str">
        <f t="shared" ca="1" si="18"/>
        <v/>
      </c>
      <c r="F72" s="84">
        <v>77</v>
      </c>
      <c r="G72" s="196" t="str">
        <f t="shared" ca="1" si="14"/>
        <v/>
      </c>
      <c r="H72" s="106"/>
      <c r="I72" s="106"/>
      <c r="J72" s="86" t="str">
        <f t="shared" ca="1" si="11"/>
        <v/>
      </c>
      <c r="K72" s="69" t="str">
        <f t="shared" ca="1" si="11"/>
        <v/>
      </c>
      <c r="L72" s="106"/>
      <c r="M72" s="106"/>
      <c r="N72" s="106"/>
      <c r="O72" s="106"/>
      <c r="P72" s="106"/>
      <c r="Q72" s="85" t="str">
        <f t="shared" ca="1" si="12"/>
        <v/>
      </c>
      <c r="R72" s="85" t="str">
        <f t="shared" ca="1" si="12"/>
        <v/>
      </c>
      <c r="S72" s="86" t="str">
        <f t="shared" ca="1" si="12"/>
        <v/>
      </c>
      <c r="T72" s="173"/>
      <c r="U72" s="182"/>
    </row>
    <row r="73" spans="1:21" ht="21.75" customHeight="1">
      <c r="A73" s="66" t="str">
        <f t="shared" ca="1" si="13"/>
        <v/>
      </c>
      <c r="B73" s="171" t="str">
        <f t="shared" ca="1" si="15"/>
        <v/>
      </c>
      <c r="C73" s="171" t="str">
        <f t="shared" ca="1" si="16"/>
        <v/>
      </c>
      <c r="D73" s="171" t="str">
        <f t="shared" ca="1" si="17"/>
        <v/>
      </c>
      <c r="E73" s="171" t="str">
        <f t="shared" ca="1" si="18"/>
        <v/>
      </c>
      <c r="F73" s="84">
        <v>78</v>
      </c>
      <c r="G73" s="196" t="str">
        <f t="shared" ca="1" si="14"/>
        <v/>
      </c>
      <c r="H73" s="106"/>
      <c r="I73" s="106"/>
      <c r="J73" s="86" t="str">
        <f t="shared" ca="1" si="11"/>
        <v/>
      </c>
      <c r="K73" s="69" t="str">
        <f t="shared" ca="1" si="11"/>
        <v/>
      </c>
      <c r="L73" s="106"/>
      <c r="M73" s="106"/>
      <c r="N73" s="106"/>
      <c r="O73" s="106"/>
      <c r="P73" s="106"/>
      <c r="Q73" s="85" t="str">
        <f t="shared" ca="1" si="12"/>
        <v/>
      </c>
      <c r="R73" s="85" t="str">
        <f t="shared" ca="1" si="12"/>
        <v/>
      </c>
      <c r="S73" s="86" t="str">
        <f t="shared" ca="1" si="12"/>
        <v/>
      </c>
      <c r="T73" s="173"/>
      <c r="U73" s="182"/>
    </row>
    <row r="74" spans="1:21" ht="21.75" customHeight="1">
      <c r="A74" s="66" t="str">
        <f t="shared" ca="1" si="13"/>
        <v/>
      </c>
      <c r="B74" s="171" t="str">
        <f t="shared" ca="1" si="15"/>
        <v/>
      </c>
      <c r="C74" s="171" t="str">
        <f t="shared" ca="1" si="16"/>
        <v/>
      </c>
      <c r="D74" s="171" t="str">
        <f t="shared" ca="1" si="17"/>
        <v/>
      </c>
      <c r="E74" s="171" t="str">
        <f t="shared" ca="1" si="18"/>
        <v/>
      </c>
      <c r="F74" s="84">
        <v>79</v>
      </c>
      <c r="G74" s="196" t="str">
        <f t="shared" ca="1" si="14"/>
        <v/>
      </c>
      <c r="H74" s="106"/>
      <c r="I74" s="106"/>
      <c r="J74" s="86" t="str">
        <f t="shared" ca="1" si="11"/>
        <v/>
      </c>
      <c r="K74" s="69" t="str">
        <f t="shared" ca="1" si="11"/>
        <v/>
      </c>
      <c r="L74" s="106"/>
      <c r="M74" s="106"/>
      <c r="N74" s="106"/>
      <c r="O74" s="106"/>
      <c r="P74" s="106"/>
      <c r="Q74" s="85" t="str">
        <f t="shared" ca="1" si="12"/>
        <v/>
      </c>
      <c r="R74" s="85" t="str">
        <f t="shared" ca="1" si="12"/>
        <v/>
      </c>
      <c r="S74" s="86" t="str">
        <f t="shared" ca="1" si="12"/>
        <v/>
      </c>
      <c r="T74" s="173"/>
      <c r="U74" s="182"/>
    </row>
    <row r="75" spans="1:21" ht="21.75" customHeight="1">
      <c r="A75" s="66" t="str">
        <f t="shared" ca="1" si="13"/>
        <v/>
      </c>
      <c r="B75" s="171" t="str">
        <f t="shared" ca="1" si="15"/>
        <v/>
      </c>
      <c r="C75" s="171" t="str">
        <f t="shared" ca="1" si="16"/>
        <v/>
      </c>
      <c r="D75" s="171" t="str">
        <f t="shared" ca="1" si="17"/>
        <v/>
      </c>
      <c r="E75" s="171" t="str">
        <f t="shared" ca="1" si="18"/>
        <v/>
      </c>
      <c r="F75" s="84">
        <v>80</v>
      </c>
      <c r="G75" s="196" t="str">
        <f t="shared" ca="1" si="14"/>
        <v/>
      </c>
      <c r="H75" s="106"/>
      <c r="I75" s="106"/>
      <c r="J75" s="86" t="str">
        <f t="shared" ca="1" si="11"/>
        <v/>
      </c>
      <c r="K75" s="69" t="str">
        <f t="shared" ca="1" si="11"/>
        <v/>
      </c>
      <c r="L75" s="106"/>
      <c r="M75" s="106"/>
      <c r="N75" s="106"/>
      <c r="O75" s="106"/>
      <c r="P75" s="106"/>
      <c r="Q75" s="85" t="str">
        <f t="shared" ca="1" si="12"/>
        <v/>
      </c>
      <c r="R75" s="85" t="str">
        <f t="shared" ca="1" si="12"/>
        <v/>
      </c>
      <c r="S75" s="86" t="str">
        <f t="shared" ca="1" si="12"/>
        <v/>
      </c>
      <c r="T75" s="173"/>
      <c r="U75" s="182"/>
    </row>
    <row r="76" spans="1:21" ht="21.75" customHeight="1">
      <c r="A76" s="66" t="str">
        <f t="shared" ca="1" si="13"/>
        <v/>
      </c>
      <c r="B76" s="171" t="str">
        <f t="shared" ca="1" si="15"/>
        <v/>
      </c>
      <c r="C76" s="171" t="str">
        <f t="shared" ca="1" si="16"/>
        <v/>
      </c>
      <c r="D76" s="171" t="str">
        <f t="shared" ca="1" si="17"/>
        <v/>
      </c>
      <c r="E76" s="171" t="str">
        <f t="shared" ca="1" si="18"/>
        <v/>
      </c>
      <c r="F76" s="84">
        <v>81</v>
      </c>
      <c r="G76" s="196" t="str">
        <f t="shared" ca="1" si="14"/>
        <v/>
      </c>
      <c r="H76" s="106"/>
      <c r="I76" s="106"/>
      <c r="J76" s="86" t="str">
        <f t="shared" ca="1" si="11"/>
        <v/>
      </c>
      <c r="K76" s="69" t="str">
        <f t="shared" ca="1" si="11"/>
        <v/>
      </c>
      <c r="L76" s="106"/>
      <c r="M76" s="106"/>
      <c r="N76" s="106"/>
      <c r="O76" s="106"/>
      <c r="P76" s="106"/>
      <c r="Q76" s="85" t="str">
        <f t="shared" ca="1" si="12"/>
        <v/>
      </c>
      <c r="R76" s="85" t="str">
        <f t="shared" ca="1" si="12"/>
        <v/>
      </c>
      <c r="S76" s="86" t="str">
        <f t="shared" ca="1" si="12"/>
        <v/>
      </c>
      <c r="T76" s="173"/>
      <c r="U76" s="182"/>
    </row>
    <row r="77" spans="1:21" ht="21.75" customHeight="1">
      <c r="A77" s="66" t="str">
        <f t="shared" ca="1" si="13"/>
        <v/>
      </c>
      <c r="B77" s="171" t="str">
        <f t="shared" ca="1" si="15"/>
        <v/>
      </c>
      <c r="C77" s="171" t="str">
        <f t="shared" ca="1" si="16"/>
        <v/>
      </c>
      <c r="D77" s="171" t="str">
        <f t="shared" ca="1" si="17"/>
        <v/>
      </c>
      <c r="E77" s="171" t="str">
        <f t="shared" ca="1" si="18"/>
        <v/>
      </c>
      <c r="F77" s="84">
        <v>82</v>
      </c>
      <c r="G77" s="196" t="str">
        <f t="shared" ca="1" si="14"/>
        <v/>
      </c>
      <c r="H77" s="106"/>
      <c r="I77" s="106"/>
      <c r="J77" s="86" t="str">
        <f t="shared" ca="1" si="11"/>
        <v/>
      </c>
      <c r="K77" s="69" t="str">
        <f t="shared" ca="1" si="11"/>
        <v/>
      </c>
      <c r="L77" s="106"/>
      <c r="M77" s="106"/>
      <c r="N77" s="106"/>
      <c r="O77" s="106"/>
      <c r="P77" s="106"/>
      <c r="Q77" s="85" t="str">
        <f t="shared" ca="1" si="12"/>
        <v/>
      </c>
      <c r="R77" s="85" t="str">
        <f t="shared" ca="1" si="12"/>
        <v/>
      </c>
      <c r="S77" s="86" t="str">
        <f t="shared" ca="1" si="12"/>
        <v/>
      </c>
      <c r="T77" s="173"/>
      <c r="U77" s="182"/>
    </row>
    <row r="78" spans="1:21" ht="21.75" customHeight="1">
      <c r="A78" s="66" t="str">
        <f t="shared" ca="1" si="13"/>
        <v/>
      </c>
      <c r="B78" s="171" t="str">
        <f t="shared" ca="1" si="15"/>
        <v/>
      </c>
      <c r="C78" s="171" t="str">
        <f t="shared" ca="1" si="16"/>
        <v/>
      </c>
      <c r="D78" s="171" t="str">
        <f t="shared" ca="1" si="17"/>
        <v/>
      </c>
      <c r="E78" s="171" t="str">
        <f t="shared" ca="1" si="18"/>
        <v/>
      </c>
      <c r="F78" s="84">
        <v>83</v>
      </c>
      <c r="G78" s="196" t="str">
        <f t="shared" ca="1" si="14"/>
        <v/>
      </c>
      <c r="H78" s="106"/>
      <c r="I78" s="106"/>
      <c r="J78" s="86" t="str">
        <f t="shared" ca="1" si="11"/>
        <v/>
      </c>
      <c r="K78" s="69" t="str">
        <f t="shared" ca="1" si="11"/>
        <v/>
      </c>
      <c r="L78" s="106"/>
      <c r="M78" s="106"/>
      <c r="N78" s="106"/>
      <c r="O78" s="106"/>
      <c r="P78" s="106"/>
      <c r="Q78" s="85" t="str">
        <f t="shared" ca="1" si="12"/>
        <v/>
      </c>
      <c r="R78" s="85" t="str">
        <f t="shared" ca="1" si="12"/>
        <v/>
      </c>
      <c r="S78" s="86" t="str">
        <f t="shared" ca="1" si="12"/>
        <v/>
      </c>
      <c r="T78" s="173"/>
      <c r="U78" s="182"/>
    </row>
    <row r="79" spans="1:21" ht="21.75" customHeight="1">
      <c r="A79" s="66" t="str">
        <f t="shared" ca="1" si="13"/>
        <v/>
      </c>
      <c r="B79" s="171" t="str">
        <f t="shared" ca="1" si="15"/>
        <v/>
      </c>
      <c r="C79" s="171" t="str">
        <f t="shared" ca="1" si="16"/>
        <v/>
      </c>
      <c r="D79" s="171" t="str">
        <f t="shared" ca="1" si="17"/>
        <v/>
      </c>
      <c r="E79" s="171" t="str">
        <f t="shared" ca="1" si="18"/>
        <v/>
      </c>
      <c r="F79" s="84">
        <v>84</v>
      </c>
      <c r="G79" s="196" t="str">
        <f t="shared" ca="1" si="14"/>
        <v/>
      </c>
      <c r="H79" s="106"/>
      <c r="I79" s="106"/>
      <c r="J79" s="86" t="str">
        <f t="shared" ca="1" si="11"/>
        <v/>
      </c>
      <c r="K79" s="69" t="str">
        <f t="shared" ca="1" si="11"/>
        <v/>
      </c>
      <c r="L79" s="106"/>
      <c r="M79" s="106"/>
      <c r="N79" s="106"/>
      <c r="O79" s="106"/>
      <c r="P79" s="106"/>
      <c r="Q79" s="85" t="str">
        <f t="shared" ca="1" si="12"/>
        <v/>
      </c>
      <c r="R79" s="85" t="str">
        <f t="shared" ca="1" si="12"/>
        <v/>
      </c>
      <c r="S79" s="86" t="str">
        <f t="shared" ca="1" si="12"/>
        <v/>
      </c>
      <c r="T79" s="173"/>
      <c r="U79" s="182"/>
    </row>
    <row r="80" spans="1:21" ht="21.75" customHeight="1">
      <c r="A80" s="66" t="str">
        <f t="shared" ca="1" si="13"/>
        <v/>
      </c>
      <c r="B80" s="171" t="str">
        <f t="shared" ca="1" si="15"/>
        <v/>
      </c>
      <c r="C80" s="171" t="str">
        <f t="shared" ca="1" si="16"/>
        <v/>
      </c>
      <c r="D80" s="171" t="str">
        <f t="shared" ca="1" si="17"/>
        <v/>
      </c>
      <c r="E80" s="171" t="str">
        <f t="shared" ca="1" si="18"/>
        <v/>
      </c>
      <c r="F80" s="84">
        <v>85</v>
      </c>
      <c r="G80" s="196" t="str">
        <f t="shared" ca="1" si="14"/>
        <v/>
      </c>
      <c r="H80" s="106"/>
      <c r="I80" s="106"/>
      <c r="J80" s="86" t="str">
        <f t="shared" ca="1" si="11"/>
        <v/>
      </c>
      <c r="K80" s="69" t="str">
        <f t="shared" ca="1" si="11"/>
        <v/>
      </c>
      <c r="L80" s="106"/>
      <c r="M80" s="106"/>
      <c r="N80" s="106"/>
      <c r="O80" s="106"/>
      <c r="P80" s="106"/>
      <c r="Q80" s="85" t="str">
        <f t="shared" ca="1" si="12"/>
        <v/>
      </c>
      <c r="R80" s="85" t="str">
        <f t="shared" ca="1" si="12"/>
        <v/>
      </c>
      <c r="S80" s="86" t="str">
        <f t="shared" ca="1" si="12"/>
        <v/>
      </c>
      <c r="T80" s="173"/>
      <c r="U80" s="182"/>
    </row>
    <row r="81" spans="1:21" ht="21.75" customHeight="1">
      <c r="A81" s="66" t="str">
        <f t="shared" ca="1" si="13"/>
        <v/>
      </c>
      <c r="B81" s="171" t="str">
        <f t="shared" ca="1" si="15"/>
        <v/>
      </c>
      <c r="C81" s="171" t="str">
        <f t="shared" ca="1" si="16"/>
        <v/>
      </c>
      <c r="D81" s="171" t="str">
        <f t="shared" ca="1" si="17"/>
        <v/>
      </c>
      <c r="E81" s="171" t="str">
        <f t="shared" ca="1" si="18"/>
        <v/>
      </c>
      <c r="F81" s="84">
        <v>86</v>
      </c>
      <c r="G81" s="196" t="str">
        <f t="shared" ca="1" si="14"/>
        <v/>
      </c>
      <c r="H81" s="106"/>
      <c r="I81" s="106"/>
      <c r="J81" s="86" t="str">
        <f t="shared" ca="1" si="11"/>
        <v/>
      </c>
      <c r="K81" s="69" t="str">
        <f t="shared" ca="1" si="11"/>
        <v/>
      </c>
      <c r="L81" s="106"/>
      <c r="M81" s="106"/>
      <c r="N81" s="106"/>
      <c r="O81" s="106"/>
      <c r="P81" s="106"/>
      <c r="Q81" s="85" t="str">
        <f t="shared" ca="1" si="12"/>
        <v/>
      </c>
      <c r="R81" s="85" t="str">
        <f t="shared" ca="1" si="12"/>
        <v/>
      </c>
      <c r="S81" s="86" t="str">
        <f t="shared" ca="1" si="12"/>
        <v/>
      </c>
      <c r="T81" s="173"/>
      <c r="U81" s="182"/>
    </row>
    <row r="82" spans="1:21" ht="21.75" customHeight="1">
      <c r="A82" s="66" t="str">
        <f t="shared" ca="1" si="13"/>
        <v/>
      </c>
      <c r="B82" s="171" t="str">
        <f t="shared" ca="1" si="15"/>
        <v/>
      </c>
      <c r="C82" s="171" t="str">
        <f t="shared" ca="1" si="16"/>
        <v/>
      </c>
      <c r="D82" s="171" t="str">
        <f t="shared" ca="1" si="17"/>
        <v/>
      </c>
      <c r="E82" s="171" t="str">
        <f t="shared" ca="1" si="18"/>
        <v/>
      </c>
      <c r="F82" s="84">
        <v>87</v>
      </c>
      <c r="G82" s="196" t="str">
        <f t="shared" ca="1" si="14"/>
        <v/>
      </c>
      <c r="H82" s="106"/>
      <c r="I82" s="106"/>
      <c r="J82" s="86" t="str">
        <f t="shared" ca="1" si="11"/>
        <v/>
      </c>
      <c r="K82" s="69" t="str">
        <f t="shared" ca="1" si="11"/>
        <v/>
      </c>
      <c r="L82" s="106"/>
      <c r="M82" s="106"/>
      <c r="N82" s="106"/>
      <c r="O82" s="106"/>
      <c r="P82" s="106"/>
      <c r="Q82" s="85" t="str">
        <f t="shared" ca="1" si="12"/>
        <v/>
      </c>
      <c r="R82" s="85" t="str">
        <f t="shared" ca="1" si="12"/>
        <v/>
      </c>
      <c r="S82" s="86" t="str">
        <f t="shared" ca="1" si="12"/>
        <v/>
      </c>
      <c r="T82" s="173"/>
      <c r="U82" s="182"/>
    </row>
    <row r="83" spans="1:21" ht="21.75" customHeight="1">
      <c r="A83" s="66" t="str">
        <f t="shared" ca="1" si="13"/>
        <v/>
      </c>
      <c r="B83" s="171" t="str">
        <f t="shared" ca="1" si="15"/>
        <v/>
      </c>
      <c r="C83" s="171" t="str">
        <f t="shared" ca="1" si="16"/>
        <v/>
      </c>
      <c r="D83" s="171" t="str">
        <f t="shared" ca="1" si="17"/>
        <v/>
      </c>
      <c r="E83" s="171" t="str">
        <f t="shared" ca="1" si="18"/>
        <v/>
      </c>
      <c r="F83" s="84">
        <v>88</v>
      </c>
      <c r="G83" s="196" t="str">
        <f t="shared" ca="1" si="14"/>
        <v/>
      </c>
      <c r="H83" s="106"/>
      <c r="I83" s="106"/>
      <c r="J83" s="86" t="str">
        <f t="shared" ca="1" si="11"/>
        <v/>
      </c>
      <c r="K83" s="69" t="str">
        <f t="shared" ca="1" si="11"/>
        <v/>
      </c>
      <c r="L83" s="106"/>
      <c r="M83" s="106"/>
      <c r="N83" s="106"/>
      <c r="O83" s="106"/>
      <c r="P83" s="106"/>
      <c r="Q83" s="85" t="str">
        <f t="shared" ca="1" si="12"/>
        <v/>
      </c>
      <c r="R83" s="85" t="str">
        <f t="shared" ca="1" si="12"/>
        <v/>
      </c>
      <c r="S83" s="86" t="str">
        <f t="shared" ca="1" si="12"/>
        <v/>
      </c>
      <c r="T83" s="173"/>
      <c r="U83" s="182"/>
    </row>
    <row r="84" spans="1:21" ht="21.75" customHeight="1">
      <c r="A84" s="66" t="str">
        <f t="shared" ca="1" si="13"/>
        <v/>
      </c>
      <c r="B84" s="171" t="str">
        <f t="shared" ca="1" si="15"/>
        <v/>
      </c>
      <c r="C84" s="171" t="str">
        <f t="shared" ca="1" si="16"/>
        <v/>
      </c>
      <c r="D84" s="171" t="str">
        <f t="shared" ca="1" si="17"/>
        <v/>
      </c>
      <c r="E84" s="171" t="str">
        <f t="shared" ca="1" si="18"/>
        <v/>
      </c>
      <c r="F84" s="84">
        <v>89</v>
      </c>
      <c r="G84" s="196" t="str">
        <f t="shared" ca="1" si="14"/>
        <v/>
      </c>
      <c r="H84" s="106"/>
      <c r="I84" s="106"/>
      <c r="J84" s="86" t="str">
        <f t="shared" ca="1" si="11"/>
        <v/>
      </c>
      <c r="K84" s="69" t="str">
        <f t="shared" ca="1" si="11"/>
        <v/>
      </c>
      <c r="L84" s="106"/>
      <c r="M84" s="106"/>
      <c r="N84" s="106"/>
      <c r="O84" s="106"/>
      <c r="P84" s="106"/>
      <c r="Q84" s="85" t="str">
        <f t="shared" ca="1" si="12"/>
        <v/>
      </c>
      <c r="R84" s="85" t="str">
        <f t="shared" ca="1" si="12"/>
        <v/>
      </c>
      <c r="S84" s="86" t="str">
        <f t="shared" ca="1" si="12"/>
        <v/>
      </c>
      <c r="T84" s="173"/>
      <c r="U84" s="182"/>
    </row>
    <row r="85" spans="1:21" ht="21.75" customHeight="1">
      <c r="A85" s="66" t="str">
        <f t="shared" ca="1" si="13"/>
        <v/>
      </c>
      <c r="B85" s="171" t="str">
        <f t="shared" ca="1" si="15"/>
        <v/>
      </c>
      <c r="C85" s="171" t="str">
        <f t="shared" ca="1" si="16"/>
        <v/>
      </c>
      <c r="D85" s="171" t="str">
        <f t="shared" ca="1" si="17"/>
        <v/>
      </c>
      <c r="E85" s="171" t="str">
        <f t="shared" ca="1" si="18"/>
        <v/>
      </c>
      <c r="F85" s="84">
        <v>90</v>
      </c>
      <c r="G85" s="196" t="str">
        <f t="shared" ca="1" si="14"/>
        <v/>
      </c>
      <c r="H85" s="106"/>
      <c r="I85" s="106"/>
      <c r="J85" s="86" t="str">
        <f t="shared" ca="1" si="11"/>
        <v/>
      </c>
      <c r="K85" s="69" t="str">
        <f t="shared" ca="1" si="11"/>
        <v/>
      </c>
      <c r="L85" s="106"/>
      <c r="M85" s="106"/>
      <c r="N85" s="106"/>
      <c r="O85" s="106"/>
      <c r="P85" s="106"/>
      <c r="Q85" s="85" t="str">
        <f t="shared" ca="1" si="12"/>
        <v/>
      </c>
      <c r="R85" s="85" t="str">
        <f t="shared" ca="1" si="12"/>
        <v/>
      </c>
      <c r="S85" s="86" t="str">
        <f t="shared" ca="1" si="12"/>
        <v/>
      </c>
      <c r="T85" s="173"/>
      <c r="U85" s="182"/>
    </row>
    <row r="86" spans="1:21" ht="21.75" customHeight="1">
      <c r="A86" s="66" t="str">
        <f t="shared" ca="1" si="13"/>
        <v/>
      </c>
      <c r="B86" s="171" t="str">
        <f t="shared" ca="1" si="15"/>
        <v/>
      </c>
      <c r="C86" s="171" t="str">
        <f t="shared" ca="1" si="16"/>
        <v/>
      </c>
      <c r="D86" s="171" t="str">
        <f t="shared" ca="1" si="17"/>
        <v/>
      </c>
      <c r="E86" s="171" t="str">
        <f t="shared" ca="1" si="18"/>
        <v/>
      </c>
      <c r="F86" s="84">
        <v>91</v>
      </c>
      <c r="G86" s="196" t="str">
        <f t="shared" ca="1" si="14"/>
        <v/>
      </c>
      <c r="H86" s="106"/>
      <c r="I86" s="106"/>
      <c r="J86" s="86" t="str">
        <f t="shared" ca="1" si="11"/>
        <v/>
      </c>
      <c r="K86" s="69" t="str">
        <f t="shared" ca="1" si="11"/>
        <v/>
      </c>
      <c r="L86" s="106"/>
      <c r="M86" s="106"/>
      <c r="N86" s="106"/>
      <c r="O86" s="106"/>
      <c r="P86" s="106"/>
      <c r="Q86" s="85" t="str">
        <f t="shared" ca="1" si="12"/>
        <v/>
      </c>
      <c r="R86" s="85" t="str">
        <f t="shared" ca="1" si="12"/>
        <v/>
      </c>
      <c r="S86" s="86" t="str">
        <f t="shared" ca="1" si="12"/>
        <v/>
      </c>
      <c r="T86" s="173"/>
      <c r="U86" s="182"/>
    </row>
    <row r="87" spans="1:21" ht="21.75" customHeight="1">
      <c r="A87" s="66" t="str">
        <f t="shared" ca="1" si="13"/>
        <v/>
      </c>
      <c r="B87" s="171" t="str">
        <f t="shared" ca="1" si="15"/>
        <v/>
      </c>
      <c r="C87" s="171" t="str">
        <f t="shared" ca="1" si="16"/>
        <v/>
      </c>
      <c r="D87" s="171" t="str">
        <f t="shared" ca="1" si="17"/>
        <v/>
      </c>
      <c r="E87" s="171" t="str">
        <f t="shared" ca="1" si="18"/>
        <v/>
      </c>
      <c r="F87" s="84">
        <v>92</v>
      </c>
      <c r="G87" s="196" t="str">
        <f t="shared" ca="1" si="14"/>
        <v/>
      </c>
      <c r="H87" s="106"/>
      <c r="I87" s="106"/>
      <c r="J87" s="86" t="str">
        <f t="shared" ca="1" si="11"/>
        <v/>
      </c>
      <c r="K87" s="69" t="str">
        <f t="shared" ca="1" si="11"/>
        <v/>
      </c>
      <c r="L87" s="106"/>
      <c r="M87" s="106"/>
      <c r="N87" s="106"/>
      <c r="O87" s="106"/>
      <c r="P87" s="106"/>
      <c r="Q87" s="85" t="str">
        <f t="shared" ca="1" si="12"/>
        <v/>
      </c>
      <c r="R87" s="85" t="str">
        <f t="shared" ca="1" si="12"/>
        <v/>
      </c>
      <c r="S87" s="86" t="str">
        <f t="shared" ca="1" si="12"/>
        <v/>
      </c>
      <c r="T87" s="173"/>
      <c r="U87" s="182"/>
    </row>
    <row r="88" spans="1:21" ht="21.75" customHeight="1">
      <c r="A88" s="66" t="str">
        <f t="shared" ca="1" si="13"/>
        <v/>
      </c>
      <c r="B88" s="171" t="str">
        <f t="shared" ca="1" si="15"/>
        <v/>
      </c>
      <c r="C88" s="171" t="str">
        <f t="shared" ca="1" si="16"/>
        <v/>
      </c>
      <c r="D88" s="171" t="str">
        <f t="shared" ca="1" si="17"/>
        <v/>
      </c>
      <c r="E88" s="171" t="str">
        <f t="shared" ca="1" si="18"/>
        <v/>
      </c>
      <c r="F88" s="84">
        <v>93</v>
      </c>
      <c r="G88" s="196" t="str">
        <f t="shared" ca="1" si="14"/>
        <v/>
      </c>
      <c r="H88" s="106"/>
      <c r="I88" s="106"/>
      <c r="J88" s="86" t="str">
        <f t="shared" ca="1" si="11"/>
        <v/>
      </c>
      <c r="K88" s="69" t="str">
        <f t="shared" ca="1" si="11"/>
        <v/>
      </c>
      <c r="L88" s="106"/>
      <c r="M88" s="106"/>
      <c r="N88" s="106"/>
      <c r="O88" s="106"/>
      <c r="P88" s="106"/>
      <c r="Q88" s="85" t="str">
        <f t="shared" ca="1" si="12"/>
        <v/>
      </c>
      <c r="R88" s="85" t="str">
        <f t="shared" ca="1" si="12"/>
        <v/>
      </c>
      <c r="S88" s="86" t="str">
        <f t="shared" ca="1" si="12"/>
        <v/>
      </c>
      <c r="T88" s="173"/>
      <c r="U88" s="182"/>
    </row>
    <row r="89" spans="1:21" ht="21.75" customHeight="1">
      <c r="A89" s="66" t="str">
        <f t="shared" ca="1" si="13"/>
        <v/>
      </c>
      <c r="B89" s="171" t="str">
        <f t="shared" ca="1" si="15"/>
        <v/>
      </c>
      <c r="C89" s="171" t="str">
        <f t="shared" ca="1" si="16"/>
        <v/>
      </c>
      <c r="D89" s="171" t="str">
        <f t="shared" ca="1" si="17"/>
        <v/>
      </c>
      <c r="E89" s="171" t="str">
        <f t="shared" ca="1" si="18"/>
        <v/>
      </c>
      <c r="F89" s="84">
        <v>94</v>
      </c>
      <c r="G89" s="196" t="str">
        <f t="shared" ca="1" si="14"/>
        <v/>
      </c>
      <c r="H89" s="106"/>
      <c r="I89" s="106"/>
      <c r="J89" s="86" t="str">
        <f t="shared" ca="1" si="11"/>
        <v/>
      </c>
      <c r="K89" s="69" t="str">
        <f t="shared" ca="1" si="11"/>
        <v/>
      </c>
      <c r="L89" s="106"/>
      <c r="M89" s="106"/>
      <c r="N89" s="106"/>
      <c r="O89" s="106"/>
      <c r="P89" s="106"/>
      <c r="Q89" s="85" t="str">
        <f t="shared" ca="1" si="12"/>
        <v/>
      </c>
      <c r="R89" s="85" t="str">
        <f t="shared" ca="1" si="12"/>
        <v/>
      </c>
      <c r="S89" s="86" t="str">
        <f t="shared" ca="1" si="12"/>
        <v/>
      </c>
      <c r="T89" s="173"/>
      <c r="U89" s="182"/>
    </row>
    <row r="90" spans="1:21" ht="21.75" customHeight="1">
      <c r="A90" s="66" t="str">
        <f t="shared" ca="1" si="13"/>
        <v/>
      </c>
      <c r="B90" s="171" t="str">
        <f t="shared" ca="1" si="15"/>
        <v/>
      </c>
      <c r="C90" s="171" t="str">
        <f t="shared" ca="1" si="16"/>
        <v/>
      </c>
      <c r="D90" s="171" t="str">
        <f t="shared" ca="1" si="17"/>
        <v/>
      </c>
      <c r="E90" s="171" t="str">
        <f t="shared" ca="1" si="18"/>
        <v/>
      </c>
      <c r="F90" s="84">
        <v>95</v>
      </c>
      <c r="G90" s="196" t="str">
        <f t="shared" ca="1" si="14"/>
        <v/>
      </c>
      <c r="H90" s="106"/>
      <c r="I90" s="106"/>
      <c r="J90" s="86" t="str">
        <f t="shared" ca="1" si="11"/>
        <v/>
      </c>
      <c r="K90" s="69" t="str">
        <f t="shared" ca="1" si="11"/>
        <v/>
      </c>
      <c r="L90" s="106"/>
      <c r="M90" s="106"/>
      <c r="N90" s="106"/>
      <c r="O90" s="106"/>
      <c r="P90" s="106"/>
      <c r="Q90" s="85" t="str">
        <f t="shared" ca="1" si="12"/>
        <v/>
      </c>
      <c r="R90" s="85" t="str">
        <f t="shared" ca="1" si="12"/>
        <v/>
      </c>
      <c r="S90" s="86" t="str">
        <f t="shared" ca="1" si="12"/>
        <v/>
      </c>
      <c r="T90" s="173"/>
      <c r="U90" s="182"/>
    </row>
    <row r="91" spans="1:21" ht="21.75" customHeight="1">
      <c r="A91" s="66" t="str">
        <f t="shared" ca="1" si="13"/>
        <v/>
      </c>
      <c r="B91" s="171" t="str">
        <f t="shared" ca="1" si="15"/>
        <v/>
      </c>
      <c r="C91" s="171" t="str">
        <f t="shared" ca="1" si="16"/>
        <v/>
      </c>
      <c r="D91" s="171" t="str">
        <f t="shared" ca="1" si="17"/>
        <v/>
      </c>
      <c r="E91" s="171" t="str">
        <f t="shared" ca="1" si="18"/>
        <v/>
      </c>
      <c r="F91" s="84">
        <v>96</v>
      </c>
      <c r="G91" s="196" t="str">
        <f t="shared" ca="1" si="14"/>
        <v/>
      </c>
      <c r="H91" s="106"/>
      <c r="I91" s="106"/>
      <c r="J91" s="86" t="str">
        <f t="shared" ca="1" si="11"/>
        <v/>
      </c>
      <c r="K91" s="69" t="str">
        <f t="shared" ca="1" si="11"/>
        <v/>
      </c>
      <c r="L91" s="106"/>
      <c r="M91" s="106"/>
      <c r="N91" s="106"/>
      <c r="O91" s="106"/>
      <c r="P91" s="106"/>
      <c r="Q91" s="85" t="str">
        <f t="shared" ca="1" si="12"/>
        <v/>
      </c>
      <c r="R91" s="85" t="str">
        <f t="shared" ca="1" si="12"/>
        <v/>
      </c>
      <c r="S91" s="86" t="str">
        <f t="shared" ca="1" si="12"/>
        <v/>
      </c>
      <c r="T91" s="173"/>
      <c r="U91" s="182"/>
    </row>
    <row r="92" spans="1:21" ht="21.75" customHeight="1">
      <c r="A92" s="66" t="str">
        <f t="shared" ca="1" si="13"/>
        <v/>
      </c>
      <c r="B92" s="171" t="str">
        <f t="shared" ca="1" si="15"/>
        <v/>
      </c>
      <c r="C92" s="171" t="str">
        <f t="shared" ca="1" si="16"/>
        <v/>
      </c>
      <c r="D92" s="171" t="str">
        <f t="shared" ca="1" si="17"/>
        <v/>
      </c>
      <c r="E92" s="171" t="str">
        <f t="shared" ca="1" si="18"/>
        <v/>
      </c>
      <c r="F92" s="84">
        <v>97</v>
      </c>
      <c r="G92" s="196" t="str">
        <f t="shared" ca="1" si="14"/>
        <v/>
      </c>
      <c r="H92" s="106"/>
      <c r="I92" s="106"/>
      <c r="J92" s="86" t="str">
        <f t="shared" ca="1" si="11"/>
        <v/>
      </c>
      <c r="K92" s="69" t="str">
        <f t="shared" ca="1" si="11"/>
        <v/>
      </c>
      <c r="L92" s="106"/>
      <c r="M92" s="106"/>
      <c r="N92" s="106"/>
      <c r="O92" s="106"/>
      <c r="P92" s="106"/>
      <c r="Q92" s="85" t="str">
        <f t="shared" ca="1" si="12"/>
        <v/>
      </c>
      <c r="R92" s="85" t="str">
        <f t="shared" ca="1" si="12"/>
        <v/>
      </c>
      <c r="S92" s="86" t="str">
        <f t="shared" ca="1" si="12"/>
        <v/>
      </c>
      <c r="T92" s="173"/>
      <c r="U92" s="182"/>
    </row>
    <row r="93" spans="1:21" ht="21.75" customHeight="1">
      <c r="A93" s="66" t="str">
        <f t="shared" ca="1" si="13"/>
        <v/>
      </c>
      <c r="B93" s="171" t="str">
        <f t="shared" ca="1" si="15"/>
        <v/>
      </c>
      <c r="C93" s="171" t="str">
        <f t="shared" ca="1" si="16"/>
        <v/>
      </c>
      <c r="D93" s="171" t="str">
        <f t="shared" ca="1" si="17"/>
        <v/>
      </c>
      <c r="E93" s="171" t="str">
        <f t="shared" ca="1" si="18"/>
        <v/>
      </c>
      <c r="F93" s="84">
        <v>98</v>
      </c>
      <c r="G93" s="196" t="str">
        <f t="shared" ca="1" si="14"/>
        <v/>
      </c>
      <c r="H93" s="106"/>
      <c r="I93" s="106"/>
      <c r="J93" s="86" t="str">
        <f t="shared" ca="1" si="11"/>
        <v/>
      </c>
      <c r="K93" s="69" t="str">
        <f t="shared" ca="1" si="11"/>
        <v/>
      </c>
      <c r="L93" s="106"/>
      <c r="M93" s="106"/>
      <c r="N93" s="106"/>
      <c r="O93" s="106"/>
      <c r="P93" s="106"/>
      <c r="Q93" s="85" t="str">
        <f t="shared" ca="1" si="12"/>
        <v/>
      </c>
      <c r="R93" s="85" t="str">
        <f t="shared" ca="1" si="12"/>
        <v/>
      </c>
      <c r="S93" s="86" t="str">
        <f t="shared" ca="1" si="12"/>
        <v/>
      </c>
      <c r="T93" s="173"/>
      <c r="U93" s="182"/>
    </row>
    <row r="94" spans="1:21" ht="21.75" customHeight="1">
      <c r="A94" s="66" t="str">
        <f t="shared" ca="1" si="13"/>
        <v/>
      </c>
      <c r="B94" s="171" t="str">
        <f t="shared" ca="1" si="15"/>
        <v/>
      </c>
      <c r="C94" s="171" t="str">
        <f t="shared" ca="1" si="16"/>
        <v/>
      </c>
      <c r="D94" s="171" t="str">
        <f t="shared" ca="1" si="17"/>
        <v/>
      </c>
      <c r="E94" s="171" t="str">
        <f t="shared" ca="1" si="18"/>
        <v/>
      </c>
      <c r="F94" s="84">
        <v>99</v>
      </c>
      <c r="G94" s="196" t="str">
        <f t="shared" ca="1" si="14"/>
        <v/>
      </c>
      <c r="H94" s="106"/>
      <c r="I94" s="106"/>
      <c r="J94" s="86" t="str">
        <f t="shared" ca="1" si="11"/>
        <v/>
      </c>
      <c r="K94" s="69" t="str">
        <f t="shared" ca="1" si="11"/>
        <v/>
      </c>
      <c r="L94" s="106"/>
      <c r="M94" s="106"/>
      <c r="N94" s="106"/>
      <c r="O94" s="106"/>
      <c r="P94" s="106"/>
      <c r="Q94" s="85" t="str">
        <f t="shared" ca="1" si="12"/>
        <v/>
      </c>
      <c r="R94" s="85" t="str">
        <f t="shared" ca="1" si="12"/>
        <v/>
      </c>
      <c r="S94" s="86" t="str">
        <f t="shared" ca="1" si="12"/>
        <v/>
      </c>
      <c r="T94" s="173"/>
      <c r="U94" s="182"/>
    </row>
    <row r="95" spans="1:21" ht="21.75" customHeight="1">
      <c r="A95" s="66" t="str">
        <f t="shared" ca="1" si="13"/>
        <v/>
      </c>
      <c r="B95" s="171" t="str">
        <f ca="1">IF(G95="","",INDIRECT($A$3&amp;$B$3))</f>
        <v/>
      </c>
      <c r="C95" s="171" t="str">
        <f ca="1">IF(G95="","",INDIRECT($A$3&amp;$C$3))</f>
        <v/>
      </c>
      <c r="D95" s="171" t="str">
        <f ca="1">IF(G95="","",INDIRECT($A$3&amp;$D$3))</f>
        <v/>
      </c>
      <c r="E95" s="171" t="str">
        <f t="shared" ca="1" si="18"/>
        <v/>
      </c>
      <c r="F95" s="84">
        <v>100</v>
      </c>
      <c r="G95" s="196" t="str">
        <f ca="1">IF(INDIRECT($F$3&amp;J$3&amp;$F95)="","",TEXT(INDIRECT($F$3&amp;G$3&amp;$F95),"00"))</f>
        <v/>
      </c>
      <c r="H95" s="106"/>
      <c r="I95" s="106"/>
      <c r="J95" s="86" t="str">
        <f t="shared" ca="1" si="11"/>
        <v/>
      </c>
      <c r="K95" s="69" t="str">
        <f t="shared" ca="1" si="11"/>
        <v/>
      </c>
      <c r="L95" s="106"/>
      <c r="M95" s="106"/>
      <c r="N95" s="106"/>
      <c r="O95" s="106"/>
      <c r="P95" s="106"/>
      <c r="Q95" s="85" t="str">
        <f t="shared" ca="1" si="12"/>
        <v/>
      </c>
      <c r="R95" s="85" t="str">
        <f t="shared" ca="1" si="12"/>
        <v/>
      </c>
      <c r="S95" s="86" t="str">
        <f t="shared" ca="1" si="12"/>
        <v/>
      </c>
      <c r="T95" s="173"/>
      <c r="U95" s="182"/>
    </row>
    <row r="96" spans="1:21" ht="21.75" customHeight="1">
      <c r="A96" s="66" t="str">
        <f t="shared" ca="1" si="13"/>
        <v/>
      </c>
      <c r="B96" s="171" t="str">
        <f ca="1">IF(G96="","",INDIRECT($A$3&amp;$B$3))</f>
        <v/>
      </c>
      <c r="C96" s="171" t="str">
        <f ca="1">IF(G96="","",INDIRECT($A$3&amp;$C$3))</f>
        <v/>
      </c>
      <c r="D96" s="171" t="str">
        <f ca="1">IF(G96="","",INDIRECT($A$3&amp;$D$3))</f>
        <v/>
      </c>
      <c r="E96" s="171" t="str">
        <f t="shared" ca="1" si="18"/>
        <v/>
      </c>
      <c r="F96" s="84">
        <v>101</v>
      </c>
      <c r="G96" s="196" t="str">
        <f ca="1">IF(INDIRECT($F$3&amp;J$3&amp;$F96)="","",TEXT(INDIRECT($F$3&amp;G$3&amp;$F96),"00"))</f>
        <v/>
      </c>
      <c r="H96" s="106"/>
      <c r="I96" s="106"/>
      <c r="J96" s="86" t="str">
        <f t="shared" ca="1" si="11"/>
        <v/>
      </c>
      <c r="K96" s="69" t="str">
        <f t="shared" ca="1" si="11"/>
        <v/>
      </c>
      <c r="L96" s="106"/>
      <c r="M96" s="106"/>
      <c r="N96" s="106"/>
      <c r="O96" s="106"/>
      <c r="P96" s="106"/>
      <c r="Q96" s="85" t="str">
        <f t="shared" ca="1" si="12"/>
        <v/>
      </c>
      <c r="R96" s="85" t="str">
        <f t="shared" ca="1" si="12"/>
        <v/>
      </c>
      <c r="S96" s="86" t="str">
        <f t="shared" ca="1" si="12"/>
        <v/>
      </c>
      <c r="T96" s="173"/>
      <c r="U96" s="182"/>
    </row>
    <row r="97" spans="1:21" ht="21.75" customHeight="1">
      <c r="A97" s="66" t="str">
        <f t="shared" ca="1" si="13"/>
        <v/>
      </c>
      <c r="B97" s="171" t="str">
        <f t="shared" ref="B97:B102" ca="1" si="19">IF(G97="","",INDIRECT($A$3&amp;$B$3))</f>
        <v/>
      </c>
      <c r="C97" s="171" t="str">
        <f t="shared" ref="C97:C102" ca="1" si="20">IF(G97="","",INDIRECT($A$3&amp;$C$3))</f>
        <v/>
      </c>
      <c r="D97" s="171" t="str">
        <f t="shared" ref="D97:D102" ca="1" si="21">IF(G97="","",INDIRECT($A$3&amp;$D$3))</f>
        <v/>
      </c>
      <c r="E97" s="171" t="str">
        <f t="shared" ca="1" si="18"/>
        <v/>
      </c>
      <c r="F97" s="84">
        <v>102</v>
      </c>
      <c r="G97" s="196" t="str">
        <f t="shared" ref="G97:G102" ca="1" si="22">IF(INDIRECT($F$3&amp;J$3&amp;$F97)="","",TEXT(INDIRECT($F$3&amp;G$3&amp;$F97),"00"))</f>
        <v/>
      </c>
      <c r="H97" s="106"/>
      <c r="I97" s="106"/>
      <c r="J97" s="86" t="str">
        <f t="shared" ref="J97:K102" ca="1" si="23">IF(INDIRECT($F$3&amp;J$3&amp;$F97)="","",INDIRECT($F$3&amp;J$3&amp;$F97))</f>
        <v/>
      </c>
      <c r="K97" s="69" t="str">
        <f t="shared" ca="1" si="23"/>
        <v/>
      </c>
      <c r="L97" s="106"/>
      <c r="M97" s="106"/>
      <c r="N97" s="106"/>
      <c r="O97" s="106"/>
      <c r="P97" s="106"/>
      <c r="Q97" s="85" t="str">
        <f t="shared" ref="Q97:S102" ca="1" si="24">IF(INDIRECT($F$3&amp;Q$3&amp;$F97)="","",INDIRECT($F$3&amp;Q$3&amp;$F97))</f>
        <v/>
      </c>
      <c r="R97" s="85" t="str">
        <f t="shared" ca="1" si="24"/>
        <v/>
      </c>
      <c r="S97" s="86" t="str">
        <f t="shared" ca="1" si="24"/>
        <v/>
      </c>
      <c r="T97" s="173"/>
      <c r="U97" s="182"/>
    </row>
    <row r="98" spans="1:21" ht="21.75" customHeight="1">
      <c r="A98" s="66" t="str">
        <f t="shared" ca="1" si="13"/>
        <v/>
      </c>
      <c r="B98" s="171" t="str">
        <f t="shared" ca="1" si="19"/>
        <v/>
      </c>
      <c r="C98" s="171" t="str">
        <f t="shared" ca="1" si="20"/>
        <v/>
      </c>
      <c r="D98" s="171" t="str">
        <f t="shared" ca="1" si="21"/>
        <v/>
      </c>
      <c r="E98" s="171" t="str">
        <f t="shared" ca="1" si="18"/>
        <v/>
      </c>
      <c r="F98" s="84">
        <v>103</v>
      </c>
      <c r="G98" s="196" t="str">
        <f t="shared" ca="1" si="22"/>
        <v/>
      </c>
      <c r="H98" s="106"/>
      <c r="I98" s="106"/>
      <c r="J98" s="86" t="str">
        <f t="shared" ca="1" si="23"/>
        <v/>
      </c>
      <c r="K98" s="69" t="str">
        <f t="shared" ca="1" si="23"/>
        <v/>
      </c>
      <c r="L98" s="106"/>
      <c r="M98" s="106"/>
      <c r="N98" s="106"/>
      <c r="O98" s="106"/>
      <c r="P98" s="106"/>
      <c r="Q98" s="85" t="str">
        <f t="shared" ca="1" si="24"/>
        <v/>
      </c>
      <c r="R98" s="85" t="str">
        <f t="shared" ca="1" si="24"/>
        <v/>
      </c>
      <c r="S98" s="86" t="str">
        <f t="shared" ca="1" si="24"/>
        <v/>
      </c>
      <c r="T98" s="173"/>
      <c r="U98" s="182"/>
    </row>
    <row r="99" spans="1:21" ht="21.75" customHeight="1">
      <c r="A99" s="66" t="str">
        <f t="shared" ca="1" si="13"/>
        <v/>
      </c>
      <c r="B99" s="171" t="str">
        <f t="shared" ca="1" si="19"/>
        <v/>
      </c>
      <c r="C99" s="171" t="str">
        <f t="shared" ca="1" si="20"/>
        <v/>
      </c>
      <c r="D99" s="171" t="str">
        <f t="shared" ca="1" si="21"/>
        <v/>
      </c>
      <c r="E99" s="171" t="str">
        <f t="shared" ca="1" si="18"/>
        <v/>
      </c>
      <c r="F99" s="84">
        <v>104</v>
      </c>
      <c r="G99" s="196" t="str">
        <f t="shared" ca="1" si="22"/>
        <v/>
      </c>
      <c r="H99" s="106"/>
      <c r="I99" s="106"/>
      <c r="J99" s="86" t="str">
        <f t="shared" ca="1" si="23"/>
        <v/>
      </c>
      <c r="K99" s="69" t="str">
        <f t="shared" ca="1" si="23"/>
        <v/>
      </c>
      <c r="L99" s="106"/>
      <c r="M99" s="106"/>
      <c r="N99" s="106"/>
      <c r="O99" s="106"/>
      <c r="P99" s="106"/>
      <c r="Q99" s="85" t="str">
        <f t="shared" ca="1" si="24"/>
        <v/>
      </c>
      <c r="R99" s="85" t="str">
        <f t="shared" ca="1" si="24"/>
        <v/>
      </c>
      <c r="S99" s="86" t="str">
        <f t="shared" ca="1" si="24"/>
        <v/>
      </c>
      <c r="T99" s="173"/>
      <c r="U99" s="182"/>
    </row>
    <row r="100" spans="1:21" ht="21.75" customHeight="1">
      <c r="A100" s="66" t="str">
        <f t="shared" ca="1" si="13"/>
        <v/>
      </c>
      <c r="B100" s="171" t="str">
        <f t="shared" ca="1" si="19"/>
        <v/>
      </c>
      <c r="C100" s="171" t="str">
        <f t="shared" ca="1" si="20"/>
        <v/>
      </c>
      <c r="D100" s="171" t="str">
        <f t="shared" ca="1" si="21"/>
        <v/>
      </c>
      <c r="E100" s="171" t="str">
        <f t="shared" ca="1" si="18"/>
        <v/>
      </c>
      <c r="F100" s="84">
        <v>105</v>
      </c>
      <c r="G100" s="196" t="str">
        <f t="shared" ca="1" si="22"/>
        <v/>
      </c>
      <c r="H100" s="106"/>
      <c r="I100" s="106"/>
      <c r="J100" s="86" t="str">
        <f t="shared" ca="1" si="23"/>
        <v/>
      </c>
      <c r="K100" s="69" t="str">
        <f t="shared" ca="1" si="23"/>
        <v/>
      </c>
      <c r="L100" s="106"/>
      <c r="M100" s="106"/>
      <c r="N100" s="106"/>
      <c r="O100" s="106"/>
      <c r="P100" s="106"/>
      <c r="Q100" s="85" t="str">
        <f t="shared" ca="1" si="24"/>
        <v/>
      </c>
      <c r="R100" s="85" t="str">
        <f t="shared" ca="1" si="24"/>
        <v/>
      </c>
      <c r="S100" s="86" t="str">
        <f t="shared" ca="1" si="24"/>
        <v/>
      </c>
      <c r="T100" s="173"/>
      <c r="U100" s="182"/>
    </row>
    <row r="101" spans="1:21" ht="21.75" customHeight="1">
      <c r="A101" s="66" t="str">
        <f t="shared" ca="1" si="13"/>
        <v/>
      </c>
      <c r="B101" s="171" t="str">
        <f t="shared" ca="1" si="19"/>
        <v/>
      </c>
      <c r="C101" s="171" t="str">
        <f t="shared" ca="1" si="20"/>
        <v/>
      </c>
      <c r="D101" s="171" t="str">
        <f t="shared" ca="1" si="21"/>
        <v/>
      </c>
      <c r="E101" s="171" t="str">
        <f t="shared" ca="1" si="18"/>
        <v/>
      </c>
      <c r="F101" s="84">
        <v>106</v>
      </c>
      <c r="G101" s="196" t="str">
        <f t="shared" ca="1" si="22"/>
        <v/>
      </c>
      <c r="H101" s="106"/>
      <c r="I101" s="106"/>
      <c r="J101" s="86" t="str">
        <f t="shared" ca="1" si="23"/>
        <v/>
      </c>
      <c r="K101" s="69" t="str">
        <f t="shared" ca="1" si="23"/>
        <v/>
      </c>
      <c r="L101" s="106"/>
      <c r="M101" s="106"/>
      <c r="N101" s="106"/>
      <c r="O101" s="106"/>
      <c r="P101" s="106"/>
      <c r="Q101" s="85" t="str">
        <f t="shared" ca="1" si="24"/>
        <v/>
      </c>
      <c r="R101" s="85" t="str">
        <f t="shared" ca="1" si="24"/>
        <v/>
      </c>
      <c r="S101" s="86" t="str">
        <f t="shared" ca="1" si="24"/>
        <v/>
      </c>
      <c r="T101" s="173"/>
      <c r="U101" s="182"/>
    </row>
    <row r="102" spans="1:21" ht="21.75" customHeight="1">
      <c r="A102" s="66" t="str">
        <f ca="1">IF(G102="","","*")</f>
        <v/>
      </c>
      <c r="B102" s="171" t="str">
        <f t="shared" ca="1" si="19"/>
        <v/>
      </c>
      <c r="C102" s="171" t="str">
        <f t="shared" ca="1" si="20"/>
        <v/>
      </c>
      <c r="D102" s="171" t="str">
        <f t="shared" ca="1" si="21"/>
        <v/>
      </c>
      <c r="E102" s="171" t="str">
        <f t="shared" ca="1" si="18"/>
        <v/>
      </c>
      <c r="F102" s="84">
        <v>107</v>
      </c>
      <c r="G102" s="196" t="str">
        <f t="shared" ca="1" si="22"/>
        <v/>
      </c>
      <c r="H102" s="106"/>
      <c r="I102" s="106"/>
      <c r="J102" s="86" t="str">
        <f t="shared" ca="1" si="23"/>
        <v/>
      </c>
      <c r="K102" s="69" t="str">
        <f t="shared" ca="1" si="23"/>
        <v/>
      </c>
      <c r="L102" s="106"/>
      <c r="M102" s="106"/>
      <c r="N102" s="106"/>
      <c r="O102" s="106"/>
      <c r="P102" s="106"/>
      <c r="Q102" s="85" t="str">
        <f t="shared" ca="1" si="24"/>
        <v/>
      </c>
      <c r="R102" s="85" t="str">
        <f t="shared" ca="1" si="24"/>
        <v/>
      </c>
      <c r="S102" s="86" t="str">
        <f t="shared" ca="1" si="24"/>
        <v/>
      </c>
      <c r="T102" s="173"/>
      <c r="U102" s="182"/>
    </row>
  </sheetData>
  <mergeCells count="2">
    <mergeCell ref="G1:J1"/>
    <mergeCell ref="K1:R1"/>
  </mergeCells>
  <phoneticPr fontId="18"/>
  <conditionalFormatting sqref="T2">
    <cfRule type="duplicateValues" dxfId="195" priority="5"/>
  </conditionalFormatting>
  <conditionalFormatting sqref="C2">
    <cfRule type="duplicateValues" dxfId="194" priority="4"/>
  </conditionalFormatting>
  <conditionalFormatting sqref="D2">
    <cfRule type="duplicateValues" dxfId="193" priority="2"/>
    <cfRule type="duplicateValues" dxfId="192" priority="3"/>
  </conditionalFormatting>
  <conditionalFormatting sqref="U2">
    <cfRule type="duplicateValues" dxfId="191" priority="1"/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BU4"/>
  <sheetViews>
    <sheetView workbookViewId="0"/>
  </sheetViews>
  <sheetFormatPr defaultColWidth="9.109375" defaultRowHeight="13.2"/>
  <cols>
    <col min="1" max="1" width="17.5546875" style="146" customWidth="1"/>
    <col min="2" max="2" width="41.33203125" style="146" bestFit="1" customWidth="1"/>
    <col min="3" max="3" width="41.33203125" style="146" customWidth="1"/>
    <col min="4" max="4" width="41.33203125" style="49" customWidth="1"/>
    <col min="5" max="5" width="41.33203125" style="146" customWidth="1"/>
    <col min="6" max="6" width="38.5546875" style="146" bestFit="1" customWidth="1"/>
    <col min="7" max="7" width="19.5546875" style="146" customWidth="1"/>
    <col min="8" max="8" width="26.88671875" style="146" customWidth="1"/>
    <col min="9" max="9" width="10.6640625" style="160" bestFit="1" customWidth="1"/>
    <col min="10" max="10" width="10.6640625" style="160" customWidth="1"/>
    <col min="11" max="11" width="10.6640625" style="160" bestFit="1" customWidth="1"/>
    <col min="12" max="12" width="5" style="160" bestFit="1" customWidth="1"/>
    <col min="13" max="13" width="5" style="146" bestFit="1" customWidth="1"/>
    <col min="14" max="15" width="5" style="146" customWidth="1"/>
    <col min="16" max="22" width="5" style="146" bestFit="1" customWidth="1"/>
    <col min="23" max="28" width="6" style="146" bestFit="1" customWidth="1"/>
    <col min="29" max="30" width="5" style="146" bestFit="1" customWidth="1"/>
    <col min="31" max="31" width="5" style="146" customWidth="1"/>
    <col min="32" max="39" width="5" style="146" bestFit="1" customWidth="1"/>
    <col min="40" max="45" width="6" style="146" bestFit="1" customWidth="1"/>
    <col min="46" max="46" width="13.44140625" style="146" customWidth="1"/>
    <col min="47" max="47" width="9.88671875" style="146" customWidth="1"/>
    <col min="48" max="51" width="5" style="146" bestFit="1" customWidth="1"/>
    <col min="52" max="52" width="5" style="146" customWidth="1"/>
    <col min="53" max="53" width="15.44140625" style="146" customWidth="1"/>
    <col min="54" max="54" width="4.33203125" style="146" bestFit="1" customWidth="1"/>
    <col min="55" max="55" width="10.109375" style="146" customWidth="1"/>
    <col min="56" max="62" width="5" style="146" bestFit="1" customWidth="1"/>
    <col min="63" max="63" width="5.33203125" style="146" customWidth="1"/>
    <col min="64" max="71" width="5" style="146" bestFit="1" customWidth="1"/>
    <col min="72" max="72" width="4.6640625" style="146" customWidth="1"/>
    <col min="73" max="73" width="21.33203125" style="146" customWidth="1"/>
    <col min="74" max="16384" width="9.109375" style="146"/>
  </cols>
  <sheetData>
    <row r="1" spans="1:73" ht="27.75" customHeight="1">
      <c r="A1" s="144"/>
      <c r="B1" s="144"/>
      <c r="C1" s="145"/>
      <c r="D1" s="48"/>
      <c r="E1" s="145"/>
      <c r="I1" s="146"/>
      <c r="J1" s="146"/>
      <c r="K1" s="146"/>
      <c r="L1" s="460" t="s">
        <v>458</v>
      </c>
      <c r="M1" s="461"/>
      <c r="N1" s="461"/>
      <c r="O1" s="461"/>
      <c r="P1" s="461"/>
      <c r="Q1" s="461"/>
      <c r="R1" s="461"/>
      <c r="S1" s="461"/>
      <c r="T1" s="461"/>
      <c r="U1" s="461"/>
      <c r="V1" s="461"/>
      <c r="W1" s="461"/>
      <c r="X1" s="461"/>
      <c r="Y1" s="461"/>
      <c r="Z1" s="461"/>
      <c r="AA1" s="461"/>
      <c r="AB1" s="462"/>
      <c r="AC1" s="463" t="s">
        <v>459</v>
      </c>
      <c r="AD1" s="464"/>
      <c r="AE1" s="464"/>
      <c r="AF1" s="464"/>
      <c r="AG1" s="464"/>
      <c r="AH1" s="464"/>
      <c r="AI1" s="464"/>
      <c r="AJ1" s="464"/>
      <c r="AK1" s="464"/>
      <c r="AL1" s="464"/>
      <c r="AM1" s="464"/>
      <c r="AN1" s="464"/>
      <c r="AO1" s="464"/>
      <c r="AP1" s="464"/>
      <c r="AQ1" s="464"/>
      <c r="AR1" s="464"/>
      <c r="AS1" s="465"/>
      <c r="AT1" s="466"/>
      <c r="AU1" s="467"/>
      <c r="AV1" s="468" t="s">
        <v>460</v>
      </c>
      <c r="AW1" s="469"/>
      <c r="AX1" s="469"/>
      <c r="AY1" s="469"/>
      <c r="AZ1" s="469"/>
      <c r="BA1" s="470"/>
      <c r="BB1" s="466"/>
      <c r="BC1" s="467"/>
      <c r="BD1" s="471" t="s">
        <v>461</v>
      </c>
      <c r="BE1" s="472"/>
      <c r="BF1" s="472"/>
      <c r="BG1" s="472"/>
      <c r="BH1" s="472"/>
      <c r="BI1" s="472"/>
      <c r="BJ1" s="472"/>
      <c r="BK1" s="472"/>
      <c r="BL1" s="472"/>
      <c r="BM1" s="472"/>
      <c r="BN1" s="473"/>
      <c r="BO1" s="457" t="s">
        <v>462</v>
      </c>
      <c r="BP1" s="458"/>
      <c r="BQ1" s="458"/>
      <c r="BR1" s="458"/>
      <c r="BS1" s="458"/>
      <c r="BT1" s="458"/>
      <c r="BU1" s="459"/>
    </row>
    <row r="2" spans="1:73" s="160" customFormat="1" ht="334.5" customHeight="1">
      <c r="A2" s="175" t="s">
        <v>664</v>
      </c>
      <c r="B2" s="175" t="s">
        <v>665</v>
      </c>
      <c r="C2" s="170" t="s">
        <v>726</v>
      </c>
      <c r="D2" s="170" t="s">
        <v>634</v>
      </c>
      <c r="E2" s="176" t="s">
        <v>730</v>
      </c>
      <c r="F2" s="88" t="s">
        <v>636</v>
      </c>
      <c r="G2" s="147" t="s">
        <v>666</v>
      </c>
      <c r="H2" s="147" t="s">
        <v>667</v>
      </c>
      <c r="I2" s="147" t="s">
        <v>668</v>
      </c>
      <c r="J2" s="147" t="s">
        <v>669</v>
      </c>
      <c r="K2" s="148" t="s">
        <v>670</v>
      </c>
      <c r="L2" s="149" t="s">
        <v>671</v>
      </c>
      <c r="M2" s="150" t="s">
        <v>672</v>
      </c>
      <c r="N2" s="151" t="s">
        <v>673</v>
      </c>
      <c r="O2" s="151" t="s">
        <v>674</v>
      </c>
      <c r="P2" s="150" t="s">
        <v>675</v>
      </c>
      <c r="Q2" s="150" t="s">
        <v>676</v>
      </c>
      <c r="R2" s="150" t="s">
        <v>677</v>
      </c>
      <c r="S2" s="150" t="s">
        <v>678</v>
      </c>
      <c r="T2" s="150" t="s">
        <v>679</v>
      </c>
      <c r="U2" s="150" t="s">
        <v>680</v>
      </c>
      <c r="V2" s="150" t="s">
        <v>681</v>
      </c>
      <c r="W2" s="150" t="s">
        <v>682</v>
      </c>
      <c r="X2" s="150" t="s">
        <v>683</v>
      </c>
      <c r="Y2" s="150" t="s">
        <v>684</v>
      </c>
      <c r="Z2" s="150" t="s">
        <v>685</v>
      </c>
      <c r="AA2" s="150" t="s">
        <v>686</v>
      </c>
      <c r="AB2" s="152" t="s">
        <v>687</v>
      </c>
      <c r="AC2" s="153" t="s">
        <v>688</v>
      </c>
      <c r="AD2" s="151" t="s">
        <v>689</v>
      </c>
      <c r="AE2" s="151" t="s">
        <v>690</v>
      </c>
      <c r="AF2" s="154" t="s">
        <v>691</v>
      </c>
      <c r="AG2" s="151" t="s">
        <v>692</v>
      </c>
      <c r="AH2" s="151" t="s">
        <v>693</v>
      </c>
      <c r="AI2" s="151" t="s">
        <v>694</v>
      </c>
      <c r="AJ2" s="151" t="s">
        <v>695</v>
      </c>
      <c r="AK2" s="151" t="s">
        <v>696</v>
      </c>
      <c r="AL2" s="151" t="s">
        <v>697</v>
      </c>
      <c r="AM2" s="151" t="s">
        <v>698</v>
      </c>
      <c r="AN2" s="151" t="s">
        <v>699</v>
      </c>
      <c r="AO2" s="151" t="s">
        <v>700</v>
      </c>
      <c r="AP2" s="151" t="s">
        <v>701</v>
      </c>
      <c r="AQ2" s="151" t="s">
        <v>702</v>
      </c>
      <c r="AR2" s="151" t="s">
        <v>703</v>
      </c>
      <c r="AS2" s="155" t="s">
        <v>704</v>
      </c>
      <c r="AT2" s="153" t="s">
        <v>705</v>
      </c>
      <c r="AU2" s="155" t="s">
        <v>706</v>
      </c>
      <c r="AV2" s="153" t="s">
        <v>707</v>
      </c>
      <c r="AW2" s="151" t="s">
        <v>708</v>
      </c>
      <c r="AX2" s="151" t="s">
        <v>464</v>
      </c>
      <c r="AY2" s="151" t="s">
        <v>709</v>
      </c>
      <c r="AZ2" s="151" t="s">
        <v>710</v>
      </c>
      <c r="BA2" s="156" t="s">
        <v>711</v>
      </c>
      <c r="BB2" s="153" t="s">
        <v>465</v>
      </c>
      <c r="BC2" s="156" t="s">
        <v>712</v>
      </c>
      <c r="BD2" s="153" t="s">
        <v>713</v>
      </c>
      <c r="BE2" s="151" t="s">
        <v>714</v>
      </c>
      <c r="BF2" s="151" t="s">
        <v>715</v>
      </c>
      <c r="BG2" s="151" t="s">
        <v>716</v>
      </c>
      <c r="BH2" s="151" t="s">
        <v>466</v>
      </c>
      <c r="BI2" s="151" t="s">
        <v>717</v>
      </c>
      <c r="BJ2" s="151" t="s">
        <v>467</v>
      </c>
      <c r="BK2" s="157" t="s">
        <v>718</v>
      </c>
      <c r="BL2" s="151" t="s">
        <v>468</v>
      </c>
      <c r="BM2" s="151" t="s">
        <v>469</v>
      </c>
      <c r="BN2" s="155" t="s">
        <v>719</v>
      </c>
      <c r="BO2" s="153" t="s">
        <v>720</v>
      </c>
      <c r="BP2" s="151" t="s">
        <v>721</v>
      </c>
      <c r="BQ2" s="151" t="s">
        <v>722</v>
      </c>
      <c r="BR2" s="151" t="s">
        <v>470</v>
      </c>
      <c r="BS2" s="151" t="s">
        <v>723</v>
      </c>
      <c r="BT2" s="158" t="s">
        <v>724</v>
      </c>
      <c r="BU2" s="159" t="s">
        <v>725</v>
      </c>
    </row>
    <row r="3" spans="1:73" s="164" customFormat="1" ht="37.200000000000003" customHeight="1">
      <c r="A3" s="161" t="s">
        <v>617</v>
      </c>
      <c r="B3" s="162" t="s">
        <v>618</v>
      </c>
      <c r="C3" s="177" t="s">
        <v>728</v>
      </c>
      <c r="D3" s="94" t="s">
        <v>565</v>
      </c>
      <c r="E3" s="163" t="s">
        <v>592</v>
      </c>
      <c r="F3" s="89" t="s">
        <v>619</v>
      </c>
      <c r="G3" s="89" t="s">
        <v>454</v>
      </c>
      <c r="H3" s="89" t="s">
        <v>620</v>
      </c>
      <c r="I3" s="89" t="s">
        <v>621</v>
      </c>
      <c r="J3" s="89" t="s">
        <v>622</v>
      </c>
      <c r="K3" s="54" t="s">
        <v>623</v>
      </c>
      <c r="L3" s="90" t="s">
        <v>624</v>
      </c>
      <c r="M3" s="89" t="s">
        <v>625</v>
      </c>
      <c r="N3" s="89" t="s">
        <v>626</v>
      </c>
      <c r="O3" s="89" t="s">
        <v>471</v>
      </c>
      <c r="P3" s="89" t="s">
        <v>627</v>
      </c>
      <c r="Q3" s="89" t="s">
        <v>472</v>
      </c>
      <c r="R3" s="89" t="s">
        <v>473</v>
      </c>
      <c r="S3" s="89" t="s">
        <v>474</v>
      </c>
      <c r="T3" s="89" t="s">
        <v>475</v>
      </c>
      <c r="U3" s="89" t="s">
        <v>476</v>
      </c>
      <c r="V3" s="89" t="s">
        <v>477</v>
      </c>
      <c r="W3" s="89" t="s">
        <v>478</v>
      </c>
      <c r="X3" s="89" t="s">
        <v>628</v>
      </c>
      <c r="Y3" s="89" t="s">
        <v>479</v>
      </c>
      <c r="Z3" s="89" t="s">
        <v>480</v>
      </c>
      <c r="AA3" s="89" t="s">
        <v>481</v>
      </c>
      <c r="AB3" s="91" t="s">
        <v>482</v>
      </c>
      <c r="AC3" s="90" t="s">
        <v>629</v>
      </c>
      <c r="AD3" s="89" t="s">
        <v>483</v>
      </c>
      <c r="AE3" s="89" t="s">
        <v>484</v>
      </c>
      <c r="AF3" s="89" t="s">
        <v>485</v>
      </c>
      <c r="AG3" s="89" t="s">
        <v>486</v>
      </c>
      <c r="AH3" s="89" t="s">
        <v>487</v>
      </c>
      <c r="AI3" s="89" t="s">
        <v>488</v>
      </c>
      <c r="AJ3" s="89" t="s">
        <v>489</v>
      </c>
      <c r="AK3" s="89" t="s">
        <v>490</v>
      </c>
      <c r="AL3" s="89" t="s">
        <v>491</v>
      </c>
      <c r="AM3" s="89" t="s">
        <v>492</v>
      </c>
      <c r="AN3" s="89" t="s">
        <v>630</v>
      </c>
      <c r="AO3" s="89" t="s">
        <v>493</v>
      </c>
      <c r="AP3" s="89" t="s">
        <v>494</v>
      </c>
      <c r="AQ3" s="89" t="s">
        <v>495</v>
      </c>
      <c r="AR3" s="89" t="s">
        <v>496</v>
      </c>
      <c r="AS3" s="91" t="s">
        <v>497</v>
      </c>
      <c r="AT3" s="90" t="s">
        <v>498</v>
      </c>
      <c r="AU3" s="91" t="s">
        <v>499</v>
      </c>
      <c r="AV3" s="90" t="s">
        <v>500</v>
      </c>
      <c r="AW3" s="89" t="s">
        <v>501</v>
      </c>
      <c r="AX3" s="89" t="s">
        <v>502</v>
      </c>
      <c r="AY3" s="89" t="s">
        <v>503</v>
      </c>
      <c r="AZ3" s="89" t="s">
        <v>504</v>
      </c>
      <c r="BA3" s="91" t="s">
        <v>505</v>
      </c>
      <c r="BB3" s="90" t="s">
        <v>506</v>
      </c>
      <c r="BC3" s="91" t="s">
        <v>507</v>
      </c>
      <c r="BD3" s="90" t="s">
        <v>631</v>
      </c>
      <c r="BE3" s="89" t="s">
        <v>508</v>
      </c>
      <c r="BF3" s="89" t="s">
        <v>509</v>
      </c>
      <c r="BG3" s="89" t="s">
        <v>510</v>
      </c>
      <c r="BH3" s="89" t="s">
        <v>511</v>
      </c>
      <c r="BI3" s="89" t="s">
        <v>512</v>
      </c>
      <c r="BJ3" s="89" t="s">
        <v>513</v>
      </c>
      <c r="BK3" s="89" t="s">
        <v>514</v>
      </c>
      <c r="BL3" s="89" t="s">
        <v>515</v>
      </c>
      <c r="BM3" s="89" t="s">
        <v>516</v>
      </c>
      <c r="BN3" s="91" t="s">
        <v>517</v>
      </c>
      <c r="BO3" s="90" t="s">
        <v>632</v>
      </c>
      <c r="BP3" s="89" t="s">
        <v>518</v>
      </c>
      <c r="BQ3" s="89" t="s">
        <v>519</v>
      </c>
      <c r="BR3" s="89" t="s">
        <v>520</v>
      </c>
      <c r="BS3" s="89" t="s">
        <v>521</v>
      </c>
      <c r="BT3" s="89" t="s">
        <v>522</v>
      </c>
      <c r="BU3" s="91" t="s">
        <v>633</v>
      </c>
    </row>
    <row r="4" spans="1:73" s="164" customFormat="1" ht="21.75" customHeight="1">
      <c r="A4" s="208" t="s">
        <v>737</v>
      </c>
      <c r="B4" s="165" t="str">
        <f ca="1">INDIRECT($A$3&amp;$B3)</f>
        <v>新規・追加・減少・廃止・タイプ変更申込</v>
      </c>
      <c r="C4" s="171" t="str">
        <f ca="1">INDIRECT($A$3&amp;$C3)</f>
        <v>希望しない(本申込書のみ記載・送付してください)</v>
      </c>
      <c r="D4" s="67" t="str">
        <f ca="1">INDIRECT($A$3&amp;$D3)</f>
        <v>Ver.3.50</v>
      </c>
      <c r="E4" s="165" t="str">
        <f ca="1">INDIRECT($A$3&amp;$E3)</f>
        <v/>
      </c>
      <c r="F4" s="92"/>
      <c r="G4" s="166" t="str">
        <f ca="1">IF(INDIRECT($F$3&amp;G$3)="","",INDIRECT($F$3&amp;G$3))</f>
        <v>産業をお選びください</v>
      </c>
      <c r="H4" s="166" t="str">
        <f ca="1">IF(INDIRECT($F$3&amp;H$3)="","",INDIRECT($F$3&amp;H$3))</f>
        <v>業種をお選びください</v>
      </c>
      <c r="I4" s="166" t="str">
        <f ca="1">IF(INDIRECT($F$3&amp;I$3)="","",INDIRECT($F$3&amp;I$3))</f>
        <v/>
      </c>
      <c r="J4" s="166" t="str">
        <f ca="1">IF(INDIRECT($F$3&amp;J$3)="","",INDIRECT($F$3&amp;J$3))</f>
        <v/>
      </c>
      <c r="K4" s="167" t="str">
        <f ca="1">IF(INDIRECT($F$3&amp;K$3)="","",INDIRECT($F$3&amp;K$3))</f>
        <v/>
      </c>
      <c r="L4" s="168" t="str">
        <f ca="1">IF(INDIRECT($F$3&amp;$N$3)="■","□",INDIRECT($F$3&amp;L$3))</f>
        <v>□</v>
      </c>
      <c r="M4" s="166" t="str">
        <f ca="1">IF(INDIRECT($F$3&amp;$N$3)="■","□",INDIRECT($F$3&amp;M$3))</f>
        <v>□</v>
      </c>
      <c r="N4" s="166" t="str">
        <f ca="1">IF(INDIRECT($F$3&amp;N$3)="","",INDIRECT($F$3&amp;N$3))</f>
        <v>□</v>
      </c>
      <c r="O4" s="166" t="str">
        <f ca="1">IF(INDIRECT($F$3&amp;$N$3)="■","□",INDIRECT($F$3&amp;O$3))</f>
        <v>□</v>
      </c>
      <c r="P4" s="166" t="str">
        <f t="shared" ref="P4:AB4" ca="1" si="0">IF(INDIRECT($F$3&amp;$N$3)="■","□",INDIRECT($F$3&amp;P$3))</f>
        <v>□</v>
      </c>
      <c r="Q4" s="166" t="str">
        <f t="shared" ca="1" si="0"/>
        <v>□</v>
      </c>
      <c r="R4" s="166" t="str">
        <f t="shared" ca="1" si="0"/>
        <v>□</v>
      </c>
      <c r="S4" s="166" t="str">
        <f t="shared" ca="1" si="0"/>
        <v>□</v>
      </c>
      <c r="T4" s="166" t="str">
        <f t="shared" ca="1" si="0"/>
        <v>□</v>
      </c>
      <c r="U4" s="166" t="str">
        <f t="shared" ca="1" si="0"/>
        <v>□</v>
      </c>
      <c r="V4" s="166" t="str">
        <f t="shared" ca="1" si="0"/>
        <v>□</v>
      </c>
      <c r="W4" s="166" t="str">
        <f t="shared" ca="1" si="0"/>
        <v>□</v>
      </c>
      <c r="X4" s="166" t="str">
        <f t="shared" ca="1" si="0"/>
        <v>□</v>
      </c>
      <c r="Y4" s="166" t="str">
        <f t="shared" ca="1" si="0"/>
        <v>□</v>
      </c>
      <c r="Z4" s="166" t="str">
        <f t="shared" ca="1" si="0"/>
        <v>□</v>
      </c>
      <c r="AA4" s="166" t="str">
        <f t="shared" ca="1" si="0"/>
        <v>□</v>
      </c>
      <c r="AB4" s="169" t="str">
        <f t="shared" ca="1" si="0"/>
        <v>□</v>
      </c>
      <c r="AC4" s="168" t="str">
        <f ca="1">IF(INDIRECT($F$3&amp;$AE$3)="■","□",INDIRECT($F$3&amp;AC$3))</f>
        <v>□</v>
      </c>
      <c r="AD4" s="166" t="str">
        <f ca="1">IF(INDIRECT($F$3&amp;$AE$3)="■","□",INDIRECT($F$3&amp;AD$3))</f>
        <v>□</v>
      </c>
      <c r="AE4" s="166" t="str">
        <f ca="1">IF(INDIRECT($F$3&amp;AE$3)="","",INDIRECT($F$3&amp;AE$3))</f>
        <v>□</v>
      </c>
      <c r="AF4" s="166" t="str">
        <f ca="1">IF(INDIRECT($F$3&amp;$AE$3)="■","□",INDIRECT($F$3&amp;AF$3))</f>
        <v>□</v>
      </c>
      <c r="AG4" s="166" t="str">
        <f t="shared" ref="AG4:AS4" ca="1" si="1">IF(INDIRECT($F$3&amp;$AE$3)="■","□",INDIRECT($F$3&amp;AG$3))</f>
        <v>□</v>
      </c>
      <c r="AH4" s="166" t="str">
        <f t="shared" ca="1" si="1"/>
        <v>□</v>
      </c>
      <c r="AI4" s="166" t="str">
        <f t="shared" ca="1" si="1"/>
        <v>□</v>
      </c>
      <c r="AJ4" s="166" t="str">
        <f t="shared" ca="1" si="1"/>
        <v>□</v>
      </c>
      <c r="AK4" s="166" t="str">
        <f t="shared" ca="1" si="1"/>
        <v>□</v>
      </c>
      <c r="AL4" s="166" t="str">
        <f t="shared" ca="1" si="1"/>
        <v>□</v>
      </c>
      <c r="AM4" s="166" t="str">
        <f t="shared" ca="1" si="1"/>
        <v>□</v>
      </c>
      <c r="AN4" s="166" t="str">
        <f t="shared" ca="1" si="1"/>
        <v>□</v>
      </c>
      <c r="AO4" s="166" t="str">
        <f t="shared" ca="1" si="1"/>
        <v>□</v>
      </c>
      <c r="AP4" s="166" t="str">
        <f t="shared" ca="1" si="1"/>
        <v>□</v>
      </c>
      <c r="AQ4" s="166" t="str">
        <f t="shared" ca="1" si="1"/>
        <v>□</v>
      </c>
      <c r="AR4" s="166" t="str">
        <f t="shared" ca="1" si="1"/>
        <v>□</v>
      </c>
      <c r="AS4" s="169" t="str">
        <f t="shared" ca="1" si="1"/>
        <v>□</v>
      </c>
      <c r="AT4" s="168" t="str">
        <f t="shared" ref="AT4:BU4" ca="1" si="2">IF(INDIRECT($F$3&amp;AT$3)="","",INDIRECT($F$3&amp;AT$3))</f>
        <v/>
      </c>
      <c r="AU4" s="169" t="str">
        <f t="shared" ca="1" si="2"/>
        <v/>
      </c>
      <c r="AV4" s="168" t="str">
        <f t="shared" ca="1" si="2"/>
        <v>□</v>
      </c>
      <c r="AW4" s="166" t="str">
        <f ca="1">IF(INDIRECT($F$3&amp;AW$3)="","",INDIRECT($F$3&amp;AW$3))</f>
        <v>□</v>
      </c>
      <c r="AX4" s="166" t="str">
        <f ca="1">IF(INDIRECT($F$3&amp;AX$3)="","",INDIRECT($F$3&amp;AX$3))</f>
        <v>□</v>
      </c>
      <c r="AY4" s="166" t="str">
        <f ca="1">IF(INDIRECT($F$3&amp;AY$3)="","",INDIRECT($F$3&amp;AY$3))</f>
        <v>□</v>
      </c>
      <c r="AZ4" s="166" t="str">
        <f ca="1">IF(INDIRECT($F$3&amp;AZ$3)="","",INDIRECT($F$3&amp;AZ$3))</f>
        <v>□</v>
      </c>
      <c r="BA4" s="169" t="str">
        <f t="shared" ca="1" si="2"/>
        <v/>
      </c>
      <c r="BB4" s="168" t="str">
        <f t="shared" ca="1" si="2"/>
        <v/>
      </c>
      <c r="BC4" s="169" t="str">
        <f t="shared" ca="1" si="2"/>
        <v/>
      </c>
      <c r="BD4" s="168" t="str">
        <f ca="1">IF(INDIRECT($F$3&amp;BD$3)="","",INDIRECT($F$3&amp;BD$3))</f>
        <v>□</v>
      </c>
      <c r="BE4" s="166" t="str">
        <f ca="1">IF(INDIRECT($F$3&amp;BE$3)="","",INDIRECT($F$3&amp;BE$3))</f>
        <v>□</v>
      </c>
      <c r="BF4" s="166" t="str">
        <f t="shared" ca="1" si="2"/>
        <v>□</v>
      </c>
      <c r="BG4" s="166" t="str">
        <f t="shared" ca="1" si="2"/>
        <v>□</v>
      </c>
      <c r="BH4" s="166" t="str">
        <f t="shared" ca="1" si="2"/>
        <v>□</v>
      </c>
      <c r="BI4" s="166" t="str">
        <f t="shared" ca="1" si="2"/>
        <v>□</v>
      </c>
      <c r="BJ4" s="166" t="str">
        <f t="shared" ca="1" si="2"/>
        <v>□</v>
      </c>
      <c r="BK4" s="166" t="str">
        <f t="shared" ca="1" si="2"/>
        <v>□</v>
      </c>
      <c r="BL4" s="166" t="str">
        <f t="shared" ca="1" si="2"/>
        <v>□</v>
      </c>
      <c r="BM4" s="166" t="str">
        <f t="shared" ca="1" si="2"/>
        <v>□</v>
      </c>
      <c r="BN4" s="169" t="str">
        <f t="shared" ca="1" si="2"/>
        <v>□</v>
      </c>
      <c r="BO4" s="168" t="str">
        <f t="shared" ca="1" si="2"/>
        <v>□</v>
      </c>
      <c r="BP4" s="166" t="str">
        <f t="shared" ca="1" si="2"/>
        <v>□</v>
      </c>
      <c r="BQ4" s="166" t="str">
        <f t="shared" ca="1" si="2"/>
        <v>□</v>
      </c>
      <c r="BR4" s="166" t="str">
        <f t="shared" ca="1" si="2"/>
        <v>□</v>
      </c>
      <c r="BS4" s="166" t="str">
        <f t="shared" ca="1" si="2"/>
        <v>□</v>
      </c>
      <c r="BT4" s="166" t="str">
        <f ca="1">IF(INDIRECT($F$3&amp;BT$3)="","",INDIRECT($F$3&amp;BT$3))</f>
        <v>□</v>
      </c>
      <c r="BU4" s="169" t="str">
        <f t="shared" ca="1" si="2"/>
        <v/>
      </c>
    </row>
  </sheetData>
  <mergeCells count="7">
    <mergeCell ref="BO1:BU1"/>
    <mergeCell ref="L1:AB1"/>
    <mergeCell ref="AC1:AS1"/>
    <mergeCell ref="AT1:AU1"/>
    <mergeCell ref="AV1:BA1"/>
    <mergeCell ref="BB1:BC1"/>
    <mergeCell ref="BD1:BN1"/>
  </mergeCells>
  <phoneticPr fontId="18"/>
  <conditionalFormatting sqref="B2 E2:F2">
    <cfRule type="duplicateValues" dxfId="190" priority="6"/>
  </conditionalFormatting>
  <conditionalFormatting sqref="A2">
    <cfRule type="duplicateValues" dxfId="189" priority="5"/>
  </conditionalFormatting>
  <conditionalFormatting sqref="A2:B2 E2:F2">
    <cfRule type="duplicateValues" dxfId="188" priority="4"/>
  </conditionalFormatting>
  <conditionalFormatting sqref="C2">
    <cfRule type="duplicateValues" dxfId="187" priority="3"/>
  </conditionalFormatting>
  <conditionalFormatting sqref="D2">
    <cfRule type="duplicateValues" dxfId="186" priority="1"/>
    <cfRule type="duplicateValues" dxfId="185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0000"/>
  </sheetPr>
  <dimension ref="A1:BL58"/>
  <sheetViews>
    <sheetView tabSelected="1" view="pageBreakPreview" zoomScale="85" zoomScaleNormal="100" zoomScaleSheetLayoutView="85" workbookViewId="0">
      <selection activeCell="S11" sqref="S11:AX13"/>
    </sheetView>
  </sheetViews>
  <sheetFormatPr defaultColWidth="9.109375" defaultRowHeight="13.2"/>
  <cols>
    <col min="1" max="52" width="3" style="6" customWidth="1"/>
    <col min="53" max="64" width="3" style="183" customWidth="1"/>
    <col min="65" max="149" width="3" style="6" customWidth="1"/>
    <col min="150" max="16384" width="9.109375" style="6"/>
  </cols>
  <sheetData>
    <row r="1" spans="1:64" ht="13.5" customHeight="1">
      <c r="A1" s="5"/>
      <c r="B1" s="5"/>
      <c r="C1" s="492" t="s">
        <v>733</v>
      </c>
      <c r="D1" s="492"/>
      <c r="E1" s="492"/>
      <c r="F1" s="492"/>
      <c r="G1" s="492"/>
      <c r="H1" s="492"/>
      <c r="I1" s="492"/>
      <c r="J1" s="492"/>
      <c r="K1" s="492"/>
      <c r="L1" s="492"/>
      <c r="M1" s="492"/>
      <c r="N1" s="492"/>
      <c r="O1" s="492"/>
      <c r="P1" s="492"/>
      <c r="Q1" s="492"/>
      <c r="R1" s="492"/>
      <c r="S1" s="492"/>
      <c r="T1" s="492"/>
      <c r="U1" s="492"/>
      <c r="V1" s="492"/>
      <c r="W1" s="492"/>
      <c r="X1" s="492"/>
      <c r="Y1" s="492"/>
      <c r="Z1" s="492"/>
      <c r="AA1" s="492"/>
      <c r="AB1" s="492"/>
      <c r="AC1" s="492"/>
      <c r="AD1" s="492"/>
      <c r="AE1" s="492"/>
      <c r="AF1" s="492"/>
      <c r="AG1" s="492"/>
      <c r="AH1" s="492"/>
      <c r="AI1" s="492"/>
      <c r="AJ1" s="492"/>
      <c r="AK1" s="492"/>
      <c r="AL1" s="492"/>
      <c r="AM1" s="492"/>
      <c r="AN1" s="492"/>
      <c r="AO1" s="492"/>
      <c r="AP1" s="492"/>
      <c r="AQ1" s="492"/>
      <c r="AR1" s="492"/>
      <c r="AS1" s="492"/>
      <c r="AT1" s="492"/>
      <c r="AU1" s="492"/>
      <c r="AV1" s="492"/>
      <c r="AW1" s="492"/>
      <c r="AX1" s="492"/>
      <c r="AY1" s="492"/>
      <c r="AZ1" s="5"/>
      <c r="BA1" s="385"/>
      <c r="BB1" s="385"/>
      <c r="BC1" s="385"/>
      <c r="BD1" s="385"/>
      <c r="BE1" s="385"/>
      <c r="BF1" s="385"/>
      <c r="BG1" s="385"/>
      <c r="BH1" s="385"/>
      <c r="BI1" s="385"/>
      <c r="BJ1" s="385"/>
      <c r="BK1" s="385"/>
      <c r="BL1" s="385"/>
    </row>
    <row r="2" spans="1:64" ht="13.5" customHeight="1">
      <c r="A2" s="5"/>
      <c r="B2" s="5"/>
      <c r="C2" s="492"/>
      <c r="D2" s="492"/>
      <c r="E2" s="492"/>
      <c r="F2" s="492"/>
      <c r="G2" s="492"/>
      <c r="H2" s="492"/>
      <c r="I2" s="492"/>
      <c r="J2" s="492"/>
      <c r="K2" s="492"/>
      <c r="L2" s="492"/>
      <c r="M2" s="492"/>
      <c r="N2" s="492"/>
      <c r="O2" s="492"/>
      <c r="P2" s="492"/>
      <c r="Q2" s="492"/>
      <c r="R2" s="492"/>
      <c r="S2" s="492"/>
      <c r="T2" s="492"/>
      <c r="U2" s="492"/>
      <c r="V2" s="492"/>
      <c r="W2" s="492"/>
      <c r="X2" s="492"/>
      <c r="Y2" s="492"/>
      <c r="Z2" s="492"/>
      <c r="AA2" s="492"/>
      <c r="AB2" s="492"/>
      <c r="AC2" s="492"/>
      <c r="AD2" s="492"/>
      <c r="AE2" s="492"/>
      <c r="AF2" s="492"/>
      <c r="AG2" s="492"/>
      <c r="AH2" s="492"/>
      <c r="AI2" s="492"/>
      <c r="AJ2" s="492"/>
      <c r="AK2" s="492"/>
      <c r="AL2" s="492"/>
      <c r="AM2" s="492"/>
      <c r="AN2" s="492"/>
      <c r="AO2" s="492"/>
      <c r="AP2" s="492"/>
      <c r="AQ2" s="492"/>
      <c r="AR2" s="492"/>
      <c r="AS2" s="492"/>
      <c r="AT2" s="492"/>
      <c r="AU2" s="492"/>
      <c r="AV2" s="492"/>
      <c r="AW2" s="492"/>
      <c r="AX2" s="492"/>
      <c r="AY2" s="492"/>
      <c r="AZ2" s="5"/>
      <c r="BA2" s="385"/>
      <c r="BB2" s="385"/>
      <c r="BC2" s="385"/>
      <c r="BD2" s="385"/>
      <c r="BE2" s="385"/>
      <c r="BF2" s="385"/>
      <c r="BG2" s="385"/>
      <c r="BH2" s="385"/>
      <c r="BI2" s="385"/>
      <c r="BJ2" s="385"/>
      <c r="BK2" s="385"/>
      <c r="BL2" s="385"/>
    </row>
    <row r="3" spans="1:64" ht="13.5" customHeight="1">
      <c r="A3" s="5"/>
      <c r="B3" s="5"/>
      <c r="C3" s="492"/>
      <c r="D3" s="492"/>
      <c r="E3" s="492"/>
      <c r="F3" s="492"/>
      <c r="G3" s="492"/>
      <c r="H3" s="492"/>
      <c r="I3" s="492"/>
      <c r="J3" s="492"/>
      <c r="K3" s="492"/>
      <c r="L3" s="492"/>
      <c r="M3" s="492"/>
      <c r="N3" s="492"/>
      <c r="O3" s="492"/>
      <c r="P3" s="492"/>
      <c r="Q3" s="492"/>
      <c r="R3" s="492"/>
      <c r="S3" s="492"/>
      <c r="T3" s="492"/>
      <c r="U3" s="492"/>
      <c r="V3" s="492"/>
      <c r="W3" s="492"/>
      <c r="X3" s="492"/>
      <c r="Y3" s="492"/>
      <c r="Z3" s="492"/>
      <c r="AA3" s="492"/>
      <c r="AB3" s="492"/>
      <c r="AC3" s="492"/>
      <c r="AD3" s="492"/>
      <c r="AE3" s="492"/>
      <c r="AF3" s="492"/>
      <c r="AG3" s="492"/>
      <c r="AH3" s="492"/>
      <c r="AI3" s="492"/>
      <c r="AJ3" s="492"/>
      <c r="AK3" s="492"/>
      <c r="AL3" s="492"/>
      <c r="AM3" s="492"/>
      <c r="AN3" s="492"/>
      <c r="AO3" s="492"/>
      <c r="AP3" s="492"/>
      <c r="AQ3" s="492"/>
      <c r="AR3" s="492"/>
      <c r="AS3" s="492"/>
      <c r="AT3" s="492"/>
      <c r="AU3" s="492"/>
      <c r="AV3" s="492"/>
      <c r="AW3" s="492"/>
      <c r="AX3" s="492"/>
      <c r="AY3" s="492"/>
      <c r="AZ3" s="5"/>
      <c r="BA3" s="385"/>
      <c r="BB3" s="385"/>
      <c r="BC3" s="385"/>
      <c r="BD3" s="385"/>
      <c r="BE3" s="385"/>
      <c r="BF3" s="385"/>
      <c r="BG3" s="385"/>
      <c r="BH3" s="385"/>
      <c r="BI3" s="385"/>
      <c r="BJ3" s="385"/>
      <c r="BK3" s="385"/>
      <c r="BL3" s="385"/>
    </row>
    <row r="4" spans="1:64" ht="13.5" customHeight="1">
      <c r="A4" s="5"/>
      <c r="B4" s="5"/>
      <c r="C4" s="492"/>
      <c r="D4" s="492"/>
      <c r="E4" s="492"/>
      <c r="F4" s="492"/>
      <c r="G4" s="492"/>
      <c r="H4" s="492"/>
      <c r="I4" s="492"/>
      <c r="J4" s="492"/>
      <c r="K4" s="492"/>
      <c r="L4" s="492"/>
      <c r="M4" s="492"/>
      <c r="N4" s="492"/>
      <c r="O4" s="492"/>
      <c r="P4" s="492"/>
      <c r="Q4" s="492"/>
      <c r="R4" s="492"/>
      <c r="S4" s="492"/>
      <c r="T4" s="492"/>
      <c r="U4" s="492"/>
      <c r="V4" s="492"/>
      <c r="W4" s="492"/>
      <c r="X4" s="492"/>
      <c r="Y4" s="492"/>
      <c r="Z4" s="492"/>
      <c r="AA4" s="492"/>
      <c r="AB4" s="492"/>
      <c r="AC4" s="492"/>
      <c r="AD4" s="492"/>
      <c r="AE4" s="492"/>
      <c r="AF4" s="492"/>
      <c r="AG4" s="492"/>
      <c r="AH4" s="492"/>
      <c r="AI4" s="492"/>
      <c r="AJ4" s="492"/>
      <c r="AK4" s="492"/>
      <c r="AL4" s="492"/>
      <c r="AM4" s="492"/>
      <c r="AN4" s="492"/>
      <c r="AO4" s="492"/>
      <c r="AP4" s="492"/>
      <c r="AQ4" s="492"/>
      <c r="AR4" s="492"/>
      <c r="AS4" s="492"/>
      <c r="AT4" s="492"/>
      <c r="AU4" s="492"/>
      <c r="AV4" s="492"/>
      <c r="AW4" s="492"/>
      <c r="AX4" s="492"/>
      <c r="AY4" s="492"/>
      <c r="AZ4" s="5"/>
      <c r="BA4" s="385"/>
      <c r="BB4" s="385"/>
      <c r="BC4" s="385"/>
      <c r="BD4" s="385"/>
      <c r="BE4" s="385"/>
      <c r="BF4" s="385"/>
      <c r="BG4" s="385"/>
      <c r="BH4" s="385"/>
      <c r="BI4" s="385"/>
      <c r="BJ4" s="385"/>
      <c r="BK4" s="385"/>
      <c r="BL4" s="385"/>
    </row>
    <row r="5" spans="1:64" ht="14.4">
      <c r="A5" s="5"/>
      <c r="B5" s="5"/>
      <c r="C5" s="222" t="s">
        <v>770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385"/>
      <c r="BB5" s="488" t="s">
        <v>775</v>
      </c>
      <c r="BC5" s="488"/>
      <c r="BD5" s="488"/>
      <c r="BE5" s="488"/>
      <c r="BF5" s="488"/>
      <c r="BG5" s="488"/>
      <c r="BH5" s="488"/>
      <c r="BI5" s="488"/>
      <c r="BJ5" s="385"/>
      <c r="BK5" s="385"/>
      <c r="BL5" s="385"/>
    </row>
    <row r="6" spans="1:64" ht="14.4">
      <c r="A6" s="5"/>
      <c r="B6" s="5"/>
      <c r="C6" s="223" t="s">
        <v>777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392" t="s">
        <v>1046</v>
      </c>
      <c r="AS6" s="5"/>
      <c r="AT6" s="391"/>
      <c r="AU6" s="5" t="s">
        <v>1047</v>
      </c>
      <c r="AV6" s="5"/>
      <c r="AW6" s="5"/>
      <c r="AX6" s="5"/>
      <c r="AY6" s="5"/>
      <c r="AZ6" s="5"/>
      <c r="BA6" s="385"/>
      <c r="BB6" s="488"/>
      <c r="BC6" s="488"/>
      <c r="BD6" s="488"/>
      <c r="BE6" s="488"/>
      <c r="BF6" s="488"/>
      <c r="BG6" s="488"/>
      <c r="BH6" s="488"/>
      <c r="BI6" s="488"/>
      <c r="BJ6" s="385"/>
      <c r="BK6" s="385"/>
      <c r="BL6" s="385"/>
    </row>
    <row r="7" spans="1:64" ht="36.75" customHeight="1">
      <c r="A7" s="5"/>
      <c r="B7" s="5"/>
      <c r="C7" s="505" t="s">
        <v>1032</v>
      </c>
      <c r="D7" s="505"/>
      <c r="E7" s="505"/>
      <c r="F7" s="505"/>
      <c r="G7" s="505"/>
      <c r="H7" s="505"/>
      <c r="I7" s="505"/>
      <c r="J7" s="505"/>
      <c r="K7" s="505"/>
      <c r="L7" s="505"/>
      <c r="M7" s="505"/>
      <c r="N7" s="505"/>
      <c r="O7" s="505"/>
      <c r="P7" s="505"/>
      <c r="Q7" s="505"/>
      <c r="R7" s="505"/>
      <c r="S7" s="505"/>
      <c r="T7" s="505"/>
      <c r="U7" s="505"/>
      <c r="V7" s="505"/>
      <c r="W7" s="505"/>
      <c r="X7" s="505"/>
      <c r="Y7" s="505"/>
      <c r="Z7" s="505"/>
      <c r="AA7" s="505"/>
      <c r="AB7" s="505"/>
      <c r="AC7" s="505"/>
      <c r="AD7" s="505"/>
      <c r="AE7" s="505"/>
      <c r="AF7" s="505"/>
      <c r="AG7" s="505"/>
      <c r="AH7" s="505"/>
      <c r="AI7" s="5"/>
      <c r="AJ7" s="5"/>
      <c r="AK7" s="5"/>
      <c r="AL7" s="5"/>
      <c r="AM7" s="5"/>
      <c r="AN7" s="5"/>
      <c r="AO7" s="5"/>
      <c r="AP7" s="5"/>
      <c r="AQ7" s="5"/>
      <c r="AR7" s="205" t="str">
        <f>IF(別紙①_カメラ申込書!M64="","",別紙①_カメラ申込書!M64)</f>
        <v/>
      </c>
      <c r="AS7" s="5"/>
      <c r="AT7" s="5"/>
      <c r="AU7" s="5"/>
      <c r="AV7" s="5"/>
      <c r="AW7" s="5"/>
      <c r="AX7" s="5"/>
      <c r="AY7" s="5"/>
      <c r="AZ7" s="5"/>
      <c r="BA7" s="385"/>
      <c r="BB7" s="488"/>
      <c r="BC7" s="488"/>
      <c r="BD7" s="488"/>
      <c r="BE7" s="488"/>
      <c r="BF7" s="488"/>
      <c r="BG7" s="488"/>
      <c r="BH7" s="488"/>
      <c r="BI7" s="488"/>
      <c r="BJ7" s="385"/>
      <c r="BK7" s="385"/>
      <c r="BL7" s="385"/>
    </row>
    <row r="8" spans="1:64" ht="10.5" hidden="1" customHeight="1">
      <c r="A8" s="5"/>
      <c r="B8" s="5"/>
      <c r="C8" s="206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496" t="s">
        <v>44</v>
      </c>
      <c r="T8" s="497"/>
      <c r="U8" s="497"/>
      <c r="V8" s="497"/>
      <c r="W8" s="497"/>
      <c r="X8" s="497"/>
      <c r="Y8" s="497"/>
      <c r="Z8" s="497"/>
      <c r="AA8" s="497"/>
      <c r="AB8" s="497"/>
      <c r="AC8" s="497"/>
      <c r="AD8" s="497"/>
      <c r="AE8" s="497"/>
      <c r="AF8" s="497"/>
      <c r="AG8" s="497"/>
      <c r="AH8" s="497"/>
      <c r="AI8" s="497"/>
      <c r="AJ8" s="497"/>
      <c r="AK8" s="497"/>
      <c r="AL8" s="497"/>
      <c r="AM8" s="497"/>
      <c r="AN8" s="497"/>
      <c r="AO8" s="497"/>
      <c r="AP8" s="497"/>
      <c r="AQ8" s="497"/>
      <c r="AR8" s="497"/>
      <c r="AS8" s="497"/>
      <c r="AT8" s="497"/>
      <c r="AU8" s="497"/>
      <c r="AV8" s="497"/>
      <c r="AW8" s="497"/>
      <c r="AX8" s="498"/>
      <c r="AY8" s="5"/>
      <c r="AZ8" s="5"/>
      <c r="BA8" s="385"/>
      <c r="BB8" s="386"/>
      <c r="BC8" s="386"/>
      <c r="BD8" s="386"/>
      <c r="BE8" s="386"/>
      <c r="BF8" s="386"/>
      <c r="BG8" s="386"/>
      <c r="BH8" s="386"/>
      <c r="BI8" s="386"/>
      <c r="BJ8" s="385"/>
      <c r="BK8" s="385"/>
      <c r="BL8" s="385"/>
    </row>
    <row r="9" spans="1:64" ht="10.5" hidden="1" customHeight="1">
      <c r="A9" s="5"/>
      <c r="B9" s="5"/>
      <c r="C9" s="206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499"/>
      <c r="T9" s="500"/>
      <c r="U9" s="500"/>
      <c r="V9" s="500"/>
      <c r="W9" s="500"/>
      <c r="X9" s="500"/>
      <c r="Y9" s="500"/>
      <c r="Z9" s="500"/>
      <c r="AA9" s="500"/>
      <c r="AB9" s="500"/>
      <c r="AC9" s="500"/>
      <c r="AD9" s="500"/>
      <c r="AE9" s="500"/>
      <c r="AF9" s="500"/>
      <c r="AG9" s="500"/>
      <c r="AH9" s="500"/>
      <c r="AI9" s="500"/>
      <c r="AJ9" s="500"/>
      <c r="AK9" s="500"/>
      <c r="AL9" s="500"/>
      <c r="AM9" s="500"/>
      <c r="AN9" s="500"/>
      <c r="AO9" s="500"/>
      <c r="AP9" s="500"/>
      <c r="AQ9" s="500"/>
      <c r="AR9" s="500"/>
      <c r="AS9" s="500"/>
      <c r="AT9" s="500"/>
      <c r="AU9" s="500"/>
      <c r="AV9" s="500"/>
      <c r="AW9" s="500"/>
      <c r="AX9" s="501"/>
      <c r="AY9" s="5"/>
      <c r="AZ9" s="5"/>
      <c r="BA9" s="385"/>
      <c r="BB9" s="386"/>
      <c r="BC9" s="386"/>
      <c r="BD9" s="386"/>
      <c r="BE9" s="386"/>
      <c r="BF9" s="386"/>
      <c r="BG9" s="386"/>
      <c r="BH9" s="386"/>
      <c r="BI9" s="386"/>
      <c r="BJ9" s="385"/>
      <c r="BK9" s="385"/>
      <c r="BL9" s="385"/>
    </row>
    <row r="10" spans="1:64" ht="17.25" hidden="1" customHeight="1">
      <c r="A10" s="5"/>
      <c r="B10" s="5"/>
      <c r="C10" s="206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02"/>
      <c r="T10" s="503"/>
      <c r="U10" s="503"/>
      <c r="V10" s="503"/>
      <c r="W10" s="503"/>
      <c r="X10" s="503"/>
      <c r="Y10" s="503"/>
      <c r="Z10" s="503"/>
      <c r="AA10" s="503"/>
      <c r="AB10" s="503"/>
      <c r="AC10" s="503"/>
      <c r="AD10" s="503"/>
      <c r="AE10" s="503"/>
      <c r="AF10" s="503"/>
      <c r="AG10" s="503"/>
      <c r="AH10" s="503"/>
      <c r="AI10" s="503"/>
      <c r="AJ10" s="503"/>
      <c r="AK10" s="503"/>
      <c r="AL10" s="503"/>
      <c r="AM10" s="503"/>
      <c r="AN10" s="503"/>
      <c r="AO10" s="503"/>
      <c r="AP10" s="503"/>
      <c r="AQ10" s="503"/>
      <c r="AR10" s="503"/>
      <c r="AS10" s="503"/>
      <c r="AT10" s="503"/>
      <c r="AU10" s="503"/>
      <c r="AV10" s="503"/>
      <c r="AW10" s="503"/>
      <c r="AX10" s="504"/>
      <c r="AY10" s="5"/>
      <c r="AZ10" s="5"/>
      <c r="BA10" s="385"/>
      <c r="BB10" s="386"/>
      <c r="BC10" s="386"/>
      <c r="BD10" s="386"/>
      <c r="BE10" s="386"/>
      <c r="BF10" s="386"/>
      <c r="BG10" s="386"/>
      <c r="BH10" s="386"/>
      <c r="BI10" s="386"/>
      <c r="BJ10" s="385"/>
      <c r="BK10" s="385"/>
      <c r="BL10" s="385"/>
    </row>
    <row r="11" spans="1:64" ht="14.25" customHeight="1">
      <c r="A11" s="5"/>
      <c r="B11" s="5"/>
      <c r="C11" s="493" t="s">
        <v>738</v>
      </c>
      <c r="D11" s="489"/>
      <c r="E11" s="489"/>
      <c r="F11" s="489"/>
      <c r="G11" s="489"/>
      <c r="H11" s="489"/>
      <c r="I11" s="489"/>
      <c r="J11" s="489"/>
      <c r="K11" s="489"/>
      <c r="L11" s="489"/>
      <c r="M11" s="489"/>
      <c r="N11" s="489"/>
      <c r="O11" s="489"/>
      <c r="P11" s="489"/>
      <c r="Q11" s="489"/>
      <c r="R11" s="494"/>
      <c r="S11" s="495" t="s">
        <v>241</v>
      </c>
      <c r="T11" s="495"/>
      <c r="U11" s="495"/>
      <c r="V11" s="495"/>
      <c r="W11" s="495"/>
      <c r="X11" s="495"/>
      <c r="Y11" s="495"/>
      <c r="Z11" s="495"/>
      <c r="AA11" s="495"/>
      <c r="AB11" s="495"/>
      <c r="AC11" s="495"/>
      <c r="AD11" s="495"/>
      <c r="AE11" s="495"/>
      <c r="AF11" s="495"/>
      <c r="AG11" s="495"/>
      <c r="AH11" s="495"/>
      <c r="AI11" s="495"/>
      <c r="AJ11" s="495"/>
      <c r="AK11" s="495"/>
      <c r="AL11" s="495"/>
      <c r="AM11" s="495"/>
      <c r="AN11" s="495"/>
      <c r="AO11" s="495"/>
      <c r="AP11" s="495"/>
      <c r="AQ11" s="495"/>
      <c r="AR11" s="495"/>
      <c r="AS11" s="495"/>
      <c r="AT11" s="495"/>
      <c r="AU11" s="495"/>
      <c r="AV11" s="495"/>
      <c r="AW11" s="495"/>
      <c r="AX11" s="495"/>
      <c r="AY11" s="5"/>
      <c r="AZ11" s="5"/>
      <c r="BA11" s="385"/>
      <c r="BB11" s="385"/>
      <c r="BC11" s="385"/>
      <c r="BD11" s="385"/>
      <c r="BE11" s="385"/>
      <c r="BF11" s="385"/>
      <c r="BG11" s="385"/>
      <c r="BH11" s="385"/>
      <c r="BI11" s="385"/>
      <c r="BJ11" s="385"/>
      <c r="BK11" s="385"/>
      <c r="BL11" s="385"/>
    </row>
    <row r="12" spans="1:64" ht="14.25" customHeight="1">
      <c r="A12" s="5"/>
      <c r="B12" s="5"/>
      <c r="C12" s="489"/>
      <c r="D12" s="489"/>
      <c r="E12" s="489"/>
      <c r="F12" s="489"/>
      <c r="G12" s="489"/>
      <c r="H12" s="489"/>
      <c r="I12" s="489"/>
      <c r="J12" s="489"/>
      <c r="K12" s="489"/>
      <c r="L12" s="489"/>
      <c r="M12" s="489"/>
      <c r="N12" s="489"/>
      <c r="O12" s="489"/>
      <c r="P12" s="489"/>
      <c r="Q12" s="489"/>
      <c r="R12" s="494"/>
      <c r="S12" s="495"/>
      <c r="T12" s="495"/>
      <c r="U12" s="495"/>
      <c r="V12" s="495"/>
      <c r="W12" s="495"/>
      <c r="X12" s="495"/>
      <c r="Y12" s="495"/>
      <c r="Z12" s="495"/>
      <c r="AA12" s="495"/>
      <c r="AB12" s="495"/>
      <c r="AC12" s="495"/>
      <c r="AD12" s="495"/>
      <c r="AE12" s="495"/>
      <c r="AF12" s="495"/>
      <c r="AG12" s="495"/>
      <c r="AH12" s="495"/>
      <c r="AI12" s="495"/>
      <c r="AJ12" s="495"/>
      <c r="AK12" s="495"/>
      <c r="AL12" s="495"/>
      <c r="AM12" s="495"/>
      <c r="AN12" s="495"/>
      <c r="AO12" s="495"/>
      <c r="AP12" s="495"/>
      <c r="AQ12" s="495"/>
      <c r="AR12" s="495"/>
      <c r="AS12" s="495"/>
      <c r="AT12" s="495"/>
      <c r="AU12" s="495"/>
      <c r="AV12" s="495"/>
      <c r="AW12" s="495"/>
      <c r="AX12" s="495"/>
      <c r="AY12" s="5"/>
      <c r="AZ12" s="5"/>
      <c r="BA12" s="388" t="str">
        <f>IF(SUM(別紙①_カメラ申込書!W36,別紙①_カメラ申込書!AR36,別紙①_カメラ申込書!W37,別紙①_カメラ申込書!AR37)&gt;=100,"端末100台以上の発注です。","")</f>
        <v/>
      </c>
      <c r="BB12" s="385"/>
      <c r="BC12" s="385"/>
      <c r="BD12" s="385"/>
      <c r="BE12" s="385"/>
      <c r="BF12" s="385"/>
      <c r="BG12" s="385"/>
      <c r="BH12" s="385"/>
      <c r="BI12" s="385"/>
      <c r="BJ12" s="385"/>
      <c r="BK12" s="385"/>
      <c r="BL12" s="385"/>
    </row>
    <row r="13" spans="1:64" ht="14.25" customHeight="1">
      <c r="A13" s="5"/>
      <c r="B13" s="5"/>
      <c r="C13" s="489"/>
      <c r="D13" s="489"/>
      <c r="E13" s="489"/>
      <c r="F13" s="489"/>
      <c r="G13" s="489"/>
      <c r="H13" s="489"/>
      <c r="I13" s="489"/>
      <c r="J13" s="489"/>
      <c r="K13" s="489"/>
      <c r="L13" s="489"/>
      <c r="M13" s="489"/>
      <c r="N13" s="489"/>
      <c r="O13" s="489"/>
      <c r="P13" s="489"/>
      <c r="Q13" s="489"/>
      <c r="R13" s="494"/>
      <c r="S13" s="495"/>
      <c r="T13" s="495"/>
      <c r="U13" s="495"/>
      <c r="V13" s="495"/>
      <c r="W13" s="495"/>
      <c r="X13" s="495"/>
      <c r="Y13" s="495"/>
      <c r="Z13" s="495"/>
      <c r="AA13" s="495"/>
      <c r="AB13" s="495"/>
      <c r="AC13" s="495"/>
      <c r="AD13" s="495"/>
      <c r="AE13" s="495"/>
      <c r="AF13" s="495"/>
      <c r="AG13" s="495"/>
      <c r="AH13" s="495"/>
      <c r="AI13" s="495"/>
      <c r="AJ13" s="495"/>
      <c r="AK13" s="495"/>
      <c r="AL13" s="495"/>
      <c r="AM13" s="495"/>
      <c r="AN13" s="495"/>
      <c r="AO13" s="495"/>
      <c r="AP13" s="495"/>
      <c r="AQ13" s="495"/>
      <c r="AR13" s="495"/>
      <c r="AS13" s="495"/>
      <c r="AT13" s="495"/>
      <c r="AU13" s="495"/>
      <c r="AV13" s="495"/>
      <c r="AW13" s="495"/>
      <c r="AX13" s="495"/>
      <c r="AY13" s="5"/>
      <c r="AZ13" s="5"/>
      <c r="BA13" s="388" t="str">
        <f>IF(SUM(別紙①_カメラ申込書!W36,別紙①_カメラ申込書!AR36,別紙①_カメラ申込書!W37,別紙①_カメラ申込書!AR37)&gt;=100,"『大口事前共有フォーマット』を","")</f>
        <v/>
      </c>
      <c r="BB13" s="385"/>
      <c r="BC13" s="385"/>
      <c r="BD13" s="385"/>
      <c r="BE13" s="385"/>
      <c r="BF13" s="385"/>
      <c r="BG13" s="385"/>
      <c r="BH13" s="385"/>
      <c r="BI13" s="385"/>
      <c r="BJ13" s="385"/>
      <c r="BK13" s="385"/>
      <c r="BL13" s="385"/>
    </row>
    <row r="14" spans="1:64" ht="14.25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388" t="str">
        <f>IF(SUM(別紙①_カメラ申込書!W36,別紙①_カメラ申込書!AR36,別紙①_カメラ申込書!W37,別紙①_カメラ申込書!AR37)&gt;=100,"送付しましたか？","")</f>
        <v/>
      </c>
      <c r="BB14" s="385"/>
      <c r="BC14" s="385"/>
      <c r="BD14" s="385"/>
      <c r="BE14" s="385"/>
      <c r="BF14" s="385"/>
      <c r="BG14" s="385"/>
      <c r="BH14" s="385"/>
      <c r="BI14" s="385"/>
      <c r="BJ14" s="385"/>
      <c r="BK14" s="385"/>
      <c r="BL14" s="385"/>
    </row>
    <row r="15" spans="1:64" ht="14.25" customHeight="1">
      <c r="A15" s="5"/>
      <c r="B15" s="5"/>
      <c r="C15" s="489" t="s">
        <v>41</v>
      </c>
      <c r="D15" s="489"/>
      <c r="E15" s="489"/>
      <c r="F15" s="489"/>
      <c r="G15" s="489"/>
      <c r="H15" s="489"/>
      <c r="I15" s="489"/>
      <c r="J15" s="489"/>
      <c r="K15" s="489"/>
      <c r="L15" s="489"/>
      <c r="M15" s="489"/>
      <c r="N15" s="489"/>
      <c r="O15" s="489"/>
      <c r="P15" s="489"/>
      <c r="Q15" s="489"/>
      <c r="R15" s="489"/>
      <c r="S15" s="489" t="s">
        <v>42</v>
      </c>
      <c r="T15" s="489"/>
      <c r="U15" s="489"/>
      <c r="V15" s="489"/>
      <c r="W15" s="489"/>
      <c r="X15" s="489"/>
      <c r="Y15" s="489"/>
      <c r="Z15" s="489"/>
      <c r="AA15" s="489"/>
      <c r="AB15" s="489"/>
      <c r="AC15" s="489"/>
      <c r="AD15" s="489"/>
      <c r="AE15" s="489"/>
      <c r="AF15" s="489"/>
      <c r="AG15" s="489"/>
      <c r="AH15" s="489"/>
      <c r="AI15" s="489" t="s">
        <v>43</v>
      </c>
      <c r="AJ15" s="489"/>
      <c r="AK15" s="489"/>
      <c r="AL15" s="489"/>
      <c r="AM15" s="489"/>
      <c r="AN15" s="489"/>
      <c r="AO15" s="489"/>
      <c r="AP15" s="489"/>
      <c r="AQ15" s="489"/>
      <c r="AR15" s="489"/>
      <c r="AS15" s="489"/>
      <c r="AT15" s="489"/>
      <c r="AU15" s="489"/>
      <c r="AV15" s="489"/>
      <c r="AW15" s="489"/>
      <c r="AX15" s="489"/>
      <c r="AY15" s="5"/>
      <c r="AZ15" s="5"/>
      <c r="BA15" s="388" t="str">
        <f>IF(SUM(別紙①_カメラ申込書!W36,別紙①_カメラ申込書!AR36,別紙①_カメラ申込書!W37,別紙①_カメラ申込書!AR37)&gt;=100,"送付していない場合、必ず","")</f>
        <v/>
      </c>
      <c r="BB15" s="385"/>
      <c r="BC15" s="385"/>
      <c r="BD15" s="385"/>
      <c r="BE15" s="385"/>
      <c r="BF15" s="385"/>
      <c r="BG15" s="385"/>
      <c r="BH15" s="385"/>
      <c r="BI15" s="385"/>
      <c r="BJ15" s="385"/>
      <c r="BK15" s="385"/>
      <c r="BL15" s="385"/>
    </row>
    <row r="16" spans="1:64" ht="14.25" customHeight="1">
      <c r="A16" s="5"/>
      <c r="B16" s="5"/>
      <c r="C16" s="489"/>
      <c r="D16" s="489"/>
      <c r="E16" s="489"/>
      <c r="F16" s="489"/>
      <c r="G16" s="489"/>
      <c r="H16" s="489"/>
      <c r="I16" s="489"/>
      <c r="J16" s="489"/>
      <c r="K16" s="489"/>
      <c r="L16" s="489"/>
      <c r="M16" s="489"/>
      <c r="N16" s="489"/>
      <c r="O16" s="489"/>
      <c r="P16" s="489"/>
      <c r="Q16" s="489"/>
      <c r="R16" s="489"/>
      <c r="S16" s="489"/>
      <c r="T16" s="489"/>
      <c r="U16" s="489"/>
      <c r="V16" s="489"/>
      <c r="W16" s="489"/>
      <c r="X16" s="489"/>
      <c r="Y16" s="489"/>
      <c r="Z16" s="489"/>
      <c r="AA16" s="489"/>
      <c r="AB16" s="489"/>
      <c r="AC16" s="489"/>
      <c r="AD16" s="489"/>
      <c r="AE16" s="489"/>
      <c r="AF16" s="489"/>
      <c r="AG16" s="489"/>
      <c r="AH16" s="489"/>
      <c r="AI16" s="489"/>
      <c r="AJ16" s="489"/>
      <c r="AK16" s="489"/>
      <c r="AL16" s="489"/>
      <c r="AM16" s="489"/>
      <c r="AN16" s="489"/>
      <c r="AO16" s="489"/>
      <c r="AP16" s="489"/>
      <c r="AQ16" s="489"/>
      <c r="AR16" s="489"/>
      <c r="AS16" s="489"/>
      <c r="AT16" s="489"/>
      <c r="AU16" s="489"/>
      <c r="AV16" s="489"/>
      <c r="AW16" s="489"/>
      <c r="AX16" s="489"/>
      <c r="AY16" s="5"/>
      <c r="AZ16" s="5"/>
      <c r="BA16" s="388" t="str">
        <f>IF(SUM(別紙①_カメラ申込書!W36,別紙①_カメラ申込書!AR36,別紙①_カメラ申込書!W37,別紙①_カメラ申込書!AR37)&gt;=100,"申込前に送付を行ってください。","")</f>
        <v/>
      </c>
      <c r="BB16" s="385"/>
      <c r="BC16" s="385"/>
      <c r="BD16" s="385"/>
      <c r="BE16" s="385"/>
      <c r="BF16" s="385"/>
      <c r="BG16" s="385"/>
      <c r="BH16" s="385"/>
      <c r="BI16" s="385"/>
      <c r="BJ16" s="385"/>
      <c r="BK16" s="385"/>
      <c r="BL16" s="385"/>
    </row>
    <row r="17" spans="1:64" ht="14.25" customHeight="1">
      <c r="A17" s="5"/>
      <c r="B17" s="5"/>
      <c r="C17" s="489"/>
      <c r="D17" s="489"/>
      <c r="E17" s="489"/>
      <c r="F17" s="489"/>
      <c r="G17" s="489"/>
      <c r="H17" s="489"/>
      <c r="I17" s="489"/>
      <c r="J17" s="489"/>
      <c r="K17" s="489"/>
      <c r="L17" s="489"/>
      <c r="M17" s="489"/>
      <c r="N17" s="489"/>
      <c r="O17" s="489"/>
      <c r="P17" s="489"/>
      <c r="Q17" s="489"/>
      <c r="R17" s="489"/>
      <c r="S17" s="489"/>
      <c r="T17" s="489"/>
      <c r="U17" s="489"/>
      <c r="V17" s="489"/>
      <c r="W17" s="489"/>
      <c r="X17" s="489"/>
      <c r="Y17" s="489"/>
      <c r="Z17" s="489"/>
      <c r="AA17" s="489"/>
      <c r="AB17" s="489"/>
      <c r="AC17" s="489"/>
      <c r="AD17" s="489"/>
      <c r="AE17" s="489"/>
      <c r="AF17" s="489"/>
      <c r="AG17" s="489"/>
      <c r="AH17" s="489"/>
      <c r="AI17" s="490"/>
      <c r="AJ17" s="490"/>
      <c r="AK17" s="490"/>
      <c r="AL17" s="490"/>
      <c r="AM17" s="490"/>
      <c r="AN17" s="490"/>
      <c r="AO17" s="490"/>
      <c r="AP17" s="490"/>
      <c r="AQ17" s="490"/>
      <c r="AR17" s="490"/>
      <c r="AS17" s="490"/>
      <c r="AT17" s="490"/>
      <c r="AU17" s="490"/>
      <c r="AV17" s="490"/>
      <c r="AW17" s="490"/>
      <c r="AX17" s="490"/>
      <c r="AY17" s="5"/>
      <c r="AZ17" s="5"/>
      <c r="BA17" s="385"/>
      <c r="BB17" s="385"/>
      <c r="BC17" s="385"/>
      <c r="BD17" s="385"/>
      <c r="BE17" s="385"/>
      <c r="BF17" s="385"/>
      <c r="BG17" s="385"/>
      <c r="BH17" s="385"/>
      <c r="BI17" s="385"/>
      <c r="BJ17" s="385"/>
      <c r="BK17" s="385"/>
      <c r="BL17" s="385"/>
    </row>
    <row r="18" spans="1:64" ht="14.25" customHeight="1">
      <c r="A18" s="5"/>
      <c r="B18" s="5"/>
      <c r="C18" s="491" t="s">
        <v>771</v>
      </c>
      <c r="D18" s="491"/>
      <c r="E18" s="491"/>
      <c r="F18" s="491"/>
      <c r="G18" s="491"/>
      <c r="H18" s="491"/>
      <c r="I18" s="491"/>
      <c r="J18" s="491"/>
      <c r="K18" s="491"/>
      <c r="L18" s="491"/>
      <c r="M18" s="491"/>
      <c r="N18" s="491"/>
      <c r="O18" s="491"/>
      <c r="P18" s="491"/>
      <c r="Q18" s="491"/>
      <c r="R18" s="491"/>
      <c r="S18" s="474" t="s">
        <v>45</v>
      </c>
      <c r="T18" s="474"/>
      <c r="U18" s="474"/>
      <c r="V18" s="474"/>
      <c r="W18" s="474"/>
      <c r="X18" s="474"/>
      <c r="Y18" s="474"/>
      <c r="Z18" s="474"/>
      <c r="AA18" s="474"/>
      <c r="AB18" s="474"/>
      <c r="AC18" s="474"/>
      <c r="AD18" s="474"/>
      <c r="AE18" s="474"/>
      <c r="AF18" s="474"/>
      <c r="AG18" s="474"/>
      <c r="AH18" s="475"/>
      <c r="AI18" s="476" t="s">
        <v>1042</v>
      </c>
      <c r="AJ18" s="477"/>
      <c r="AK18" s="477"/>
      <c r="AL18" s="477"/>
      <c r="AM18" s="477"/>
      <c r="AN18" s="477"/>
      <c r="AO18" s="477"/>
      <c r="AP18" s="477"/>
      <c r="AQ18" s="477"/>
      <c r="AR18" s="477"/>
      <c r="AS18" s="477"/>
      <c r="AT18" s="477"/>
      <c r="AU18" s="477"/>
      <c r="AV18" s="477"/>
      <c r="AW18" s="477"/>
      <c r="AX18" s="478"/>
      <c r="AY18" s="5"/>
      <c r="AZ18" s="5"/>
      <c r="BA18" s="388" t="str">
        <f>IF(SUM(別紙①_カメラ申込書!W36,別紙①_カメラ申込書!AR36,別紙①_カメラ申込書!W37,別紙①_カメラ申込書!AR37)&gt;=100,"送付が済んでいる場合、以下","")</f>
        <v/>
      </c>
      <c r="BB18" s="385"/>
      <c r="BC18" s="385"/>
      <c r="BD18" s="385"/>
      <c r="BE18" s="385"/>
      <c r="BF18" s="385"/>
      <c r="BG18" s="385"/>
      <c r="BH18" s="385"/>
      <c r="BI18" s="385"/>
      <c r="BJ18" s="385"/>
      <c r="BK18" s="385"/>
      <c r="BL18" s="387"/>
    </row>
    <row r="19" spans="1:64" ht="14.25" customHeight="1">
      <c r="A19" s="5"/>
      <c r="B19" s="5"/>
      <c r="C19" s="491"/>
      <c r="D19" s="491"/>
      <c r="E19" s="491"/>
      <c r="F19" s="491"/>
      <c r="G19" s="491"/>
      <c r="H19" s="491"/>
      <c r="I19" s="491"/>
      <c r="J19" s="491"/>
      <c r="K19" s="491"/>
      <c r="L19" s="491"/>
      <c r="M19" s="491"/>
      <c r="N19" s="491"/>
      <c r="O19" s="491"/>
      <c r="P19" s="491"/>
      <c r="Q19" s="491"/>
      <c r="R19" s="491"/>
      <c r="S19" s="474"/>
      <c r="T19" s="474"/>
      <c r="U19" s="474"/>
      <c r="V19" s="474"/>
      <c r="W19" s="474"/>
      <c r="X19" s="474"/>
      <c r="Y19" s="474"/>
      <c r="Z19" s="474"/>
      <c r="AA19" s="474"/>
      <c r="AB19" s="474"/>
      <c r="AC19" s="474"/>
      <c r="AD19" s="474"/>
      <c r="AE19" s="474"/>
      <c r="AF19" s="474"/>
      <c r="AG19" s="474"/>
      <c r="AH19" s="475"/>
      <c r="AI19" s="479"/>
      <c r="AJ19" s="480"/>
      <c r="AK19" s="480"/>
      <c r="AL19" s="480"/>
      <c r="AM19" s="480"/>
      <c r="AN19" s="480"/>
      <c r="AO19" s="480"/>
      <c r="AP19" s="480"/>
      <c r="AQ19" s="480"/>
      <c r="AR19" s="480"/>
      <c r="AS19" s="480"/>
      <c r="AT19" s="480"/>
      <c r="AU19" s="480"/>
      <c r="AV19" s="480"/>
      <c r="AW19" s="480"/>
      <c r="AX19" s="481"/>
      <c r="AY19" s="5"/>
      <c r="AZ19" s="5"/>
      <c r="BA19" s="388" t="str">
        <f>IF(SUM(別紙①_カメラ申込書!W36,別紙①_カメラ申込書!AR36,別紙①_カメラ申込書!W37,別紙①_カメラ申込書!AR37)&gt;=100,"文言を記事欄に記載してください。","")</f>
        <v/>
      </c>
      <c r="BB19" s="385"/>
      <c r="BC19" s="385"/>
      <c r="BD19" s="385"/>
      <c r="BE19" s="385"/>
      <c r="BF19" s="385"/>
      <c r="BG19" s="385"/>
      <c r="BH19" s="385"/>
      <c r="BI19" s="385"/>
      <c r="BJ19" s="385"/>
      <c r="BK19" s="385"/>
      <c r="BL19" s="385"/>
    </row>
    <row r="20" spans="1:64" ht="14.25" customHeight="1">
      <c r="A20" s="5"/>
      <c r="B20" s="5"/>
      <c r="C20" s="491"/>
      <c r="D20" s="491"/>
      <c r="E20" s="491"/>
      <c r="F20" s="491"/>
      <c r="G20" s="491"/>
      <c r="H20" s="491"/>
      <c r="I20" s="491"/>
      <c r="J20" s="491"/>
      <c r="K20" s="491"/>
      <c r="L20" s="491"/>
      <c r="M20" s="491"/>
      <c r="N20" s="491"/>
      <c r="O20" s="491"/>
      <c r="P20" s="491"/>
      <c r="Q20" s="491"/>
      <c r="R20" s="491"/>
      <c r="S20" s="474"/>
      <c r="T20" s="474"/>
      <c r="U20" s="474"/>
      <c r="V20" s="474"/>
      <c r="W20" s="474"/>
      <c r="X20" s="474"/>
      <c r="Y20" s="474"/>
      <c r="Z20" s="474"/>
      <c r="AA20" s="474"/>
      <c r="AB20" s="474"/>
      <c r="AC20" s="474"/>
      <c r="AD20" s="474"/>
      <c r="AE20" s="474"/>
      <c r="AF20" s="474"/>
      <c r="AG20" s="474"/>
      <c r="AH20" s="475"/>
      <c r="AI20" s="482" t="s">
        <v>1041</v>
      </c>
      <c r="AJ20" s="483"/>
      <c r="AK20" s="483"/>
      <c r="AL20" s="483"/>
      <c r="AM20" s="483"/>
      <c r="AN20" s="483"/>
      <c r="AO20" s="483"/>
      <c r="AP20" s="483"/>
      <c r="AQ20" s="483"/>
      <c r="AR20" s="483"/>
      <c r="AS20" s="483"/>
      <c r="AT20" s="483"/>
      <c r="AU20" s="483"/>
      <c r="AV20" s="483"/>
      <c r="AW20" s="483"/>
      <c r="AX20" s="484"/>
      <c r="AY20" s="5"/>
      <c r="AZ20" s="5"/>
      <c r="BA20" s="389" t="str">
        <f>IF(SUM(別紙①_カメラ申込書!W36,別紙①_カメラ申込書!AR36,別紙①_カメラ申込書!W37,別紙①_カメラ申込書!AR37)&gt;=100,"・m/d　大口事前共有フォーマット提出済","")</f>
        <v/>
      </c>
      <c r="BB20" s="385"/>
      <c r="BC20" s="385"/>
      <c r="BD20" s="385"/>
      <c r="BE20" s="385"/>
      <c r="BF20" s="385"/>
      <c r="BG20" s="385"/>
      <c r="BH20" s="385"/>
      <c r="BI20" s="385"/>
      <c r="BJ20" s="385"/>
      <c r="BK20" s="385"/>
      <c r="BL20" s="385"/>
    </row>
    <row r="21" spans="1:64">
      <c r="A21" s="5"/>
      <c r="B21" s="5"/>
      <c r="C21" s="491"/>
      <c r="D21" s="491"/>
      <c r="E21" s="491"/>
      <c r="F21" s="491"/>
      <c r="G21" s="491"/>
      <c r="H21" s="491"/>
      <c r="I21" s="491"/>
      <c r="J21" s="491"/>
      <c r="K21" s="491"/>
      <c r="L21" s="491"/>
      <c r="M21" s="491"/>
      <c r="N21" s="491"/>
      <c r="O21" s="491"/>
      <c r="P21" s="491"/>
      <c r="Q21" s="491"/>
      <c r="R21" s="491"/>
      <c r="S21" s="474" t="s">
        <v>46</v>
      </c>
      <c r="T21" s="474"/>
      <c r="U21" s="474"/>
      <c r="V21" s="474"/>
      <c r="W21" s="474"/>
      <c r="X21" s="474"/>
      <c r="Y21" s="474"/>
      <c r="Z21" s="474"/>
      <c r="AA21" s="474"/>
      <c r="AB21" s="474"/>
      <c r="AC21" s="474"/>
      <c r="AD21" s="474"/>
      <c r="AE21" s="474"/>
      <c r="AF21" s="474"/>
      <c r="AG21" s="474"/>
      <c r="AH21" s="475"/>
      <c r="AI21" s="482"/>
      <c r="AJ21" s="483"/>
      <c r="AK21" s="483"/>
      <c r="AL21" s="483"/>
      <c r="AM21" s="483"/>
      <c r="AN21" s="483"/>
      <c r="AO21" s="483"/>
      <c r="AP21" s="483"/>
      <c r="AQ21" s="483"/>
      <c r="AR21" s="483"/>
      <c r="AS21" s="483"/>
      <c r="AT21" s="483"/>
      <c r="AU21" s="483"/>
      <c r="AV21" s="483"/>
      <c r="AW21" s="483"/>
      <c r="AX21" s="484"/>
      <c r="AY21" s="5"/>
      <c r="AZ21" s="5"/>
      <c r="BA21" s="385"/>
      <c r="BB21" s="385"/>
      <c r="BC21" s="385"/>
      <c r="BD21" s="385"/>
      <c r="BE21" s="385"/>
      <c r="BF21" s="385"/>
      <c r="BG21" s="385"/>
      <c r="BH21" s="385"/>
      <c r="BI21" s="385"/>
      <c r="BJ21" s="385"/>
      <c r="BK21" s="385"/>
      <c r="BL21" s="385"/>
    </row>
    <row r="22" spans="1:64">
      <c r="A22" s="5"/>
      <c r="B22" s="5"/>
      <c r="C22" s="491"/>
      <c r="D22" s="491"/>
      <c r="E22" s="491"/>
      <c r="F22" s="491"/>
      <c r="G22" s="491"/>
      <c r="H22" s="491"/>
      <c r="I22" s="491"/>
      <c r="J22" s="491"/>
      <c r="K22" s="491"/>
      <c r="L22" s="491"/>
      <c r="M22" s="491"/>
      <c r="N22" s="491"/>
      <c r="O22" s="491"/>
      <c r="P22" s="491"/>
      <c r="Q22" s="491"/>
      <c r="R22" s="491"/>
      <c r="S22" s="474"/>
      <c r="T22" s="474"/>
      <c r="U22" s="474"/>
      <c r="V22" s="474"/>
      <c r="W22" s="474"/>
      <c r="X22" s="474"/>
      <c r="Y22" s="474"/>
      <c r="Z22" s="474"/>
      <c r="AA22" s="474"/>
      <c r="AB22" s="474"/>
      <c r="AC22" s="474"/>
      <c r="AD22" s="474"/>
      <c r="AE22" s="474"/>
      <c r="AF22" s="474"/>
      <c r="AG22" s="474"/>
      <c r="AH22" s="475"/>
      <c r="AI22" s="482"/>
      <c r="AJ22" s="483"/>
      <c r="AK22" s="483"/>
      <c r="AL22" s="483"/>
      <c r="AM22" s="483"/>
      <c r="AN22" s="483"/>
      <c r="AO22" s="483"/>
      <c r="AP22" s="483"/>
      <c r="AQ22" s="483"/>
      <c r="AR22" s="483"/>
      <c r="AS22" s="483"/>
      <c r="AT22" s="483"/>
      <c r="AU22" s="483"/>
      <c r="AV22" s="483"/>
      <c r="AW22" s="483"/>
      <c r="AX22" s="484"/>
      <c r="AY22" s="5"/>
      <c r="AZ22" s="5"/>
      <c r="BA22" s="385"/>
      <c r="BB22" s="385"/>
      <c r="BC22" s="385"/>
      <c r="BD22" s="385"/>
      <c r="BE22" s="385"/>
      <c r="BF22" s="385"/>
      <c r="BG22" s="385"/>
      <c r="BH22" s="385"/>
      <c r="BI22" s="385"/>
      <c r="BJ22" s="385"/>
      <c r="BK22" s="385"/>
      <c r="BL22" s="385"/>
    </row>
    <row r="23" spans="1:64">
      <c r="A23" s="5"/>
      <c r="B23" s="5"/>
      <c r="C23" s="491"/>
      <c r="D23" s="491"/>
      <c r="E23" s="491"/>
      <c r="F23" s="491"/>
      <c r="G23" s="491"/>
      <c r="H23" s="491"/>
      <c r="I23" s="491"/>
      <c r="J23" s="491"/>
      <c r="K23" s="491"/>
      <c r="L23" s="491"/>
      <c r="M23" s="491"/>
      <c r="N23" s="491"/>
      <c r="O23" s="491"/>
      <c r="P23" s="491"/>
      <c r="Q23" s="491"/>
      <c r="R23" s="491"/>
      <c r="S23" s="474"/>
      <c r="T23" s="474"/>
      <c r="U23" s="474"/>
      <c r="V23" s="474"/>
      <c r="W23" s="474"/>
      <c r="X23" s="474"/>
      <c r="Y23" s="474"/>
      <c r="Z23" s="474"/>
      <c r="AA23" s="474"/>
      <c r="AB23" s="474"/>
      <c r="AC23" s="474"/>
      <c r="AD23" s="474"/>
      <c r="AE23" s="474"/>
      <c r="AF23" s="474"/>
      <c r="AG23" s="474"/>
      <c r="AH23" s="475"/>
      <c r="AI23" s="485"/>
      <c r="AJ23" s="486"/>
      <c r="AK23" s="486"/>
      <c r="AL23" s="486"/>
      <c r="AM23" s="486"/>
      <c r="AN23" s="486"/>
      <c r="AO23" s="486"/>
      <c r="AP23" s="486"/>
      <c r="AQ23" s="486"/>
      <c r="AR23" s="486"/>
      <c r="AS23" s="486"/>
      <c r="AT23" s="486"/>
      <c r="AU23" s="486"/>
      <c r="AV23" s="486"/>
      <c r="AW23" s="486"/>
      <c r="AX23" s="487"/>
      <c r="AY23" s="5"/>
      <c r="AZ23" s="5"/>
      <c r="BA23" s="385"/>
      <c r="BB23" s="385"/>
      <c r="BC23" s="385"/>
      <c r="BD23" s="385"/>
      <c r="BE23" s="385"/>
      <c r="BF23" s="385"/>
      <c r="BG23" s="385"/>
      <c r="BH23" s="385"/>
      <c r="BI23" s="385"/>
      <c r="BJ23" s="385"/>
      <c r="BK23" s="385"/>
      <c r="BL23" s="385"/>
    </row>
    <row r="24" spans="1:64" hidden="1">
      <c r="A24" s="5"/>
      <c r="B24" s="5"/>
      <c r="C24" s="474" t="s">
        <v>47</v>
      </c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5"/>
      <c r="S24" s="474" t="s">
        <v>48</v>
      </c>
      <c r="T24" s="474"/>
      <c r="U24" s="474"/>
      <c r="V24" s="474"/>
      <c r="W24" s="474"/>
      <c r="X24" s="474"/>
      <c r="Y24" s="474"/>
      <c r="Z24" s="474"/>
      <c r="AA24" s="474"/>
      <c r="AB24" s="474"/>
      <c r="AC24" s="474"/>
      <c r="AD24" s="474"/>
      <c r="AE24" s="474"/>
      <c r="AF24" s="474"/>
      <c r="AG24" s="474"/>
      <c r="AH24" s="475"/>
      <c r="AI24" s="401"/>
      <c r="AJ24" s="402"/>
      <c r="AK24" s="402"/>
      <c r="AL24" s="402"/>
      <c r="AM24" s="402"/>
      <c r="AN24" s="402"/>
      <c r="AO24" s="402"/>
      <c r="AP24" s="402"/>
      <c r="AQ24" s="402"/>
      <c r="AR24" s="402"/>
      <c r="AS24" s="402"/>
      <c r="AT24" s="402"/>
      <c r="AU24" s="402"/>
      <c r="AV24" s="402"/>
      <c r="AW24" s="402"/>
      <c r="AX24" s="403"/>
      <c r="AY24" s="5"/>
      <c r="AZ24" s="5"/>
      <c r="BA24" s="385"/>
      <c r="BB24" s="385"/>
      <c r="BC24" s="385"/>
      <c r="BD24" s="385"/>
      <c r="BE24" s="385"/>
      <c r="BF24" s="385"/>
      <c r="BG24" s="385"/>
      <c r="BH24" s="385"/>
      <c r="BI24" s="385"/>
      <c r="BJ24" s="385"/>
      <c r="BK24" s="385"/>
      <c r="BL24" s="385"/>
    </row>
    <row r="25" spans="1:64" hidden="1">
      <c r="A25" s="5"/>
      <c r="B25" s="5"/>
      <c r="C25" s="474"/>
      <c r="D25" s="474"/>
      <c r="E25" s="474"/>
      <c r="F25" s="474"/>
      <c r="G25" s="474"/>
      <c r="H25" s="474"/>
      <c r="I25" s="474"/>
      <c r="J25" s="474"/>
      <c r="K25" s="474"/>
      <c r="L25" s="474"/>
      <c r="M25" s="474"/>
      <c r="N25" s="474"/>
      <c r="O25" s="474"/>
      <c r="P25" s="474"/>
      <c r="Q25" s="474"/>
      <c r="R25" s="475"/>
      <c r="S25" s="474"/>
      <c r="T25" s="474"/>
      <c r="U25" s="474"/>
      <c r="V25" s="474"/>
      <c r="W25" s="474"/>
      <c r="X25" s="474"/>
      <c r="Y25" s="474"/>
      <c r="Z25" s="474"/>
      <c r="AA25" s="474"/>
      <c r="AB25" s="474"/>
      <c r="AC25" s="474"/>
      <c r="AD25" s="474"/>
      <c r="AE25" s="474"/>
      <c r="AF25" s="474"/>
      <c r="AG25" s="474"/>
      <c r="AH25" s="475"/>
      <c r="AI25" s="401"/>
      <c r="AJ25" s="402"/>
      <c r="AK25" s="402"/>
      <c r="AL25" s="402"/>
      <c r="AM25" s="402"/>
      <c r="AN25" s="402"/>
      <c r="AO25" s="402"/>
      <c r="AP25" s="402"/>
      <c r="AQ25" s="402"/>
      <c r="AR25" s="402"/>
      <c r="AS25" s="402"/>
      <c r="AT25" s="402"/>
      <c r="AU25" s="402"/>
      <c r="AV25" s="402"/>
      <c r="AW25" s="402"/>
      <c r="AX25" s="403"/>
      <c r="AY25" s="5"/>
      <c r="AZ25" s="5"/>
      <c r="BA25" s="385"/>
      <c r="BB25" s="385"/>
      <c r="BC25" s="385"/>
      <c r="BD25" s="385"/>
      <c r="BE25" s="385"/>
      <c r="BF25" s="385"/>
      <c r="BG25" s="385"/>
      <c r="BH25" s="385"/>
      <c r="BI25" s="385"/>
      <c r="BJ25" s="385"/>
      <c r="BK25" s="385"/>
      <c r="BL25" s="385"/>
    </row>
    <row r="26" spans="1:64" hidden="1">
      <c r="A26" s="5"/>
      <c r="B26" s="5"/>
      <c r="C26" s="474"/>
      <c r="D26" s="474"/>
      <c r="E26" s="474"/>
      <c r="F26" s="474"/>
      <c r="G26" s="474"/>
      <c r="H26" s="474"/>
      <c r="I26" s="474"/>
      <c r="J26" s="474"/>
      <c r="K26" s="474"/>
      <c r="L26" s="474"/>
      <c r="M26" s="474"/>
      <c r="N26" s="474"/>
      <c r="O26" s="474"/>
      <c r="P26" s="474"/>
      <c r="Q26" s="474"/>
      <c r="R26" s="475"/>
      <c r="S26" s="474"/>
      <c r="T26" s="474"/>
      <c r="U26" s="474"/>
      <c r="V26" s="474"/>
      <c r="W26" s="474"/>
      <c r="X26" s="474"/>
      <c r="Y26" s="474"/>
      <c r="Z26" s="474"/>
      <c r="AA26" s="474"/>
      <c r="AB26" s="474"/>
      <c r="AC26" s="474"/>
      <c r="AD26" s="474"/>
      <c r="AE26" s="474"/>
      <c r="AF26" s="474"/>
      <c r="AG26" s="474"/>
      <c r="AH26" s="475"/>
      <c r="AI26" s="404"/>
      <c r="AJ26" s="405"/>
      <c r="AK26" s="405"/>
      <c r="AL26" s="405"/>
      <c r="AM26" s="405"/>
      <c r="AN26" s="405"/>
      <c r="AO26" s="405"/>
      <c r="AP26" s="405"/>
      <c r="AQ26" s="405"/>
      <c r="AR26" s="405"/>
      <c r="AS26" s="405"/>
      <c r="AT26" s="405"/>
      <c r="AU26" s="405"/>
      <c r="AV26" s="405"/>
      <c r="AW26" s="405"/>
      <c r="AX26" s="406"/>
      <c r="AY26" s="5"/>
      <c r="AZ26" s="5"/>
      <c r="BA26" s="385"/>
      <c r="BB26" s="385"/>
      <c r="BC26" s="385"/>
      <c r="BD26" s="385"/>
      <c r="BE26" s="385"/>
      <c r="BF26" s="385"/>
      <c r="BG26" s="385"/>
      <c r="BH26" s="385"/>
      <c r="BI26" s="385"/>
      <c r="BJ26" s="385"/>
      <c r="BK26" s="385"/>
      <c r="BL26" s="385"/>
    </row>
    <row r="27" spans="1:64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385"/>
      <c r="BB27" s="385"/>
      <c r="BC27" s="385"/>
      <c r="BD27" s="385"/>
      <c r="BE27" s="385"/>
      <c r="BF27" s="385"/>
      <c r="BG27" s="385"/>
      <c r="BH27" s="385"/>
      <c r="BI27" s="385"/>
      <c r="BJ27" s="385"/>
      <c r="BK27" s="385"/>
      <c r="BL27" s="385"/>
    </row>
    <row r="28" spans="1:64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385"/>
      <c r="BB28" s="385"/>
      <c r="BC28" s="385"/>
      <c r="BD28" s="385"/>
      <c r="BE28" s="385"/>
      <c r="BF28" s="385"/>
      <c r="BG28" s="385"/>
      <c r="BH28" s="385"/>
      <c r="BI28" s="385"/>
      <c r="BJ28" s="385"/>
      <c r="BK28" s="385"/>
      <c r="BL28" s="385"/>
    </row>
    <row r="29" spans="1:64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385"/>
      <c r="BB29" s="385"/>
      <c r="BC29" s="385"/>
      <c r="BD29" s="385"/>
      <c r="BE29" s="385"/>
      <c r="BF29" s="385"/>
      <c r="BG29" s="385"/>
      <c r="BH29" s="385"/>
      <c r="BI29" s="385"/>
      <c r="BJ29" s="385"/>
      <c r="BK29" s="385"/>
      <c r="BL29" s="385"/>
    </row>
    <row r="30" spans="1:64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</row>
    <row r="31" spans="1:64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</row>
    <row r="32" spans="1:64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</row>
    <row r="33" spans="1:5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</row>
    <row r="34" spans="1:5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</row>
    <row r="35" spans="1:5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</row>
    <row r="36" spans="1:5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</row>
    <row r="37" spans="1:5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</row>
    <row r="38" spans="1:5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</row>
    <row r="39" spans="1:5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</row>
    <row r="40" spans="1:5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</row>
    <row r="41" spans="1:5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</row>
    <row r="42" spans="1:5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</row>
    <row r="43" spans="1:5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</row>
    <row r="44" spans="1:5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</row>
    <row r="45" spans="1:5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</row>
    <row r="46" spans="1:5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</row>
    <row r="47" spans="1:5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</row>
    <row r="48" spans="1:52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</row>
    <row r="49" spans="1:52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</row>
    <row r="50" spans="1:52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</row>
    <row r="51" spans="1:52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</row>
    <row r="52" spans="1:5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</row>
    <row r="53" spans="1:5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</row>
    <row r="54" spans="1:52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</row>
    <row r="55" spans="1:52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</row>
    <row r="56" spans="1:52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</row>
    <row r="57" spans="1:52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</row>
    <row r="58" spans="1:52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</row>
  </sheetData>
  <sheetProtection algorithmName="SHA-512" hashValue="M34emE1IsOothwXT6AMZWh9oERVrXWEBBeeffSflIwXosADYK4dE6a5I5IkNAbpUoXag7zYWvUbDAD2zlHlPhA==" saltValue="XQGHZ2+GKV7v47sgMojFCg==" spinCount="100000" sheet="1" objects="1" scenarios="1" selectLockedCells="1"/>
  <mergeCells count="16">
    <mergeCell ref="C1:AY4"/>
    <mergeCell ref="C11:R13"/>
    <mergeCell ref="S11:AX13"/>
    <mergeCell ref="S8:AX10"/>
    <mergeCell ref="C7:AH7"/>
    <mergeCell ref="C24:R26"/>
    <mergeCell ref="S24:AH26"/>
    <mergeCell ref="AI18:AX19"/>
    <mergeCell ref="AI20:AX23"/>
    <mergeCell ref="BB5:BI7"/>
    <mergeCell ref="C15:R17"/>
    <mergeCell ref="S15:AH17"/>
    <mergeCell ref="AI15:AX17"/>
    <mergeCell ref="C18:R23"/>
    <mergeCell ref="S18:AH20"/>
    <mergeCell ref="S21:AH23"/>
  </mergeCells>
  <phoneticPr fontId="18"/>
  <conditionalFormatting sqref="S21:AH23">
    <cfRule type="expression" dxfId="184" priority="16">
      <formula>AND(#REF!&lt;&gt;"■選択して下さい■",#REF!&lt;&gt;"新規・追加・減少・廃止・タイプ変更申込")</formula>
    </cfRule>
    <cfRule type="expression" dxfId="183" priority="17">
      <formula>AND(#REF!="■選択して下さい■",#REF!="新規・追加・減少・廃止・タイプ変更申込")</formula>
    </cfRule>
  </conditionalFormatting>
  <conditionalFormatting sqref="S18:AH20">
    <cfRule type="expression" dxfId="182" priority="13">
      <formula>AND(#REF!&lt;&gt;"■選択して下さい■",#REF!&lt;&gt;"新規・追加・減少・廃止・タイプ変更申込")</formula>
    </cfRule>
    <cfRule type="expression" dxfId="181" priority="14">
      <formula>AND(#REF!="■選択して下さい■",#REF!="新規・追加・減少・廃止・タイプ変更申込")</formula>
    </cfRule>
  </conditionalFormatting>
  <conditionalFormatting sqref="S24:AH26">
    <cfRule type="expression" dxfId="180" priority="10">
      <formula>AND(#REF!&lt;&gt;"■選択して下さい■",#REF!&lt;&gt;"新規・追加・減少・廃止・タイプ変更申込")</formula>
    </cfRule>
    <cfRule type="expression" dxfId="179" priority="11">
      <formula>AND(#REF!="■選択して下さい■",#REF!="新規・追加・減少・廃止・タイプ変更申込")</formula>
    </cfRule>
  </conditionalFormatting>
  <conditionalFormatting sqref="C24:R26">
    <cfRule type="expression" dxfId="178" priority="8">
      <formula>AND(#REF!&lt;&gt;"■選択して下さい■",#REF!&lt;&gt;"新規・追加・減少・廃止・タイプ変更申込")</formula>
    </cfRule>
    <cfRule type="expression" dxfId="177" priority="9">
      <formula>AND(#REF!="■選択して下さい■",#REF!="新規・追加・減少・廃止・タイプ変更申込")</formula>
    </cfRule>
  </conditionalFormatting>
  <conditionalFormatting sqref="S11:AX13">
    <cfRule type="cellIs" dxfId="176" priority="7" operator="equal">
      <formula>""</formula>
    </cfRule>
  </conditionalFormatting>
  <conditionalFormatting sqref="C18:R20">
    <cfRule type="expression" dxfId="175" priority="5">
      <formula>AND(#REF!&lt;&gt;"■選択して下さい■",#REF!&lt;&gt;"新規・追加・減少・廃止・タイプ変更申込")</formula>
    </cfRule>
    <cfRule type="expression" dxfId="174" priority="6">
      <formula>AND(#REF!="■選択して下さい■",#REF!="新規・追加・減少・廃止・タイプ変更申込")</formula>
    </cfRule>
  </conditionalFormatting>
  <conditionalFormatting sqref="C21:R23">
    <cfRule type="expression" dxfId="173" priority="3">
      <formula>AND(#REF!&lt;&gt;"■選択して下さい■",#REF!&lt;&gt;"新規・追加・減少・廃止・タイプ変更申込")</formula>
    </cfRule>
    <cfRule type="expression" dxfId="172" priority="4">
      <formula>AND(#REF!="■選択して下さい■",#REF!="新規・追加・減少・廃止・タイプ変更申込")</formula>
    </cfRule>
  </conditionalFormatting>
  <conditionalFormatting sqref="S8:AX10">
    <cfRule type="cellIs" dxfId="171" priority="1" operator="equal">
      <formula>""</formula>
    </cfRule>
  </conditionalFormatting>
  <hyperlinks>
    <hyperlink ref="AI18" r:id="rId1" xr:uid="{00000000-0004-0000-0300-000000000000}"/>
  </hyperlinks>
  <pageMargins left="0.7" right="0.7" top="0.75" bottom="0.75" header="0.3" footer="0.3"/>
  <pageSetup paperSize="9" scale="4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heckB_Click">
                <anchor moveWithCells="1" sizeWithCells="1">
                  <from>
                    <xdr:col>53</xdr:col>
                    <xdr:colOff>7620</xdr:colOff>
                    <xdr:row>0</xdr:row>
                    <xdr:rowOff>99060</xdr:rowOff>
                  </from>
                  <to>
                    <xdr:col>60</xdr:col>
                    <xdr:colOff>190500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3" operator="containsText" id="{2D5E7EC0-8A25-4061-9071-0BFD47091854}">
            <xm:f>NOT(ISERROR(SEARCH('\\10.32.33.25\99_個別フォルダ\2_スマートICT部門\他部署共有\クラウド型カメラとれ～る\■本社定例\32_ユーザー申込書\[【BD部作成版】【様式camera1】サービス申込書_1.0版（OEM）端末セットプラン _20191113 .xlsx]リスト'!#REF!,S11)))</xm:f>
            <xm:f>'\\10.32.33.25\99_個別フォルダ\2_スマートICT部門\他部署共有\クラウド型カメラとれ～る\■本社定例\32_ユーザー申込書\[【BD部作成版】【様式camera1】サービス申込書_1.0版（OEM）端末セットプラン _20191113 .xlsx]リスト'!#REF!</xm:f>
            <x14:dxf>
              <font>
                <color rgb="FFFF0000"/>
              </font>
              <fill>
                <patternFill>
                  <bgColor theme="5" tint="0.59996337778862885"/>
                </patternFill>
              </fill>
            </x14:dxf>
          </x14:cfRule>
          <xm:sqref>S11:AX13</xm:sqref>
        </x14:conditionalFormatting>
        <x14:conditionalFormatting xmlns:xm="http://schemas.microsoft.com/office/excel/2006/main">
          <x14:cfRule type="containsText" priority="2" operator="containsText" id="{59840440-E54B-43F7-8F90-67AA0DC96174}">
            <xm:f>NOT(ISERROR(SEARCH('\\10.32.33.25\99_個別フォルダ\2_スマートICT部門\他部署共有\クラウド型カメラとれ～る\■本社定例\32_ユーザー申込書\[【BD部作成版】【様式camera1】サービス申込書_2.0版(OEM).xlsx]リスト'!#REF!,S8)))</xm:f>
            <xm:f>'\\10.32.33.25\99_個別フォルダ\2_スマートICT部門\他部署共有\クラウド型カメラとれ～る\■本社定例\32_ユーザー申込書\[【BD部作成版】【様式camera1】サービス申込書_2.0版(OEM).xlsx]リスト'!#REF!</xm:f>
            <x14:dxf>
              <font>
                <color rgb="FFFF0000"/>
              </font>
              <fill>
                <patternFill>
                  <bgColor theme="5" tint="0.59996337778862885"/>
                </patternFill>
              </fill>
            </x14:dxf>
          </x14:cfRule>
          <xm:sqref>S8:AX10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0000000}">
          <x14:formula1>
            <xm:f>リスト!$B$2:$B$4</xm:f>
          </x14:formula1>
          <xm:sqref>S11:AX13</xm:sqref>
        </x14:dataValidation>
        <x14:dataValidation type="list" allowBlank="1" showInputMessage="1" showErrorMessage="1" xr:uid="{00000000-0002-0000-0300-000001000000}">
          <x14:formula1>
            <xm:f>'[【様式camera1】サービス申込書_1.6版（OEM）お客様用意型.xlsm]リスト'!#REF!</xm:f>
          </x14:formula1>
          <xm:sqref>S8:AX10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CG108"/>
  <sheetViews>
    <sheetView view="pageBreakPreview" zoomScale="85" zoomScaleNormal="60" zoomScaleSheetLayoutView="85" workbookViewId="0">
      <selection activeCell="W36" sqref="W36:X36"/>
    </sheetView>
  </sheetViews>
  <sheetFormatPr defaultColWidth="2.88671875" defaultRowHeight="13.2"/>
  <cols>
    <col min="1" max="10" width="2.88671875" style="6"/>
    <col min="11" max="11" width="3.6640625" style="6" customWidth="1"/>
    <col min="12" max="38" width="2.88671875" style="6"/>
    <col min="39" max="39" width="4" style="6" customWidth="1"/>
    <col min="40" max="41" width="2.88671875" style="6"/>
    <col min="42" max="42" width="3.88671875" style="6" customWidth="1"/>
    <col min="43" max="52" width="2.88671875" style="6"/>
    <col min="53" max="55" width="2.88671875" style="6" customWidth="1"/>
    <col min="56" max="62" width="2.88671875" style="6" hidden="1" customWidth="1"/>
    <col min="63" max="63" width="2.88671875" style="11" hidden="1" customWidth="1"/>
    <col min="64" max="75" width="2.88671875" style="6" hidden="1" customWidth="1"/>
    <col min="76" max="79" width="2.88671875" style="6" customWidth="1"/>
    <col min="80" max="16384" width="2.88671875" style="6"/>
  </cols>
  <sheetData>
    <row r="1" spans="1:85" s="7" customFormat="1" ht="6.75" customHeight="1">
      <c r="A1" s="270"/>
      <c r="B1" s="276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734" t="s">
        <v>49</v>
      </c>
      <c r="O1" s="735"/>
      <c r="P1" s="735"/>
      <c r="Q1" s="735"/>
      <c r="R1" s="735"/>
      <c r="S1" s="735"/>
      <c r="T1" s="735"/>
      <c r="U1" s="735"/>
      <c r="V1" s="735"/>
      <c r="W1" s="735"/>
      <c r="X1" s="735"/>
      <c r="Y1" s="735"/>
      <c r="Z1" s="735"/>
      <c r="AA1" s="735"/>
      <c r="AB1" s="735"/>
      <c r="AC1" s="735"/>
      <c r="AD1" s="735"/>
      <c r="AE1" s="735"/>
      <c r="AF1" s="735"/>
      <c r="AG1" s="735"/>
      <c r="AH1" s="735"/>
      <c r="AI1" s="735"/>
      <c r="AJ1" s="735"/>
      <c r="AK1" s="735"/>
      <c r="AL1" s="735"/>
      <c r="AM1" s="735"/>
      <c r="AN1" s="250"/>
      <c r="AO1" s="250"/>
      <c r="AP1" s="250"/>
      <c r="AQ1" s="250"/>
      <c r="AR1" s="250"/>
      <c r="AS1" s="250"/>
      <c r="AT1" s="250"/>
      <c r="AU1" s="250"/>
      <c r="AV1" s="250"/>
      <c r="AW1" s="250"/>
      <c r="AX1" s="250"/>
      <c r="AY1" s="250"/>
      <c r="AZ1" s="270"/>
      <c r="BK1" s="8"/>
    </row>
    <row r="2" spans="1:85" s="7" customFormat="1" ht="6.75" customHeight="1">
      <c r="A2" s="270"/>
      <c r="B2" s="250"/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735"/>
      <c r="O2" s="735"/>
      <c r="P2" s="735"/>
      <c r="Q2" s="735"/>
      <c r="R2" s="735"/>
      <c r="S2" s="735"/>
      <c r="T2" s="735"/>
      <c r="U2" s="735"/>
      <c r="V2" s="735"/>
      <c r="W2" s="735"/>
      <c r="X2" s="735"/>
      <c r="Y2" s="735"/>
      <c r="Z2" s="735"/>
      <c r="AA2" s="735"/>
      <c r="AB2" s="735"/>
      <c r="AC2" s="735"/>
      <c r="AD2" s="735"/>
      <c r="AE2" s="735"/>
      <c r="AF2" s="735"/>
      <c r="AG2" s="735"/>
      <c r="AH2" s="735"/>
      <c r="AI2" s="735"/>
      <c r="AJ2" s="735"/>
      <c r="AK2" s="735"/>
      <c r="AL2" s="735"/>
      <c r="AM2" s="735"/>
      <c r="AN2" s="250"/>
      <c r="AO2" s="250"/>
      <c r="AP2" s="250"/>
      <c r="AQ2" s="250"/>
      <c r="AR2" s="250"/>
      <c r="AS2" s="250"/>
      <c r="AT2" s="250"/>
      <c r="AU2" s="250"/>
      <c r="AV2" s="250"/>
      <c r="AW2" s="250"/>
      <c r="AX2" s="250"/>
      <c r="AY2" s="250"/>
      <c r="AZ2" s="270"/>
      <c r="BK2" s="8"/>
    </row>
    <row r="3" spans="1:85" s="7" customFormat="1" ht="6.75" customHeight="1">
      <c r="A3" s="270"/>
      <c r="B3" s="250"/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735"/>
      <c r="O3" s="735"/>
      <c r="P3" s="735"/>
      <c r="Q3" s="735"/>
      <c r="R3" s="735"/>
      <c r="S3" s="735"/>
      <c r="T3" s="735"/>
      <c r="U3" s="735"/>
      <c r="V3" s="735"/>
      <c r="W3" s="735"/>
      <c r="X3" s="735"/>
      <c r="Y3" s="735"/>
      <c r="Z3" s="735"/>
      <c r="AA3" s="735"/>
      <c r="AB3" s="735"/>
      <c r="AC3" s="735"/>
      <c r="AD3" s="735"/>
      <c r="AE3" s="735"/>
      <c r="AF3" s="735"/>
      <c r="AG3" s="735"/>
      <c r="AH3" s="735"/>
      <c r="AI3" s="735"/>
      <c r="AJ3" s="735"/>
      <c r="AK3" s="735"/>
      <c r="AL3" s="735"/>
      <c r="AM3" s="735"/>
      <c r="AN3" s="250"/>
      <c r="AO3" s="250"/>
      <c r="AP3" s="250"/>
      <c r="AQ3" s="250"/>
      <c r="AR3" s="250"/>
      <c r="AS3" s="250"/>
      <c r="AT3" s="250"/>
      <c r="AU3" s="250"/>
      <c r="AV3" s="250"/>
      <c r="AW3" s="250"/>
      <c r="AX3" s="250"/>
      <c r="AY3" s="250"/>
      <c r="AZ3" s="270"/>
      <c r="BK3" s="8"/>
    </row>
    <row r="4" spans="1:85" s="7" customFormat="1" ht="42" customHeight="1">
      <c r="A4" s="270"/>
      <c r="B4" s="736" t="s">
        <v>1043</v>
      </c>
      <c r="C4" s="737"/>
      <c r="D4" s="737"/>
      <c r="E4" s="737"/>
      <c r="F4" s="737"/>
      <c r="G4" s="737"/>
      <c r="H4" s="737"/>
      <c r="I4" s="737"/>
      <c r="J4" s="73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737"/>
      <c r="X4" s="737"/>
      <c r="Y4" s="737"/>
      <c r="Z4" s="737"/>
      <c r="AA4" s="737"/>
      <c r="AB4" s="737"/>
      <c r="AC4" s="737"/>
      <c r="AD4" s="737"/>
      <c r="AE4" s="737"/>
      <c r="AF4" s="737"/>
      <c r="AG4" s="737"/>
      <c r="AH4" s="737"/>
      <c r="AI4" s="737"/>
      <c r="AJ4" s="737"/>
      <c r="AK4" s="737"/>
      <c r="AL4" s="737"/>
      <c r="AM4" s="737"/>
      <c r="AN4" s="737"/>
      <c r="AO4" s="737"/>
      <c r="AP4" s="737"/>
      <c r="AQ4" s="737"/>
      <c r="AR4" s="250"/>
      <c r="AS4" s="250"/>
      <c r="AT4" s="393" t="str">
        <f>本紙!AR6</f>
        <v>Ver.3.50</v>
      </c>
      <c r="AU4" s="251" t="str">
        <f>本紙!AU6</f>
        <v>(2023.9.27～)</v>
      </c>
      <c r="AV4" s="250"/>
      <c r="AW4" s="250"/>
      <c r="AX4" s="250"/>
      <c r="AY4" s="250"/>
      <c r="AZ4" s="270"/>
      <c r="BK4" s="8"/>
    </row>
    <row r="5" spans="1:85" s="7" customFormat="1" ht="20.25" customHeight="1">
      <c r="A5" s="271"/>
      <c r="B5" s="738" t="s">
        <v>742</v>
      </c>
      <c r="C5" s="738"/>
      <c r="D5" s="738"/>
      <c r="E5" s="738"/>
      <c r="F5" s="738"/>
      <c r="G5" s="738"/>
      <c r="H5" s="745" t="s">
        <v>751</v>
      </c>
      <c r="I5" s="746"/>
      <c r="J5" s="746"/>
      <c r="K5" s="746"/>
      <c r="L5" s="746"/>
      <c r="M5" s="746"/>
      <c r="N5" s="746"/>
      <c r="O5" s="746"/>
      <c r="P5" s="746"/>
      <c r="Q5" s="746"/>
      <c r="R5" s="746"/>
      <c r="S5" s="746"/>
      <c r="T5" s="746"/>
      <c r="U5" s="746"/>
      <c r="V5" s="746"/>
      <c r="W5" s="746"/>
      <c r="X5" s="746"/>
      <c r="Y5" s="747"/>
      <c r="Z5" s="748"/>
      <c r="AA5" s="749"/>
      <c r="AB5" s="749"/>
      <c r="AC5" s="749"/>
      <c r="AD5" s="750"/>
      <c r="AE5" s="739"/>
      <c r="AF5" s="740"/>
      <c r="AG5" s="740"/>
      <c r="AH5" s="740"/>
      <c r="AI5" s="740"/>
      <c r="AJ5" s="740"/>
      <c r="AK5" s="740"/>
      <c r="AL5" s="740"/>
      <c r="AM5" s="740"/>
      <c r="AN5" s="740"/>
      <c r="AO5" s="740"/>
      <c r="AP5" s="740"/>
      <c r="AQ5" s="740"/>
      <c r="AR5" s="740"/>
      <c r="AS5" s="740"/>
      <c r="AT5" s="740"/>
      <c r="AU5" s="740"/>
      <c r="AV5" s="740"/>
      <c r="AW5" s="740"/>
      <c r="AX5" s="740"/>
      <c r="AY5" s="741"/>
      <c r="AZ5" s="273"/>
      <c r="BK5" s="8"/>
    </row>
    <row r="6" spans="1:85" ht="26.25" customHeight="1">
      <c r="A6" s="272"/>
      <c r="B6" s="742" t="s">
        <v>50</v>
      </c>
      <c r="C6" s="743"/>
      <c r="D6" s="743"/>
      <c r="E6" s="743"/>
      <c r="F6" s="743"/>
      <c r="G6" s="743"/>
      <c r="H6" s="744" t="s">
        <v>51</v>
      </c>
      <c r="I6" s="744"/>
      <c r="J6" s="118"/>
      <c r="K6" s="751">
        <v>2024</v>
      </c>
      <c r="L6" s="752"/>
      <c r="M6" s="752"/>
      <c r="N6" s="753"/>
      <c r="O6" s="118" t="s">
        <v>52</v>
      </c>
      <c r="P6" s="751">
        <v>3</v>
      </c>
      <c r="Q6" s="752"/>
      <c r="R6" s="752"/>
      <c r="S6" s="753"/>
      <c r="T6" s="118" t="s">
        <v>53</v>
      </c>
      <c r="U6" s="751">
        <v>7</v>
      </c>
      <c r="V6" s="752"/>
      <c r="W6" s="752"/>
      <c r="X6" s="753"/>
      <c r="Y6" s="118" t="s">
        <v>54</v>
      </c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  <c r="AO6" s="289"/>
      <c r="AP6" s="289"/>
      <c r="AQ6" s="289"/>
      <c r="AR6" s="289"/>
      <c r="AS6" s="289"/>
      <c r="AT6" s="289"/>
      <c r="AU6" s="289"/>
      <c r="AV6" s="289"/>
      <c r="AW6" s="289"/>
      <c r="AX6" s="289"/>
      <c r="AY6" s="290"/>
      <c r="AZ6" s="5"/>
      <c r="BC6" s="109"/>
      <c r="BD6" s="109"/>
      <c r="BE6" s="109"/>
      <c r="BF6" s="109"/>
      <c r="BG6" s="109"/>
      <c r="BH6" s="109"/>
      <c r="BI6" s="109"/>
      <c r="BJ6" s="109"/>
      <c r="BK6" s="109"/>
      <c r="BL6" s="109"/>
      <c r="BM6" s="109"/>
      <c r="BN6" s="109"/>
      <c r="BO6" s="109"/>
      <c r="BP6" s="109"/>
      <c r="BQ6" s="109"/>
      <c r="BR6" s="109"/>
      <c r="BS6" s="109"/>
      <c r="BT6" s="109"/>
      <c r="BU6" s="109"/>
      <c r="BV6" s="109"/>
      <c r="BW6" s="109"/>
      <c r="BX6" s="109"/>
      <c r="BY6" s="109"/>
      <c r="BZ6" s="109"/>
      <c r="CA6" s="109"/>
      <c r="CB6" s="109"/>
      <c r="CC6" s="109"/>
      <c r="CD6" s="109"/>
      <c r="CE6" s="109"/>
      <c r="CF6" s="109"/>
      <c r="CG6" s="109"/>
    </row>
    <row r="7" spans="1:85" ht="13.5" customHeight="1">
      <c r="A7" s="5"/>
      <c r="B7" s="754" t="s">
        <v>743</v>
      </c>
      <c r="C7" s="754"/>
      <c r="D7" s="754"/>
      <c r="E7" s="754"/>
      <c r="F7" s="754"/>
      <c r="G7" s="754"/>
      <c r="H7" s="757" t="s">
        <v>55</v>
      </c>
      <c r="I7" s="758"/>
      <c r="J7" s="758"/>
      <c r="K7" s="758"/>
      <c r="L7" s="759" t="s">
        <v>1049</v>
      </c>
      <c r="M7" s="759"/>
      <c r="N7" s="759"/>
      <c r="O7" s="759"/>
      <c r="P7" s="759"/>
      <c r="Q7" s="759"/>
      <c r="R7" s="759"/>
      <c r="S7" s="759"/>
      <c r="T7" s="759"/>
      <c r="U7" s="759"/>
      <c r="V7" s="759"/>
      <c r="W7" s="759"/>
      <c r="X7" s="759"/>
      <c r="Y7" s="759"/>
      <c r="Z7" s="759"/>
      <c r="AA7" s="759"/>
      <c r="AB7" s="759"/>
      <c r="AC7" s="759"/>
      <c r="AD7" s="759"/>
      <c r="AE7" s="759"/>
      <c r="AF7" s="759"/>
      <c r="AG7" s="759"/>
      <c r="AH7" s="759"/>
      <c r="AI7" s="759"/>
      <c r="AJ7" s="759"/>
      <c r="AK7" s="759"/>
      <c r="AL7" s="759"/>
      <c r="AM7" s="759"/>
      <c r="AN7" s="759"/>
      <c r="AO7" s="759"/>
      <c r="AP7" s="759"/>
      <c r="AQ7" s="759"/>
      <c r="AR7" s="759"/>
      <c r="AS7" s="759"/>
      <c r="AT7" s="759"/>
      <c r="AU7" s="759"/>
      <c r="AV7" s="759"/>
      <c r="AW7" s="759"/>
      <c r="AX7" s="759"/>
      <c r="AY7" s="760"/>
      <c r="AZ7" s="5"/>
      <c r="BC7" s="109"/>
      <c r="BD7" s="109"/>
      <c r="BE7" s="109"/>
      <c r="BF7" s="109"/>
      <c r="BG7" s="109"/>
      <c r="BH7" s="109"/>
      <c r="BI7" s="109"/>
      <c r="BJ7" s="109"/>
      <c r="BK7" s="109"/>
      <c r="BL7" s="109"/>
      <c r="BM7" s="109"/>
      <c r="BN7" s="109"/>
      <c r="BO7" s="109"/>
      <c r="BP7" s="109"/>
      <c r="BQ7" s="109"/>
      <c r="BR7" s="109"/>
      <c r="BS7" s="109"/>
      <c r="BT7" s="109"/>
      <c r="BU7" s="109"/>
      <c r="BV7" s="109"/>
      <c r="BW7" s="109"/>
      <c r="BX7" s="109"/>
      <c r="BY7" s="109"/>
      <c r="BZ7" s="109"/>
      <c r="CA7" s="109"/>
      <c r="CB7" s="109"/>
      <c r="CC7" s="109"/>
      <c r="CD7" s="109"/>
      <c r="CE7" s="109"/>
      <c r="CF7" s="109"/>
      <c r="CG7" s="109"/>
    </row>
    <row r="8" spans="1:85">
      <c r="A8" s="5"/>
      <c r="B8" s="755"/>
      <c r="C8" s="755"/>
      <c r="D8" s="755"/>
      <c r="E8" s="755"/>
      <c r="F8" s="755"/>
      <c r="G8" s="755"/>
      <c r="H8" s="761" t="s">
        <v>1048</v>
      </c>
      <c r="I8" s="762"/>
      <c r="J8" s="762"/>
      <c r="K8" s="762"/>
      <c r="L8" s="762"/>
      <c r="M8" s="762"/>
      <c r="N8" s="762"/>
      <c r="O8" s="762"/>
      <c r="P8" s="762"/>
      <c r="Q8" s="762"/>
      <c r="R8" s="762"/>
      <c r="S8" s="762"/>
      <c r="T8" s="762"/>
      <c r="U8" s="762"/>
      <c r="V8" s="762"/>
      <c r="W8" s="762"/>
      <c r="X8" s="762"/>
      <c r="Y8" s="762"/>
      <c r="Z8" s="762"/>
      <c r="AA8" s="762"/>
      <c r="AB8" s="762"/>
      <c r="AC8" s="762"/>
      <c r="AD8" s="762"/>
      <c r="AE8" s="762"/>
      <c r="AF8" s="762"/>
      <c r="AG8" s="762"/>
      <c r="AH8" s="762"/>
      <c r="AI8" s="762"/>
      <c r="AJ8" s="762"/>
      <c r="AK8" s="762"/>
      <c r="AL8" s="762"/>
      <c r="AM8" s="762"/>
      <c r="AN8" s="762"/>
      <c r="AO8" s="762"/>
      <c r="AP8" s="762"/>
      <c r="AQ8" s="762"/>
      <c r="AR8" s="762"/>
      <c r="AS8" s="762"/>
      <c r="AT8" s="762"/>
      <c r="AU8" s="762"/>
      <c r="AV8" s="762"/>
      <c r="AW8" s="762"/>
      <c r="AX8" s="762"/>
      <c r="AY8" s="762"/>
      <c r="AZ8" s="5"/>
      <c r="BC8" s="109"/>
      <c r="BD8" s="109"/>
      <c r="BE8" s="109"/>
      <c r="BF8" s="109"/>
      <c r="BG8" s="109"/>
      <c r="BH8" s="109"/>
      <c r="BI8" s="109"/>
      <c r="BJ8" s="109"/>
      <c r="BK8" s="109"/>
      <c r="BL8" s="109"/>
      <c r="BM8" s="109"/>
      <c r="BN8" s="109"/>
      <c r="BO8" s="109"/>
      <c r="BP8" s="109"/>
      <c r="BQ8" s="109"/>
      <c r="BR8" s="109"/>
      <c r="BS8" s="109"/>
      <c r="BT8" s="109"/>
      <c r="BU8" s="109"/>
      <c r="BV8" s="109"/>
      <c r="BW8" s="109"/>
      <c r="BX8" s="109"/>
      <c r="BY8" s="109"/>
      <c r="BZ8" s="109"/>
      <c r="CA8" s="109"/>
      <c r="CB8" s="109"/>
      <c r="CC8" s="109"/>
      <c r="CD8" s="109"/>
      <c r="CE8" s="109"/>
      <c r="CF8" s="109"/>
      <c r="CG8" s="109"/>
    </row>
    <row r="9" spans="1:85" ht="12.75" customHeight="1">
      <c r="A9" s="5"/>
      <c r="B9" s="756"/>
      <c r="C9" s="756"/>
      <c r="D9" s="756"/>
      <c r="E9" s="756"/>
      <c r="F9" s="756"/>
      <c r="G9" s="756"/>
      <c r="H9" s="761"/>
      <c r="I9" s="762"/>
      <c r="J9" s="762"/>
      <c r="K9" s="762"/>
      <c r="L9" s="762"/>
      <c r="M9" s="762"/>
      <c r="N9" s="762"/>
      <c r="O9" s="762"/>
      <c r="P9" s="762"/>
      <c r="Q9" s="762"/>
      <c r="R9" s="762"/>
      <c r="S9" s="762"/>
      <c r="T9" s="762"/>
      <c r="U9" s="762"/>
      <c r="V9" s="762"/>
      <c r="W9" s="762"/>
      <c r="X9" s="762"/>
      <c r="Y9" s="762"/>
      <c r="Z9" s="762"/>
      <c r="AA9" s="762"/>
      <c r="AB9" s="762"/>
      <c r="AC9" s="762"/>
      <c r="AD9" s="762"/>
      <c r="AE9" s="762"/>
      <c r="AF9" s="762"/>
      <c r="AG9" s="762"/>
      <c r="AH9" s="762"/>
      <c r="AI9" s="762"/>
      <c r="AJ9" s="762"/>
      <c r="AK9" s="762"/>
      <c r="AL9" s="762"/>
      <c r="AM9" s="762"/>
      <c r="AN9" s="762"/>
      <c r="AO9" s="762"/>
      <c r="AP9" s="762"/>
      <c r="AQ9" s="762"/>
      <c r="AR9" s="762"/>
      <c r="AS9" s="762"/>
      <c r="AT9" s="762"/>
      <c r="AU9" s="762"/>
      <c r="AV9" s="762"/>
      <c r="AW9" s="762"/>
      <c r="AX9" s="762"/>
      <c r="AY9" s="762"/>
      <c r="AZ9" s="5"/>
      <c r="BC9" s="109"/>
      <c r="BD9" s="109"/>
      <c r="BE9" s="109"/>
      <c r="BF9" s="109"/>
      <c r="BG9" s="109"/>
      <c r="BH9" s="109"/>
      <c r="BI9" s="109"/>
      <c r="BJ9" s="109"/>
      <c r="BK9" s="109"/>
      <c r="BL9" s="109"/>
      <c r="BM9" s="109"/>
      <c r="BN9" s="109"/>
      <c r="BO9" s="109"/>
      <c r="BP9" s="109"/>
      <c r="BQ9" s="109"/>
      <c r="BR9" s="109"/>
      <c r="BS9" s="109"/>
      <c r="BT9" s="109"/>
      <c r="BU9" s="109"/>
      <c r="BV9" s="109"/>
      <c r="BW9" s="109"/>
      <c r="BX9" s="109"/>
      <c r="BY9" s="109"/>
      <c r="BZ9" s="109"/>
      <c r="CA9" s="109"/>
      <c r="CB9" s="109"/>
      <c r="CC9" s="109"/>
      <c r="CD9" s="109"/>
      <c r="CE9" s="109"/>
      <c r="CF9" s="109"/>
      <c r="CG9" s="109"/>
    </row>
    <row r="10" spans="1:85" ht="13.5" customHeight="1">
      <c r="A10" s="5"/>
      <c r="B10" s="763" t="s">
        <v>744</v>
      </c>
      <c r="C10" s="764"/>
      <c r="D10" s="764"/>
      <c r="E10" s="764"/>
      <c r="F10" s="764"/>
      <c r="G10" s="765"/>
      <c r="H10" s="117" t="s">
        <v>57</v>
      </c>
      <c r="I10" s="625" t="s">
        <v>1050</v>
      </c>
      <c r="J10" s="627"/>
      <c r="K10" s="627"/>
      <c r="L10" s="627"/>
      <c r="M10" s="252" t="s">
        <v>58</v>
      </c>
      <c r="N10" s="627" t="s">
        <v>1051</v>
      </c>
      <c r="O10" s="627"/>
      <c r="P10" s="627"/>
      <c r="Q10" s="786"/>
      <c r="R10" s="782" t="s">
        <v>60</v>
      </c>
      <c r="S10" s="783"/>
      <c r="T10" s="784"/>
      <c r="U10" s="785" t="s">
        <v>1055</v>
      </c>
      <c r="V10" s="759"/>
      <c r="W10" s="759"/>
      <c r="X10" s="759"/>
      <c r="Y10" s="759"/>
      <c r="Z10" s="759"/>
      <c r="AA10" s="759"/>
      <c r="AB10" s="759"/>
      <c r="AC10" s="759"/>
      <c r="AD10" s="759"/>
      <c r="AE10" s="759"/>
      <c r="AF10" s="759"/>
      <c r="AG10" s="759"/>
      <c r="AH10" s="759"/>
      <c r="AI10" s="759"/>
      <c r="AJ10" s="759"/>
      <c r="AK10" s="759"/>
      <c r="AL10" s="759"/>
      <c r="AM10" s="759"/>
      <c r="AN10" s="759"/>
      <c r="AO10" s="759"/>
      <c r="AP10" s="759"/>
      <c r="AQ10" s="759"/>
      <c r="AR10" s="759"/>
      <c r="AS10" s="759"/>
      <c r="AT10" s="759"/>
      <c r="AU10" s="759"/>
      <c r="AV10" s="759"/>
      <c r="AW10" s="759"/>
      <c r="AX10" s="759"/>
      <c r="AY10" s="760"/>
      <c r="AZ10" s="5"/>
      <c r="BD10" s="9" t="s">
        <v>61</v>
      </c>
      <c r="BK10" s="579">
        <v>12</v>
      </c>
      <c r="BL10" s="579"/>
      <c r="BM10" s="579"/>
      <c r="BN10" s="579"/>
      <c r="BO10" s="579"/>
      <c r="BP10" s="579"/>
    </row>
    <row r="11" spans="1:85" ht="13.5" customHeight="1">
      <c r="A11" s="5"/>
      <c r="B11" s="763"/>
      <c r="C11" s="764"/>
      <c r="D11" s="764"/>
      <c r="E11" s="764"/>
      <c r="F11" s="764"/>
      <c r="G11" s="765"/>
      <c r="H11" s="771" t="s">
        <v>62</v>
      </c>
      <c r="I11" s="638"/>
      <c r="J11" s="638"/>
      <c r="K11" s="639"/>
      <c r="L11" s="787" t="s">
        <v>259</v>
      </c>
      <c r="M11" s="788"/>
      <c r="N11" s="788"/>
      <c r="O11" s="788"/>
      <c r="P11" s="788"/>
      <c r="Q11" s="789"/>
      <c r="R11" s="793" t="s">
        <v>63</v>
      </c>
      <c r="S11" s="794"/>
      <c r="T11" s="795"/>
      <c r="U11" s="799" t="s">
        <v>1052</v>
      </c>
      <c r="V11" s="800"/>
      <c r="W11" s="800"/>
      <c r="X11" s="800"/>
      <c r="Y11" s="800"/>
      <c r="Z11" s="800"/>
      <c r="AA11" s="800"/>
      <c r="AB11" s="801"/>
      <c r="AC11" s="793" t="s">
        <v>65</v>
      </c>
      <c r="AD11" s="794"/>
      <c r="AE11" s="795"/>
      <c r="AF11" s="805" t="s">
        <v>1053</v>
      </c>
      <c r="AG11" s="806"/>
      <c r="AH11" s="806"/>
      <c r="AI11" s="806"/>
      <c r="AJ11" s="806"/>
      <c r="AK11" s="806"/>
      <c r="AL11" s="806"/>
      <c r="AM11" s="806"/>
      <c r="AN11" s="806"/>
      <c r="AO11" s="806"/>
      <c r="AP11" s="806"/>
      <c r="AQ11" s="806"/>
      <c r="AR11" s="806"/>
      <c r="AS11" s="806"/>
      <c r="AT11" s="806"/>
      <c r="AU11" s="806"/>
      <c r="AV11" s="806"/>
      <c r="AW11" s="806"/>
      <c r="AX11" s="806"/>
      <c r="AY11" s="807"/>
      <c r="AZ11" s="5"/>
      <c r="BD11" s="9" t="s">
        <v>66</v>
      </c>
      <c r="BK11" s="579">
        <v>13</v>
      </c>
      <c r="BL11" s="579"/>
      <c r="BM11" s="579"/>
      <c r="BN11" s="579"/>
      <c r="BO11" s="579"/>
      <c r="BP11" s="579"/>
    </row>
    <row r="12" spans="1:85" ht="13.5" customHeight="1">
      <c r="A12" s="5"/>
      <c r="B12" s="763"/>
      <c r="C12" s="764"/>
      <c r="D12" s="764"/>
      <c r="E12" s="764"/>
      <c r="F12" s="764"/>
      <c r="G12" s="765"/>
      <c r="H12" s="537"/>
      <c r="I12" s="538"/>
      <c r="J12" s="538"/>
      <c r="K12" s="539"/>
      <c r="L12" s="790"/>
      <c r="M12" s="791"/>
      <c r="N12" s="791"/>
      <c r="O12" s="791"/>
      <c r="P12" s="791"/>
      <c r="Q12" s="792"/>
      <c r="R12" s="796"/>
      <c r="S12" s="797"/>
      <c r="T12" s="798"/>
      <c r="U12" s="802"/>
      <c r="V12" s="803"/>
      <c r="W12" s="803"/>
      <c r="X12" s="803"/>
      <c r="Y12" s="803"/>
      <c r="Z12" s="803"/>
      <c r="AA12" s="803"/>
      <c r="AB12" s="804"/>
      <c r="AC12" s="796"/>
      <c r="AD12" s="797"/>
      <c r="AE12" s="798"/>
      <c r="AF12" s="808"/>
      <c r="AG12" s="809"/>
      <c r="AH12" s="809"/>
      <c r="AI12" s="809"/>
      <c r="AJ12" s="809"/>
      <c r="AK12" s="809"/>
      <c r="AL12" s="809"/>
      <c r="AM12" s="809"/>
      <c r="AN12" s="809"/>
      <c r="AO12" s="809"/>
      <c r="AP12" s="809"/>
      <c r="AQ12" s="809"/>
      <c r="AR12" s="809"/>
      <c r="AS12" s="809"/>
      <c r="AT12" s="809"/>
      <c r="AU12" s="809"/>
      <c r="AV12" s="809"/>
      <c r="AW12" s="809"/>
      <c r="AX12" s="809"/>
      <c r="AY12" s="810"/>
      <c r="AZ12" s="5"/>
      <c r="BD12" s="9" t="s">
        <v>67</v>
      </c>
      <c r="BK12" s="579">
        <v>16</v>
      </c>
      <c r="BL12" s="579"/>
      <c r="BM12" s="579"/>
      <c r="BN12" s="579"/>
      <c r="BO12" s="579"/>
      <c r="BP12" s="579"/>
    </row>
    <row r="13" spans="1:85" ht="13.5" customHeight="1">
      <c r="A13" s="5"/>
      <c r="B13" s="766"/>
      <c r="C13" s="767"/>
      <c r="D13" s="767"/>
      <c r="E13" s="767"/>
      <c r="F13" s="767"/>
      <c r="G13" s="768"/>
      <c r="H13" s="518" t="s">
        <v>68</v>
      </c>
      <c r="I13" s="772"/>
      <c r="J13" s="186"/>
      <c r="K13" s="773" t="s">
        <v>69</v>
      </c>
      <c r="L13" s="774"/>
      <c r="M13" s="774"/>
      <c r="N13" s="774"/>
      <c r="O13" s="774"/>
      <c r="P13" s="775"/>
      <c r="Q13" s="776" t="s">
        <v>70</v>
      </c>
      <c r="R13" s="777"/>
      <c r="S13" s="778"/>
      <c r="T13" s="779" t="s">
        <v>1054</v>
      </c>
      <c r="U13" s="780"/>
      <c r="V13" s="780"/>
      <c r="W13" s="780"/>
      <c r="X13" s="780"/>
      <c r="Y13" s="780"/>
      <c r="Z13" s="780"/>
      <c r="AA13" s="780"/>
      <c r="AB13" s="780"/>
      <c r="AC13" s="780"/>
      <c r="AD13" s="780"/>
      <c r="AE13" s="780"/>
      <c r="AF13" s="780"/>
      <c r="AG13" s="780"/>
      <c r="AH13" s="780"/>
      <c r="AI13" s="780"/>
      <c r="AJ13" s="780"/>
      <c r="AK13" s="780"/>
      <c r="AL13" s="780"/>
      <c r="AM13" s="780"/>
      <c r="AN13" s="780"/>
      <c r="AO13" s="780"/>
      <c r="AP13" s="780"/>
      <c r="AQ13" s="780"/>
      <c r="AR13" s="780"/>
      <c r="AS13" s="780"/>
      <c r="AT13" s="780"/>
      <c r="AU13" s="780"/>
      <c r="AV13" s="780"/>
      <c r="AW13" s="780"/>
      <c r="AX13" s="780"/>
      <c r="AY13" s="781"/>
      <c r="AZ13" s="5"/>
      <c r="BD13" s="10" t="s">
        <v>71</v>
      </c>
      <c r="BK13" s="579">
        <f>BC6+90</f>
        <v>90</v>
      </c>
      <c r="BL13" s="579"/>
      <c r="BM13" s="579"/>
      <c r="BN13" s="579"/>
      <c r="BO13" s="579"/>
      <c r="BP13" s="579"/>
    </row>
    <row r="14" spans="1:85" ht="13.5" customHeight="1">
      <c r="A14" s="5"/>
      <c r="B14" s="769" t="s">
        <v>72</v>
      </c>
      <c r="C14" s="770"/>
      <c r="D14" s="770"/>
      <c r="E14" s="770"/>
      <c r="F14" s="770"/>
      <c r="G14" s="742"/>
      <c r="H14" s="518" t="s">
        <v>1056</v>
      </c>
      <c r="I14" s="519"/>
      <c r="J14" s="186"/>
      <c r="K14" s="253" t="s">
        <v>745</v>
      </c>
      <c r="L14" s="253"/>
      <c r="M14" s="253"/>
      <c r="N14" s="253"/>
      <c r="O14" s="253"/>
      <c r="P14" s="254"/>
      <c r="Q14" s="255"/>
      <c r="R14" s="255"/>
      <c r="S14" s="255"/>
      <c r="T14" s="256"/>
      <c r="U14" s="256"/>
      <c r="V14" s="256"/>
      <c r="W14" s="257"/>
      <c r="X14" s="257"/>
      <c r="Y14" s="257"/>
      <c r="Z14" s="257"/>
      <c r="AA14" s="257"/>
      <c r="AB14" s="257"/>
      <c r="AC14" s="257"/>
      <c r="AD14" s="257"/>
      <c r="AE14" s="257"/>
      <c r="AF14" s="257"/>
      <c r="AG14" s="257"/>
      <c r="AH14" s="257"/>
      <c r="AI14" s="257"/>
      <c r="AJ14" s="257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257"/>
      <c r="AY14" s="258"/>
      <c r="AZ14" s="5"/>
      <c r="BD14" s="10"/>
      <c r="BK14" s="116"/>
      <c r="BL14" s="116"/>
      <c r="BM14" s="116"/>
      <c r="BN14" s="116"/>
      <c r="BO14" s="116"/>
      <c r="BP14" s="116"/>
    </row>
    <row r="15" spans="1:85" ht="13.5" customHeight="1">
      <c r="A15" s="5"/>
      <c r="B15" s="763"/>
      <c r="C15" s="764"/>
      <c r="D15" s="764"/>
      <c r="E15" s="764"/>
      <c r="F15" s="764"/>
      <c r="G15" s="765"/>
      <c r="H15" s="117" t="s">
        <v>56</v>
      </c>
      <c r="I15" s="625" t="s">
        <v>1050</v>
      </c>
      <c r="J15" s="627"/>
      <c r="K15" s="627"/>
      <c r="L15" s="627"/>
      <c r="M15" s="252" t="s">
        <v>73</v>
      </c>
      <c r="N15" s="627" t="s">
        <v>1051</v>
      </c>
      <c r="O15" s="627"/>
      <c r="P15" s="627"/>
      <c r="Q15" s="786"/>
      <c r="R15" s="782" t="s">
        <v>59</v>
      </c>
      <c r="S15" s="783"/>
      <c r="T15" s="784"/>
      <c r="U15" s="785" t="s">
        <v>1055</v>
      </c>
      <c r="V15" s="759"/>
      <c r="W15" s="759"/>
      <c r="X15" s="759"/>
      <c r="Y15" s="759"/>
      <c r="Z15" s="759"/>
      <c r="AA15" s="759"/>
      <c r="AB15" s="759"/>
      <c r="AC15" s="759"/>
      <c r="AD15" s="759"/>
      <c r="AE15" s="759"/>
      <c r="AF15" s="759"/>
      <c r="AG15" s="759"/>
      <c r="AH15" s="759"/>
      <c r="AI15" s="759"/>
      <c r="AJ15" s="759"/>
      <c r="AK15" s="759"/>
      <c r="AL15" s="759"/>
      <c r="AM15" s="759"/>
      <c r="AN15" s="759"/>
      <c r="AO15" s="759"/>
      <c r="AP15" s="759"/>
      <c r="AQ15" s="759"/>
      <c r="AR15" s="759"/>
      <c r="AS15" s="759"/>
      <c r="AT15" s="759"/>
      <c r="AU15" s="759"/>
      <c r="AV15" s="759"/>
      <c r="AW15" s="759"/>
      <c r="AX15" s="759"/>
      <c r="AY15" s="760"/>
      <c r="AZ15" s="5"/>
      <c r="BD15" s="10"/>
      <c r="BK15" s="116"/>
      <c r="BL15" s="116"/>
      <c r="BM15" s="116"/>
      <c r="BN15" s="116"/>
      <c r="BO15" s="116"/>
      <c r="BP15" s="116"/>
    </row>
    <row r="16" spans="1:85" ht="13.5" customHeight="1">
      <c r="A16" s="5"/>
      <c r="B16" s="763"/>
      <c r="C16" s="764"/>
      <c r="D16" s="764"/>
      <c r="E16" s="764"/>
      <c r="F16" s="764"/>
      <c r="G16" s="765"/>
      <c r="H16" s="771" t="s">
        <v>62</v>
      </c>
      <c r="I16" s="638"/>
      <c r="J16" s="638"/>
      <c r="K16" s="639"/>
      <c r="L16" s="787" t="s">
        <v>1059</v>
      </c>
      <c r="M16" s="788"/>
      <c r="N16" s="788"/>
      <c r="O16" s="788"/>
      <c r="P16" s="788"/>
      <c r="Q16" s="789"/>
      <c r="R16" s="793" t="s">
        <v>63</v>
      </c>
      <c r="S16" s="794"/>
      <c r="T16" s="795"/>
      <c r="U16" s="799" t="s">
        <v>1060</v>
      </c>
      <c r="V16" s="800"/>
      <c r="W16" s="800"/>
      <c r="X16" s="800"/>
      <c r="Y16" s="800"/>
      <c r="Z16" s="800"/>
      <c r="AA16" s="800"/>
      <c r="AB16" s="801"/>
      <c r="AC16" s="793" t="s">
        <v>64</v>
      </c>
      <c r="AD16" s="861"/>
      <c r="AE16" s="862"/>
      <c r="AF16" s="805" t="s">
        <v>1053</v>
      </c>
      <c r="AG16" s="806"/>
      <c r="AH16" s="806"/>
      <c r="AI16" s="806"/>
      <c r="AJ16" s="806"/>
      <c r="AK16" s="806"/>
      <c r="AL16" s="806"/>
      <c r="AM16" s="806"/>
      <c r="AN16" s="806"/>
      <c r="AO16" s="806"/>
      <c r="AP16" s="806"/>
      <c r="AQ16" s="806"/>
      <c r="AR16" s="806"/>
      <c r="AS16" s="806"/>
      <c r="AT16" s="806"/>
      <c r="AU16" s="806"/>
      <c r="AV16" s="806"/>
      <c r="AW16" s="806"/>
      <c r="AX16" s="806"/>
      <c r="AY16" s="807"/>
      <c r="AZ16" s="275"/>
      <c r="BE16" s="10"/>
      <c r="BK16" s="6"/>
      <c r="BL16" s="116"/>
      <c r="BM16" s="116"/>
      <c r="BN16" s="116"/>
      <c r="BO16" s="116"/>
      <c r="BP16" s="116"/>
      <c r="BQ16" s="116"/>
    </row>
    <row r="17" spans="1:76" ht="13.5" customHeight="1">
      <c r="A17" s="5"/>
      <c r="B17" s="763"/>
      <c r="C17" s="764"/>
      <c r="D17" s="764"/>
      <c r="E17" s="764"/>
      <c r="F17" s="764"/>
      <c r="G17" s="765"/>
      <c r="H17" s="537"/>
      <c r="I17" s="538"/>
      <c r="J17" s="538"/>
      <c r="K17" s="539"/>
      <c r="L17" s="790"/>
      <c r="M17" s="791"/>
      <c r="N17" s="791"/>
      <c r="O17" s="791"/>
      <c r="P17" s="791"/>
      <c r="Q17" s="792"/>
      <c r="R17" s="796"/>
      <c r="S17" s="797"/>
      <c r="T17" s="798"/>
      <c r="U17" s="802"/>
      <c r="V17" s="803"/>
      <c r="W17" s="803"/>
      <c r="X17" s="803"/>
      <c r="Y17" s="803"/>
      <c r="Z17" s="803"/>
      <c r="AA17" s="803"/>
      <c r="AB17" s="804"/>
      <c r="AC17" s="863"/>
      <c r="AD17" s="864"/>
      <c r="AE17" s="865"/>
      <c r="AF17" s="808"/>
      <c r="AG17" s="809"/>
      <c r="AH17" s="809"/>
      <c r="AI17" s="809"/>
      <c r="AJ17" s="809"/>
      <c r="AK17" s="809"/>
      <c r="AL17" s="809"/>
      <c r="AM17" s="809"/>
      <c r="AN17" s="809"/>
      <c r="AO17" s="809"/>
      <c r="AP17" s="809"/>
      <c r="AQ17" s="809"/>
      <c r="AR17" s="809"/>
      <c r="AS17" s="809"/>
      <c r="AT17" s="809"/>
      <c r="AU17" s="809"/>
      <c r="AV17" s="809"/>
      <c r="AW17" s="809"/>
      <c r="AX17" s="809"/>
      <c r="AY17" s="810"/>
      <c r="AZ17" s="275"/>
      <c r="BE17" s="10"/>
      <c r="BK17" s="6"/>
      <c r="BL17" s="116"/>
      <c r="BM17" s="116"/>
      <c r="BN17" s="116"/>
      <c r="BO17" s="116"/>
      <c r="BP17" s="116"/>
      <c r="BQ17" s="116"/>
    </row>
    <row r="18" spans="1:76" ht="13.5" customHeight="1">
      <c r="A18" s="5"/>
      <c r="B18" s="766"/>
      <c r="C18" s="767"/>
      <c r="D18" s="767"/>
      <c r="E18" s="767"/>
      <c r="F18" s="767"/>
      <c r="G18" s="768"/>
      <c r="H18" s="518" t="s">
        <v>591</v>
      </c>
      <c r="I18" s="772"/>
      <c r="J18" s="186"/>
      <c r="K18" s="773" t="s">
        <v>74</v>
      </c>
      <c r="L18" s="660"/>
      <c r="M18" s="660"/>
      <c r="N18" s="660"/>
      <c r="O18" s="660"/>
      <c r="P18" s="660"/>
      <c r="Q18" s="277"/>
      <c r="R18" s="793" t="s">
        <v>70</v>
      </c>
      <c r="S18" s="794"/>
      <c r="T18" s="795"/>
      <c r="U18" s="665" t="s">
        <v>1054</v>
      </c>
      <c r="V18" s="859"/>
      <c r="W18" s="859"/>
      <c r="X18" s="859"/>
      <c r="Y18" s="859"/>
      <c r="Z18" s="859"/>
      <c r="AA18" s="859"/>
      <c r="AB18" s="859"/>
      <c r="AC18" s="859"/>
      <c r="AD18" s="859"/>
      <c r="AE18" s="859"/>
      <c r="AF18" s="859"/>
      <c r="AG18" s="859"/>
      <c r="AH18" s="859"/>
      <c r="AI18" s="859"/>
      <c r="AJ18" s="859"/>
      <c r="AK18" s="859"/>
      <c r="AL18" s="859"/>
      <c r="AM18" s="859"/>
      <c r="AN18" s="859"/>
      <c r="AO18" s="859"/>
      <c r="AP18" s="859"/>
      <c r="AQ18" s="859"/>
      <c r="AR18" s="859"/>
      <c r="AS18" s="859"/>
      <c r="AT18" s="859"/>
      <c r="AU18" s="859"/>
      <c r="AV18" s="859"/>
      <c r="AW18" s="859"/>
      <c r="AX18" s="859"/>
      <c r="AY18" s="860"/>
      <c r="AZ18" s="275"/>
      <c r="BE18" s="10"/>
      <c r="BK18" s="6"/>
      <c r="BL18" s="116"/>
      <c r="BM18" s="116"/>
      <c r="BN18" s="116"/>
      <c r="BO18" s="116"/>
      <c r="BP18" s="116"/>
      <c r="BQ18" s="116"/>
    </row>
    <row r="19" spans="1:76" ht="13.5" customHeight="1">
      <c r="A19" s="5"/>
      <c r="B19" s="855" t="s">
        <v>75</v>
      </c>
      <c r="C19" s="840"/>
      <c r="D19" s="840"/>
      <c r="E19" s="840"/>
      <c r="F19" s="840"/>
      <c r="G19" s="841"/>
      <c r="H19" s="817" t="s">
        <v>76</v>
      </c>
      <c r="I19" s="818"/>
      <c r="J19" s="818"/>
      <c r="K19" s="818"/>
      <c r="L19" s="197"/>
      <c r="M19" s="197"/>
      <c r="N19" s="197"/>
      <c r="O19" s="197"/>
      <c r="P19" s="197"/>
      <c r="Q19" s="198"/>
      <c r="R19" s="198"/>
      <c r="S19" s="198"/>
      <c r="T19" s="198"/>
      <c r="U19" s="198"/>
      <c r="V19" s="835" t="s">
        <v>77</v>
      </c>
      <c r="W19" s="836"/>
      <c r="X19" s="836"/>
      <c r="Y19" s="836"/>
      <c r="Z19" s="836"/>
      <c r="AA19" s="836"/>
      <c r="AB19" s="836"/>
      <c r="AC19" s="836"/>
      <c r="AD19" s="836"/>
      <c r="AE19" s="836"/>
      <c r="AF19" s="836"/>
      <c r="AG19" s="836"/>
      <c r="AH19" s="836"/>
      <c r="AI19" s="836"/>
      <c r="AJ19" s="836"/>
      <c r="AK19" s="836"/>
      <c r="AL19" s="836"/>
      <c r="AM19" s="836"/>
      <c r="AN19" s="836"/>
      <c r="AO19" s="836"/>
      <c r="AP19" s="836"/>
      <c r="AQ19" s="836"/>
      <c r="AR19" s="836"/>
      <c r="AS19" s="836"/>
      <c r="AT19" s="836"/>
      <c r="AU19" s="836"/>
      <c r="AV19" s="836"/>
      <c r="AW19" s="836"/>
      <c r="AX19" s="836"/>
      <c r="AY19" s="837"/>
      <c r="AZ19" s="5"/>
      <c r="BD19" s="10"/>
      <c r="BK19" s="116"/>
      <c r="BL19" s="116"/>
      <c r="BM19" s="116"/>
      <c r="BN19" s="116"/>
      <c r="BO19" s="116"/>
      <c r="BP19" s="116"/>
    </row>
    <row r="20" spans="1:76" ht="13.5" customHeight="1">
      <c r="A20" s="5"/>
      <c r="B20" s="856" t="s">
        <v>746</v>
      </c>
      <c r="C20" s="694" t="s">
        <v>78</v>
      </c>
      <c r="D20" s="694"/>
      <c r="E20" s="694"/>
      <c r="F20" s="694"/>
      <c r="G20" s="695"/>
      <c r="H20" s="819" t="s">
        <v>1057</v>
      </c>
      <c r="I20" s="820"/>
      <c r="J20" s="820"/>
      <c r="K20" s="820"/>
      <c r="L20" s="821"/>
      <c r="M20" s="821"/>
      <c r="N20" s="821"/>
      <c r="O20" s="821"/>
      <c r="P20" s="821"/>
      <c r="Q20" s="821"/>
      <c r="R20" s="821"/>
      <c r="S20" s="821"/>
      <c r="T20" s="821"/>
      <c r="U20" s="821"/>
      <c r="V20" s="822"/>
      <c r="W20" s="827" t="s">
        <v>1</v>
      </c>
      <c r="X20" s="827"/>
      <c r="Y20" s="827"/>
      <c r="Z20" s="827"/>
      <c r="AA20" s="827"/>
      <c r="AB20" s="827"/>
      <c r="AC20" s="758" t="s">
        <v>59</v>
      </c>
      <c r="AD20" s="758"/>
      <c r="AE20" s="758"/>
      <c r="AF20" s="785" t="s">
        <v>1061</v>
      </c>
      <c r="AG20" s="759"/>
      <c r="AH20" s="759"/>
      <c r="AI20" s="759"/>
      <c r="AJ20" s="759"/>
      <c r="AK20" s="759"/>
      <c r="AL20" s="759"/>
      <c r="AM20" s="759"/>
      <c r="AN20" s="759"/>
      <c r="AO20" s="759"/>
      <c r="AP20" s="759"/>
      <c r="AQ20" s="759"/>
      <c r="AR20" s="759"/>
      <c r="AS20" s="759"/>
      <c r="AT20" s="759"/>
      <c r="AU20" s="759"/>
      <c r="AV20" s="759"/>
      <c r="AW20" s="759"/>
      <c r="AX20" s="759"/>
      <c r="AY20" s="760"/>
      <c r="AZ20" s="5"/>
    </row>
    <row r="21" spans="1:76">
      <c r="A21" s="5"/>
      <c r="B21" s="857"/>
      <c r="C21" s="696"/>
      <c r="D21" s="696"/>
      <c r="E21" s="696"/>
      <c r="F21" s="696"/>
      <c r="G21" s="697"/>
      <c r="H21" s="605"/>
      <c r="I21" s="821"/>
      <c r="J21" s="821"/>
      <c r="K21" s="821"/>
      <c r="L21" s="821"/>
      <c r="M21" s="821"/>
      <c r="N21" s="821"/>
      <c r="O21" s="821"/>
      <c r="P21" s="821"/>
      <c r="Q21" s="821"/>
      <c r="R21" s="821"/>
      <c r="S21" s="821"/>
      <c r="T21" s="821"/>
      <c r="U21" s="821"/>
      <c r="V21" s="823"/>
      <c r="W21" s="827"/>
      <c r="X21" s="827"/>
      <c r="Y21" s="827"/>
      <c r="Z21" s="827"/>
      <c r="AA21" s="827"/>
      <c r="AB21" s="827"/>
      <c r="AC21" s="543" t="s">
        <v>1058</v>
      </c>
      <c r="AD21" s="828"/>
      <c r="AE21" s="828"/>
      <c r="AF21" s="828"/>
      <c r="AG21" s="828"/>
      <c r="AH21" s="828"/>
      <c r="AI21" s="828"/>
      <c r="AJ21" s="828"/>
      <c r="AK21" s="828"/>
      <c r="AL21" s="828"/>
      <c r="AM21" s="828"/>
      <c r="AN21" s="828"/>
      <c r="AO21" s="828"/>
      <c r="AP21" s="828"/>
      <c r="AQ21" s="828"/>
      <c r="AR21" s="828"/>
      <c r="AS21" s="828"/>
      <c r="AT21" s="828"/>
      <c r="AU21" s="828"/>
      <c r="AV21" s="828"/>
      <c r="AW21" s="828"/>
      <c r="AX21" s="828"/>
      <c r="AY21" s="829"/>
      <c r="AZ21" s="5"/>
    </row>
    <row r="22" spans="1:76" ht="12.75" customHeight="1">
      <c r="A22" s="5"/>
      <c r="B22" s="857"/>
      <c r="C22" s="724"/>
      <c r="D22" s="724"/>
      <c r="E22" s="724"/>
      <c r="F22" s="724"/>
      <c r="G22" s="725"/>
      <c r="H22" s="824"/>
      <c r="I22" s="825"/>
      <c r="J22" s="825"/>
      <c r="K22" s="825"/>
      <c r="L22" s="825"/>
      <c r="M22" s="825"/>
      <c r="N22" s="825"/>
      <c r="O22" s="825"/>
      <c r="P22" s="825"/>
      <c r="Q22" s="825"/>
      <c r="R22" s="825"/>
      <c r="S22" s="825"/>
      <c r="T22" s="825"/>
      <c r="U22" s="825"/>
      <c r="V22" s="826"/>
      <c r="W22" s="827"/>
      <c r="X22" s="827"/>
      <c r="Y22" s="827"/>
      <c r="Z22" s="827"/>
      <c r="AA22" s="827"/>
      <c r="AB22" s="827"/>
      <c r="AC22" s="830"/>
      <c r="AD22" s="831"/>
      <c r="AE22" s="831"/>
      <c r="AF22" s="831"/>
      <c r="AG22" s="831"/>
      <c r="AH22" s="831"/>
      <c r="AI22" s="831"/>
      <c r="AJ22" s="831"/>
      <c r="AK22" s="831"/>
      <c r="AL22" s="831"/>
      <c r="AM22" s="831"/>
      <c r="AN22" s="831"/>
      <c r="AO22" s="831"/>
      <c r="AP22" s="831"/>
      <c r="AQ22" s="831"/>
      <c r="AR22" s="831"/>
      <c r="AS22" s="831"/>
      <c r="AT22" s="831"/>
      <c r="AU22" s="831"/>
      <c r="AV22" s="831"/>
      <c r="AW22" s="831"/>
      <c r="AX22" s="831"/>
      <c r="AY22" s="832"/>
      <c r="AZ22" s="5"/>
    </row>
    <row r="23" spans="1:76" ht="18" customHeight="1">
      <c r="A23" s="5"/>
      <c r="B23" s="857"/>
      <c r="C23" s="842" t="s">
        <v>79</v>
      </c>
      <c r="D23" s="842"/>
      <c r="E23" s="842"/>
      <c r="F23" s="842"/>
      <c r="G23" s="843"/>
      <c r="H23" s="119"/>
      <c r="I23" s="120"/>
      <c r="J23" s="120"/>
      <c r="K23" s="120"/>
      <c r="L23" s="120"/>
      <c r="M23" s="120"/>
      <c r="N23" s="120"/>
      <c r="O23" s="120"/>
      <c r="P23" s="120"/>
      <c r="Q23" s="120"/>
      <c r="R23" s="120"/>
      <c r="S23" s="120"/>
      <c r="T23" s="120"/>
      <c r="U23" s="120"/>
      <c r="V23" s="124"/>
      <c r="W23" s="848" t="s">
        <v>747</v>
      </c>
      <c r="X23" s="849"/>
      <c r="Y23" s="849"/>
      <c r="Z23" s="849"/>
      <c r="AA23" s="849"/>
      <c r="AB23" s="849"/>
      <c r="AC23" s="849"/>
      <c r="AD23" s="849"/>
      <c r="AE23" s="849"/>
      <c r="AF23" s="849"/>
      <c r="AG23" s="849"/>
      <c r="AH23" s="849"/>
      <c r="AI23" s="849"/>
      <c r="AJ23" s="849"/>
      <c r="AK23" s="849"/>
      <c r="AL23" s="849"/>
      <c r="AM23" s="849"/>
      <c r="AN23" s="849"/>
      <c r="AO23" s="849"/>
      <c r="AP23" s="849"/>
      <c r="AQ23" s="849"/>
      <c r="AR23" s="849"/>
      <c r="AS23" s="849"/>
      <c r="AT23" s="849"/>
      <c r="AU23" s="849"/>
      <c r="AV23" s="849"/>
      <c r="AW23" s="849"/>
      <c r="AX23" s="849"/>
      <c r="AY23" s="850"/>
      <c r="AZ23" s="5"/>
    </row>
    <row r="24" spans="1:76" ht="18" customHeight="1">
      <c r="A24" s="5"/>
      <c r="B24" s="857"/>
      <c r="C24" s="844"/>
      <c r="D24" s="844"/>
      <c r="E24" s="844"/>
      <c r="F24" s="844"/>
      <c r="G24" s="845"/>
      <c r="H24" s="111" t="s">
        <v>80</v>
      </c>
      <c r="I24" s="603" t="s">
        <v>1062</v>
      </c>
      <c r="J24" s="603"/>
      <c r="K24" s="603"/>
      <c r="L24" s="112" t="s">
        <v>81</v>
      </c>
      <c r="M24" s="603" t="s">
        <v>1063</v>
      </c>
      <c r="N24" s="603"/>
      <c r="O24" s="603"/>
      <c r="P24" s="603"/>
      <c r="Q24" s="112" t="s">
        <v>82</v>
      </c>
      <c r="R24" s="603" t="s">
        <v>1064</v>
      </c>
      <c r="S24" s="603"/>
      <c r="T24" s="603"/>
      <c r="U24" s="603"/>
      <c r="V24" s="604"/>
      <c r="W24" s="851"/>
      <c r="X24" s="852"/>
      <c r="Y24" s="852"/>
      <c r="Z24" s="852"/>
      <c r="AA24" s="852"/>
      <c r="AB24" s="852"/>
      <c r="AC24" s="852"/>
      <c r="AD24" s="852"/>
      <c r="AE24" s="852"/>
      <c r="AF24" s="852"/>
      <c r="AG24" s="852"/>
      <c r="AH24" s="852"/>
      <c r="AI24" s="852"/>
      <c r="AJ24" s="852"/>
      <c r="AK24" s="852"/>
      <c r="AL24" s="852"/>
      <c r="AM24" s="852"/>
      <c r="AN24" s="852"/>
      <c r="AO24" s="852"/>
      <c r="AP24" s="852"/>
      <c r="AQ24" s="852"/>
      <c r="AR24" s="852"/>
      <c r="AS24" s="852"/>
      <c r="AT24" s="852"/>
      <c r="AU24" s="852"/>
      <c r="AV24" s="852"/>
      <c r="AW24" s="852"/>
      <c r="AX24" s="852"/>
      <c r="AY24" s="853"/>
      <c r="AZ24" s="5"/>
    </row>
    <row r="25" spans="1:76" ht="18" customHeight="1">
      <c r="A25" s="5"/>
      <c r="B25" s="857"/>
      <c r="C25" s="846"/>
      <c r="D25" s="846"/>
      <c r="E25" s="846"/>
      <c r="F25" s="846"/>
      <c r="G25" s="847"/>
      <c r="H25" s="121"/>
      <c r="I25" s="122"/>
      <c r="J25" s="122"/>
      <c r="K25" s="854"/>
      <c r="L25" s="854"/>
      <c r="M25" s="854"/>
      <c r="N25" s="854"/>
      <c r="O25" s="854"/>
      <c r="P25" s="854"/>
      <c r="Q25" s="854"/>
      <c r="R25" s="854"/>
      <c r="S25" s="854"/>
      <c r="T25" s="122"/>
      <c r="U25" s="122"/>
      <c r="V25" s="123"/>
      <c r="W25" s="851"/>
      <c r="X25" s="852"/>
      <c r="Y25" s="852"/>
      <c r="Z25" s="852"/>
      <c r="AA25" s="852"/>
      <c r="AB25" s="852"/>
      <c r="AC25" s="852"/>
      <c r="AD25" s="852"/>
      <c r="AE25" s="852"/>
      <c r="AF25" s="852"/>
      <c r="AG25" s="852"/>
      <c r="AH25" s="852"/>
      <c r="AI25" s="852"/>
      <c r="AJ25" s="852"/>
      <c r="AK25" s="852"/>
      <c r="AL25" s="852"/>
      <c r="AM25" s="852"/>
      <c r="AN25" s="852"/>
      <c r="AO25" s="852"/>
      <c r="AP25" s="852"/>
      <c r="AQ25" s="852"/>
      <c r="AR25" s="852"/>
      <c r="AS25" s="852"/>
      <c r="AT25" s="852"/>
      <c r="AU25" s="852"/>
      <c r="AV25" s="852"/>
      <c r="AW25" s="852"/>
      <c r="AX25" s="852"/>
      <c r="AY25" s="853"/>
      <c r="AZ25" s="5"/>
    </row>
    <row r="26" spans="1:76" ht="18" customHeight="1">
      <c r="A26" s="5"/>
      <c r="B26" s="857"/>
      <c r="C26" s="842" t="s">
        <v>83</v>
      </c>
      <c r="D26" s="842"/>
      <c r="E26" s="842"/>
      <c r="F26" s="842"/>
      <c r="G26" s="843"/>
      <c r="H26" s="119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4"/>
      <c r="W26" s="851"/>
      <c r="X26" s="852"/>
      <c r="Y26" s="852"/>
      <c r="Z26" s="852"/>
      <c r="AA26" s="852"/>
      <c r="AB26" s="852"/>
      <c r="AC26" s="852"/>
      <c r="AD26" s="852"/>
      <c r="AE26" s="852"/>
      <c r="AF26" s="852"/>
      <c r="AG26" s="852"/>
      <c r="AH26" s="852"/>
      <c r="AI26" s="852"/>
      <c r="AJ26" s="852"/>
      <c r="AK26" s="852"/>
      <c r="AL26" s="852"/>
      <c r="AM26" s="852"/>
      <c r="AN26" s="852"/>
      <c r="AO26" s="852"/>
      <c r="AP26" s="852"/>
      <c r="AQ26" s="852"/>
      <c r="AR26" s="852"/>
      <c r="AS26" s="852"/>
      <c r="AT26" s="852"/>
      <c r="AU26" s="852"/>
      <c r="AV26" s="852"/>
      <c r="AW26" s="852"/>
      <c r="AX26" s="852"/>
      <c r="AY26" s="853"/>
      <c r="AZ26" s="5"/>
    </row>
    <row r="27" spans="1:76" ht="18" customHeight="1">
      <c r="A27" s="5"/>
      <c r="B27" s="857"/>
      <c r="C27" s="844"/>
      <c r="D27" s="844"/>
      <c r="E27" s="844"/>
      <c r="F27" s="844"/>
      <c r="G27" s="845"/>
      <c r="H27" s="111" t="s">
        <v>80</v>
      </c>
      <c r="I27" s="603" t="s">
        <v>1065</v>
      </c>
      <c r="J27" s="712"/>
      <c r="K27" s="712"/>
      <c r="L27" s="112" t="s">
        <v>81</v>
      </c>
      <c r="M27" s="603" t="s">
        <v>1066</v>
      </c>
      <c r="N27" s="603"/>
      <c r="O27" s="603"/>
      <c r="P27" s="603"/>
      <c r="Q27" s="112" t="s">
        <v>82</v>
      </c>
      <c r="R27" s="603" t="s">
        <v>1067</v>
      </c>
      <c r="S27" s="603"/>
      <c r="T27" s="603"/>
      <c r="U27" s="603"/>
      <c r="V27" s="604"/>
      <c r="W27" s="851"/>
      <c r="X27" s="852"/>
      <c r="Y27" s="852"/>
      <c r="Z27" s="852"/>
      <c r="AA27" s="852"/>
      <c r="AB27" s="852"/>
      <c r="AC27" s="852"/>
      <c r="AD27" s="852"/>
      <c r="AE27" s="852"/>
      <c r="AF27" s="852"/>
      <c r="AG27" s="852"/>
      <c r="AH27" s="852"/>
      <c r="AI27" s="852"/>
      <c r="AJ27" s="852"/>
      <c r="AK27" s="852"/>
      <c r="AL27" s="852"/>
      <c r="AM27" s="852"/>
      <c r="AN27" s="852"/>
      <c r="AO27" s="852"/>
      <c r="AP27" s="852"/>
      <c r="AQ27" s="852"/>
      <c r="AR27" s="852"/>
      <c r="AS27" s="852"/>
      <c r="AT27" s="852"/>
      <c r="AU27" s="852"/>
      <c r="AV27" s="852"/>
      <c r="AW27" s="852"/>
      <c r="AX27" s="852"/>
      <c r="AY27" s="853"/>
      <c r="AZ27" s="5"/>
    </row>
    <row r="28" spans="1:76" ht="18" customHeight="1">
      <c r="A28" s="5"/>
      <c r="B28" s="857"/>
      <c r="C28" s="844"/>
      <c r="D28" s="844"/>
      <c r="E28" s="844"/>
      <c r="F28" s="844"/>
      <c r="G28" s="845"/>
      <c r="H28" s="111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3"/>
      <c r="W28" s="851"/>
      <c r="X28" s="852"/>
      <c r="Y28" s="852"/>
      <c r="Z28" s="852"/>
      <c r="AA28" s="852"/>
      <c r="AB28" s="852"/>
      <c r="AC28" s="852"/>
      <c r="AD28" s="852"/>
      <c r="AE28" s="852"/>
      <c r="AF28" s="852"/>
      <c r="AG28" s="852"/>
      <c r="AH28" s="852"/>
      <c r="AI28" s="852"/>
      <c r="AJ28" s="852"/>
      <c r="AK28" s="852"/>
      <c r="AL28" s="852"/>
      <c r="AM28" s="852"/>
      <c r="AN28" s="852"/>
      <c r="AO28" s="852"/>
      <c r="AP28" s="852"/>
      <c r="AQ28" s="852"/>
      <c r="AR28" s="852"/>
      <c r="AS28" s="852"/>
      <c r="AT28" s="852"/>
      <c r="AU28" s="852"/>
      <c r="AV28" s="852"/>
      <c r="AW28" s="852"/>
      <c r="AX28" s="852"/>
      <c r="AY28" s="853"/>
      <c r="AZ28" s="5"/>
    </row>
    <row r="29" spans="1:76" ht="18" customHeight="1">
      <c r="A29" s="5"/>
      <c r="B29" s="858"/>
      <c r="C29" s="726" t="s">
        <v>84</v>
      </c>
      <c r="D29" s="727"/>
      <c r="E29" s="727"/>
      <c r="F29" s="727"/>
      <c r="G29" s="727"/>
      <c r="H29" s="833" t="s">
        <v>1068</v>
      </c>
      <c r="I29" s="834"/>
      <c r="J29" s="834"/>
      <c r="K29" s="834"/>
      <c r="L29" s="834"/>
      <c r="M29" s="834"/>
      <c r="N29" s="834"/>
      <c r="O29" s="834"/>
      <c r="P29" s="834"/>
      <c r="Q29" s="834"/>
      <c r="R29" s="834"/>
      <c r="S29" s="834"/>
      <c r="T29" s="834"/>
      <c r="U29" s="834"/>
      <c r="V29" s="834"/>
      <c r="W29" s="834"/>
      <c r="X29" s="834"/>
      <c r="Y29" s="834"/>
      <c r="Z29" s="834"/>
      <c r="AA29" s="12" t="s">
        <v>85</v>
      </c>
      <c r="AB29" s="834" t="s">
        <v>1069</v>
      </c>
      <c r="AC29" s="834"/>
      <c r="AD29" s="834"/>
      <c r="AE29" s="834"/>
      <c r="AF29" s="834"/>
      <c r="AG29" s="834"/>
      <c r="AH29" s="834"/>
      <c r="AI29" s="834"/>
      <c r="AJ29" s="834"/>
      <c r="AK29" s="834"/>
      <c r="AL29" s="834"/>
      <c r="AM29" s="834"/>
      <c r="AN29" s="834"/>
      <c r="AO29" s="834"/>
      <c r="AP29" s="834"/>
      <c r="AQ29" s="834"/>
      <c r="AR29" s="834"/>
      <c r="AS29" s="834"/>
      <c r="AT29" s="834"/>
      <c r="AU29" s="834"/>
      <c r="AV29" s="834"/>
      <c r="AW29" s="834"/>
      <c r="AX29" s="834"/>
      <c r="AY29" s="834"/>
      <c r="AZ29" s="5"/>
    </row>
    <row r="30" spans="1:76" s="7" customFormat="1" ht="13.5" customHeight="1">
      <c r="A30" s="273"/>
      <c r="B30" s="838"/>
      <c r="C30" s="839"/>
      <c r="D30" s="839"/>
      <c r="E30" s="839"/>
      <c r="F30" s="839"/>
      <c r="G30" s="839"/>
      <c r="H30" s="839"/>
      <c r="I30" s="839"/>
      <c r="J30" s="839"/>
      <c r="K30" s="839"/>
      <c r="L30" s="839"/>
      <c r="M30" s="839"/>
      <c r="N30" s="839"/>
      <c r="O30" s="839"/>
      <c r="P30" s="839"/>
      <c r="Q30" s="839"/>
      <c r="R30" s="839"/>
      <c r="S30" s="839"/>
      <c r="T30" s="839"/>
      <c r="U30" s="839"/>
      <c r="V30" s="839"/>
      <c r="W30" s="839"/>
      <c r="X30" s="839"/>
      <c r="Y30" s="839"/>
      <c r="Z30" s="839"/>
      <c r="AA30" s="839"/>
      <c r="AB30" s="839"/>
      <c r="AC30" s="839"/>
      <c r="AD30" s="839"/>
      <c r="AE30" s="839"/>
      <c r="AF30" s="839"/>
      <c r="AG30" s="839"/>
      <c r="AH30" s="839"/>
      <c r="AI30" s="839"/>
      <c r="AJ30" s="839"/>
      <c r="AK30" s="839"/>
      <c r="AL30" s="839"/>
      <c r="AM30" s="839"/>
      <c r="AN30" s="839"/>
      <c r="AO30" s="839"/>
      <c r="AP30" s="839"/>
      <c r="AQ30" s="839"/>
      <c r="AR30" s="839"/>
      <c r="AS30" s="839"/>
      <c r="AT30" s="839"/>
      <c r="AU30" s="839"/>
      <c r="AV30" s="839"/>
      <c r="AW30" s="839"/>
      <c r="AX30" s="839"/>
      <c r="AY30" s="839"/>
      <c r="AZ30" s="270"/>
      <c r="BK30" s="8"/>
    </row>
    <row r="31" spans="1:76" s="10" customFormat="1" ht="13.5" customHeight="1">
      <c r="A31" s="260"/>
      <c r="B31" s="259" t="s">
        <v>86</v>
      </c>
      <c r="C31" s="260"/>
      <c r="D31" s="260"/>
      <c r="E31" s="260"/>
      <c r="F31" s="260"/>
      <c r="G31" s="261" t="s">
        <v>87</v>
      </c>
      <c r="H31" s="260"/>
      <c r="I31" s="260"/>
      <c r="J31" s="260"/>
      <c r="K31" s="260"/>
      <c r="L31" s="260"/>
      <c r="M31" s="260"/>
      <c r="N31" s="260"/>
      <c r="O31" s="260"/>
      <c r="P31" s="260"/>
      <c r="Q31" s="260"/>
      <c r="R31" s="260"/>
      <c r="S31" s="260"/>
      <c r="T31" s="260"/>
      <c r="U31" s="260"/>
      <c r="V31" s="260"/>
      <c r="W31" s="260"/>
      <c r="X31" s="260"/>
      <c r="Y31" s="260"/>
      <c r="Z31" s="260"/>
      <c r="AA31" s="260"/>
      <c r="AB31" s="260"/>
      <c r="AC31" s="260"/>
      <c r="AD31" s="260"/>
      <c r="AE31" s="260"/>
      <c r="AF31" s="260"/>
      <c r="AG31" s="260"/>
      <c r="AH31" s="260"/>
      <c r="AI31" s="260"/>
      <c r="AJ31" s="260"/>
      <c r="AK31" s="260"/>
      <c r="AL31" s="260"/>
      <c r="AM31" s="260"/>
      <c r="AN31" s="260"/>
      <c r="AO31" s="260"/>
      <c r="AP31" s="260"/>
      <c r="AQ31" s="260"/>
      <c r="AR31" s="260"/>
      <c r="AS31" s="260"/>
      <c r="AT31" s="260"/>
      <c r="AU31" s="260"/>
      <c r="AV31" s="260"/>
      <c r="AW31" s="260"/>
      <c r="AX31" s="260"/>
      <c r="AY31" s="260"/>
      <c r="AZ31" s="274"/>
      <c r="BC31" s="13"/>
      <c r="BK31" s="15"/>
      <c r="BX31" s="13"/>
    </row>
    <row r="32" spans="1:76" ht="24" customHeight="1">
      <c r="A32" s="272"/>
      <c r="B32" s="840" t="s">
        <v>88</v>
      </c>
      <c r="C32" s="840"/>
      <c r="D32" s="840"/>
      <c r="E32" s="840"/>
      <c r="F32" s="840"/>
      <c r="G32" s="841"/>
      <c r="H32" s="193"/>
      <c r="I32" s="192" t="s">
        <v>774</v>
      </c>
      <c r="J32" s="184" t="s">
        <v>89</v>
      </c>
      <c r="K32" s="184"/>
      <c r="L32" s="400"/>
      <c r="M32" s="728" t="s">
        <v>734</v>
      </c>
      <c r="N32" s="729"/>
      <c r="O32" s="729"/>
      <c r="P32" s="729"/>
      <c r="Q32" s="729"/>
      <c r="R32" s="729"/>
      <c r="S32" s="729"/>
      <c r="T32" s="729"/>
      <c r="U32" s="729"/>
      <c r="V32" s="729"/>
      <c r="W32" s="730"/>
      <c r="X32" s="713" t="s">
        <v>68</v>
      </c>
      <c r="Y32" s="731"/>
      <c r="Z32" s="732" t="s">
        <v>90</v>
      </c>
      <c r="AA32" s="715"/>
      <c r="AB32" s="715"/>
      <c r="AC32" s="715"/>
      <c r="AD32" s="715"/>
      <c r="AE32" s="733"/>
      <c r="AF32" s="713" t="s">
        <v>1056</v>
      </c>
      <c r="AG32" s="714"/>
      <c r="AH32" s="715" t="s">
        <v>735</v>
      </c>
      <c r="AI32" s="715"/>
      <c r="AJ32" s="715"/>
      <c r="AK32" s="715"/>
      <c r="AL32" s="715"/>
      <c r="AM32" s="715"/>
      <c r="AN32" s="716"/>
      <c r="AO32" s="717"/>
      <c r="AP32" s="717"/>
      <c r="AQ32" s="717"/>
      <c r="AR32" s="717"/>
      <c r="AS32" s="717"/>
      <c r="AT32" s="717"/>
      <c r="AU32" s="717"/>
      <c r="AV32" s="717"/>
      <c r="AW32" s="717"/>
      <c r="AX32" s="717"/>
      <c r="AY32" s="718"/>
      <c r="AZ32" s="5"/>
    </row>
    <row r="33" spans="1:75" ht="26.25" hidden="1" customHeight="1">
      <c r="A33" s="272"/>
      <c r="B33" s="871" t="s">
        <v>161</v>
      </c>
      <c r="C33" s="840"/>
      <c r="D33" s="840"/>
      <c r="E33" s="840"/>
      <c r="F33" s="840"/>
      <c r="G33" s="841"/>
      <c r="H33" s="872" t="s">
        <v>1045</v>
      </c>
      <c r="I33" s="873"/>
      <c r="J33" s="873"/>
      <c r="K33" s="873"/>
      <c r="L33" s="874"/>
      <c r="M33" s="824"/>
      <c r="N33" s="825"/>
      <c r="O33" s="825"/>
      <c r="P33" s="825"/>
      <c r="Q33" s="825"/>
      <c r="R33" s="825"/>
      <c r="S33" s="825"/>
      <c r="T33" s="825"/>
      <c r="U33" s="825"/>
      <c r="V33" s="825"/>
      <c r="W33" s="825"/>
      <c r="X33" s="825"/>
      <c r="Y33" s="825"/>
      <c r="Z33" s="825"/>
      <c r="AA33" s="825"/>
      <c r="AB33" s="825"/>
      <c r="AC33" s="825"/>
      <c r="AD33" s="825"/>
      <c r="AE33" s="825"/>
      <c r="AF33" s="398"/>
      <c r="AG33" s="396"/>
      <c r="AH33" s="396"/>
      <c r="AI33" s="396"/>
      <c r="AJ33" s="397"/>
      <c r="AK33" s="397"/>
      <c r="AL33" s="397"/>
      <c r="AM33" s="397"/>
      <c r="AN33" s="397"/>
      <c r="AO33" s="397"/>
      <c r="AP33" s="397"/>
      <c r="AQ33" s="397"/>
      <c r="AR33" s="397"/>
      <c r="AS33" s="397"/>
      <c r="AT33" s="397"/>
      <c r="AU33" s="397"/>
      <c r="AV33" s="397"/>
      <c r="AW33" s="397"/>
      <c r="AX33" s="397"/>
      <c r="AY33" s="399"/>
      <c r="AZ33" s="5"/>
    </row>
    <row r="34" spans="1:75" ht="26.25" hidden="1" customHeight="1">
      <c r="A34" s="272"/>
      <c r="B34" s="224"/>
      <c r="C34" s="224"/>
      <c r="D34" s="224"/>
      <c r="E34" s="224"/>
      <c r="F34" s="224"/>
      <c r="G34" s="225"/>
      <c r="H34" s="193"/>
      <c r="I34" s="226"/>
      <c r="J34" s="184"/>
      <c r="K34" s="184"/>
      <c r="L34" s="282"/>
      <c r="M34" s="238" t="s">
        <v>68</v>
      </c>
      <c r="N34" s="238"/>
      <c r="O34" s="238"/>
      <c r="P34" s="238"/>
      <c r="Q34" s="238"/>
      <c r="R34" s="238"/>
      <c r="S34" s="238"/>
      <c r="T34" s="238"/>
      <c r="U34" s="238" t="s">
        <v>68</v>
      </c>
      <c r="V34" s="238"/>
      <c r="W34" s="238"/>
      <c r="X34" s="280"/>
      <c r="Y34" s="280"/>
      <c r="Z34" s="229"/>
      <c r="AA34" s="229"/>
      <c r="AB34" s="229"/>
      <c r="AC34" s="229"/>
      <c r="AD34" s="229"/>
      <c r="AE34" s="229"/>
      <c r="AF34" s="280"/>
      <c r="AG34" s="280"/>
      <c r="AH34" s="239"/>
      <c r="AI34" s="228"/>
      <c r="AJ34" s="228"/>
      <c r="AK34" s="228"/>
      <c r="AL34" s="228"/>
      <c r="AM34" s="228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83"/>
      <c r="AZ34" s="5"/>
    </row>
    <row r="35" spans="1:75" s="7" customFormat="1" ht="26.4" hidden="1" customHeight="1">
      <c r="A35" s="271"/>
      <c r="B35" s="694" t="s">
        <v>91</v>
      </c>
      <c r="C35" s="694"/>
      <c r="D35" s="694"/>
      <c r="E35" s="694"/>
      <c r="F35" s="694"/>
      <c r="G35" s="695"/>
      <c r="H35" s="1086" t="s">
        <v>68</v>
      </c>
      <c r="I35" s="702"/>
      <c r="J35" s="702"/>
      <c r="K35" s="702"/>
      <c r="L35" s="690" t="s">
        <v>92</v>
      </c>
      <c r="M35" s="691"/>
      <c r="N35" s="691"/>
      <c r="O35" s="691"/>
      <c r="P35" s="691"/>
      <c r="Q35" s="691"/>
      <c r="R35" s="691"/>
      <c r="S35" s="691"/>
      <c r="T35" s="691"/>
      <c r="U35" s="691"/>
      <c r="V35" s="284" t="s">
        <v>93</v>
      </c>
      <c r="W35" s="1087"/>
      <c r="X35" s="693"/>
      <c r="Y35" s="719" t="s">
        <v>94</v>
      </c>
      <c r="Z35" s="720"/>
      <c r="AA35" s="720"/>
      <c r="AB35" s="720"/>
      <c r="AC35" s="721"/>
      <c r="AD35" s="1090" t="s">
        <v>68</v>
      </c>
      <c r="AE35" s="722"/>
      <c r="AF35" s="722"/>
      <c r="AG35" s="722"/>
      <c r="AH35" s="690" t="s">
        <v>95</v>
      </c>
      <c r="AI35" s="690"/>
      <c r="AJ35" s="690"/>
      <c r="AK35" s="690"/>
      <c r="AL35" s="690"/>
      <c r="AM35" s="690"/>
      <c r="AN35" s="691"/>
      <c r="AO35" s="691"/>
      <c r="AP35" s="691"/>
      <c r="AQ35" s="284" t="s">
        <v>96</v>
      </c>
      <c r="AR35" s="1087"/>
      <c r="AS35" s="693"/>
      <c r="AT35" s="719" t="s">
        <v>94</v>
      </c>
      <c r="AU35" s="720"/>
      <c r="AV35" s="720"/>
      <c r="AW35" s="720"/>
      <c r="AX35" s="720"/>
      <c r="AY35" s="723"/>
      <c r="AZ35" s="270"/>
      <c r="BK35" s="8"/>
    </row>
    <row r="36" spans="1:75" s="7" customFormat="1" ht="26.25" customHeight="1">
      <c r="A36" s="271"/>
      <c r="B36" s="696"/>
      <c r="C36" s="696"/>
      <c r="D36" s="696"/>
      <c r="E36" s="696"/>
      <c r="F36" s="696"/>
      <c r="G36" s="697"/>
      <c r="H36" s="1088" t="s">
        <v>68</v>
      </c>
      <c r="I36" s="710"/>
      <c r="J36" s="710"/>
      <c r="K36" s="710"/>
      <c r="L36" s="711" t="s">
        <v>97</v>
      </c>
      <c r="M36" s="711"/>
      <c r="N36" s="711"/>
      <c r="O36" s="711"/>
      <c r="P36" s="711"/>
      <c r="Q36" s="711"/>
      <c r="R36" s="711"/>
      <c r="S36" s="711"/>
      <c r="T36" s="711"/>
      <c r="U36" s="711"/>
      <c r="V36" s="190" t="s">
        <v>98</v>
      </c>
      <c r="W36" s="1088"/>
      <c r="X36" s="700"/>
      <c r="Y36" s="687" t="s">
        <v>94</v>
      </c>
      <c r="Z36" s="688"/>
      <c r="AA36" s="688"/>
      <c r="AB36" s="688"/>
      <c r="AC36" s="689"/>
      <c r="AD36" s="1088" t="s">
        <v>774</v>
      </c>
      <c r="AE36" s="710"/>
      <c r="AF36" s="710"/>
      <c r="AG36" s="710"/>
      <c r="AH36" s="698" t="s">
        <v>99</v>
      </c>
      <c r="AI36" s="698"/>
      <c r="AJ36" s="698"/>
      <c r="AK36" s="698"/>
      <c r="AL36" s="698"/>
      <c r="AM36" s="698"/>
      <c r="AN36" s="698"/>
      <c r="AO36" s="698"/>
      <c r="AP36" s="698"/>
      <c r="AQ36" s="207" t="s">
        <v>98</v>
      </c>
      <c r="AR36" s="1088">
        <v>1</v>
      </c>
      <c r="AS36" s="700"/>
      <c r="AT36" s="687" t="s">
        <v>94</v>
      </c>
      <c r="AU36" s="688"/>
      <c r="AV36" s="688"/>
      <c r="AW36" s="688"/>
      <c r="AX36" s="688"/>
      <c r="AY36" s="689"/>
      <c r="AZ36" s="270"/>
      <c r="BK36" s="8"/>
    </row>
    <row r="37" spans="1:75" s="7" customFormat="1" ht="26.25" customHeight="1">
      <c r="A37" s="271"/>
      <c r="B37" s="696"/>
      <c r="C37" s="696"/>
      <c r="D37" s="696"/>
      <c r="E37" s="696"/>
      <c r="F37" s="696"/>
      <c r="G37" s="697"/>
      <c r="H37" s="1086" t="s">
        <v>68</v>
      </c>
      <c r="I37" s="702"/>
      <c r="J37" s="702"/>
      <c r="K37" s="702"/>
      <c r="L37" s="703" t="s">
        <v>100</v>
      </c>
      <c r="M37" s="703"/>
      <c r="N37" s="703"/>
      <c r="O37" s="703"/>
      <c r="P37" s="703"/>
      <c r="Q37" s="703"/>
      <c r="R37" s="703"/>
      <c r="S37" s="703"/>
      <c r="T37" s="703"/>
      <c r="U37" s="703"/>
      <c r="V37" s="191" t="s">
        <v>98</v>
      </c>
      <c r="W37" s="1089"/>
      <c r="X37" s="705"/>
      <c r="Y37" s="706" t="s">
        <v>94</v>
      </c>
      <c r="Z37" s="707"/>
      <c r="AA37" s="707"/>
      <c r="AB37" s="707"/>
      <c r="AC37" s="708"/>
      <c r="AD37" s="1088" t="s">
        <v>68</v>
      </c>
      <c r="AE37" s="710"/>
      <c r="AF37" s="710"/>
      <c r="AG37" s="710"/>
      <c r="AH37" s="709" t="s">
        <v>101</v>
      </c>
      <c r="AI37" s="709"/>
      <c r="AJ37" s="709"/>
      <c r="AK37" s="709"/>
      <c r="AL37" s="709"/>
      <c r="AM37" s="709"/>
      <c r="AN37" s="709"/>
      <c r="AO37" s="709"/>
      <c r="AP37" s="709"/>
      <c r="AQ37" s="190" t="s">
        <v>98</v>
      </c>
      <c r="AR37" s="1089"/>
      <c r="AS37" s="705"/>
      <c r="AT37" s="687" t="s">
        <v>94</v>
      </c>
      <c r="AU37" s="688"/>
      <c r="AV37" s="688"/>
      <c r="AW37" s="688"/>
      <c r="AX37" s="688"/>
      <c r="AY37" s="689"/>
      <c r="AZ37" s="270"/>
      <c r="BK37" s="8"/>
    </row>
    <row r="38" spans="1:75" s="7" customFormat="1" ht="26.25" customHeight="1">
      <c r="A38" s="271"/>
      <c r="B38" s="875" t="s">
        <v>102</v>
      </c>
      <c r="C38" s="694"/>
      <c r="D38" s="694"/>
      <c r="E38" s="694"/>
      <c r="F38" s="694"/>
      <c r="G38" s="695"/>
      <c r="H38" s="518" t="s">
        <v>68</v>
      </c>
      <c r="I38" s="519"/>
      <c r="J38" s="657"/>
      <c r="K38" s="657"/>
      <c r="L38" s="866" t="s">
        <v>103</v>
      </c>
      <c r="M38" s="866"/>
      <c r="N38" s="866"/>
      <c r="O38" s="866"/>
      <c r="P38" s="866"/>
      <c r="Q38" s="866"/>
      <c r="R38" s="866"/>
      <c r="S38" s="866"/>
      <c r="T38" s="866"/>
      <c r="U38" s="866"/>
      <c r="V38" s="184" t="s">
        <v>98</v>
      </c>
      <c r="W38" s="867"/>
      <c r="X38" s="868"/>
      <c r="Y38" s="706" t="s">
        <v>94</v>
      </c>
      <c r="Z38" s="707"/>
      <c r="AA38" s="707"/>
      <c r="AB38" s="707"/>
      <c r="AC38" s="708"/>
      <c r="AD38" s="869" t="s">
        <v>68</v>
      </c>
      <c r="AE38" s="870"/>
      <c r="AF38" s="870"/>
      <c r="AG38" s="870"/>
      <c r="AH38" s="634" t="s">
        <v>739</v>
      </c>
      <c r="AI38" s="634"/>
      <c r="AJ38" s="634"/>
      <c r="AK38" s="634"/>
      <c r="AL38" s="634"/>
      <c r="AM38" s="634"/>
      <c r="AN38" s="634"/>
      <c r="AO38" s="634"/>
      <c r="AP38" s="634"/>
      <c r="AQ38" s="185" t="s">
        <v>98</v>
      </c>
      <c r="AR38" s="867"/>
      <c r="AS38" s="868"/>
      <c r="AT38" s="687" t="s">
        <v>94</v>
      </c>
      <c r="AU38" s="688"/>
      <c r="AV38" s="688"/>
      <c r="AW38" s="688"/>
      <c r="AX38" s="688"/>
      <c r="AY38" s="689"/>
      <c r="AZ38" s="270"/>
      <c r="BK38" s="8"/>
    </row>
    <row r="39" spans="1:75" s="7" customFormat="1" ht="26.25" customHeight="1">
      <c r="A39" s="271"/>
      <c r="B39" s="876"/>
      <c r="C39" s="724"/>
      <c r="D39" s="724"/>
      <c r="E39" s="724"/>
      <c r="F39" s="724"/>
      <c r="G39" s="725"/>
      <c r="H39" s="518" t="s">
        <v>68</v>
      </c>
      <c r="I39" s="519"/>
      <c r="J39" s="657"/>
      <c r="K39" s="657"/>
      <c r="L39" s="877" t="s">
        <v>784</v>
      </c>
      <c r="M39" s="877"/>
      <c r="N39" s="878"/>
      <c r="O39" s="878"/>
      <c r="P39" s="878"/>
      <c r="Q39" s="878"/>
      <c r="R39" s="878"/>
      <c r="S39" s="878"/>
      <c r="T39" s="878"/>
      <c r="U39" s="878"/>
      <c r="V39" s="184" t="s">
        <v>93</v>
      </c>
      <c r="W39" s="867"/>
      <c r="X39" s="868"/>
      <c r="Y39" s="706" t="s">
        <v>94</v>
      </c>
      <c r="Z39" s="707"/>
      <c r="AA39" s="707"/>
      <c r="AB39" s="707"/>
      <c r="AC39" s="708"/>
      <c r="AD39" s="869" t="s">
        <v>68</v>
      </c>
      <c r="AE39" s="870"/>
      <c r="AF39" s="870"/>
      <c r="AG39" s="870"/>
      <c r="AH39" s="634" t="s">
        <v>783</v>
      </c>
      <c r="AI39" s="634"/>
      <c r="AJ39" s="634"/>
      <c r="AK39" s="634"/>
      <c r="AL39" s="634"/>
      <c r="AM39" s="634"/>
      <c r="AN39" s="634"/>
      <c r="AO39" s="634"/>
      <c r="AP39" s="634"/>
      <c r="AQ39" s="185" t="s">
        <v>93</v>
      </c>
      <c r="AR39" s="867"/>
      <c r="AS39" s="868"/>
      <c r="AT39" s="687" t="s">
        <v>94</v>
      </c>
      <c r="AU39" s="688"/>
      <c r="AV39" s="688"/>
      <c r="AW39" s="688"/>
      <c r="AX39" s="688"/>
      <c r="AY39" s="689"/>
      <c r="AZ39" s="270"/>
      <c r="BK39" s="8"/>
    </row>
    <row r="40" spans="1:75" ht="55.5" customHeight="1">
      <c r="A40" s="272"/>
      <c r="B40" s="671" t="s">
        <v>104</v>
      </c>
      <c r="C40" s="671"/>
      <c r="D40" s="671"/>
      <c r="E40" s="671"/>
      <c r="F40" s="671"/>
      <c r="G40" s="672"/>
      <c r="H40" s="683" t="s">
        <v>51</v>
      </c>
      <c r="I40" s="684"/>
      <c r="J40" s="674">
        <v>2024</v>
      </c>
      <c r="K40" s="675"/>
      <c r="L40" s="675"/>
      <c r="M40" s="676"/>
      <c r="N40" s="263" t="s">
        <v>52</v>
      </c>
      <c r="O40" s="685">
        <v>4</v>
      </c>
      <c r="P40" s="686"/>
      <c r="Q40" s="686"/>
      <c r="R40" s="686"/>
      <c r="S40" s="264" t="s">
        <v>53</v>
      </c>
      <c r="T40" s="674">
        <v>11</v>
      </c>
      <c r="U40" s="675"/>
      <c r="V40" s="675"/>
      <c r="W40" s="676"/>
      <c r="X40" s="265" t="s">
        <v>54</v>
      </c>
      <c r="Y40" s="677" t="s">
        <v>1044</v>
      </c>
      <c r="Z40" s="678"/>
      <c r="AA40" s="678"/>
      <c r="AB40" s="678"/>
      <c r="AC40" s="678"/>
      <c r="AD40" s="678"/>
      <c r="AE40" s="678"/>
      <c r="AF40" s="678"/>
      <c r="AG40" s="678"/>
      <c r="AH40" s="678"/>
      <c r="AI40" s="678"/>
      <c r="AJ40" s="678"/>
      <c r="AK40" s="678"/>
      <c r="AL40" s="678"/>
      <c r="AM40" s="678"/>
      <c r="AN40" s="678"/>
      <c r="AO40" s="678"/>
      <c r="AP40" s="678"/>
      <c r="AQ40" s="678"/>
      <c r="AR40" s="678"/>
      <c r="AS40" s="678"/>
      <c r="AT40" s="678"/>
      <c r="AU40" s="678"/>
      <c r="AV40" s="678"/>
      <c r="AW40" s="678"/>
      <c r="AX40" s="678"/>
      <c r="AY40" s="679"/>
      <c r="AZ40" s="5"/>
      <c r="BD40" s="668" t="str">
        <f>J40&amp;"/"&amp;O40&amp;"/"&amp;T40</f>
        <v>2024/4/11</v>
      </c>
      <c r="BE40" s="669"/>
      <c r="BF40" s="669"/>
      <c r="BG40" s="669"/>
      <c r="BH40" s="669"/>
      <c r="BI40" s="670"/>
      <c r="BJ40" s="17" t="e">
        <v>#VALUE!</v>
      </c>
      <c r="BK40" s="668" t="e">
        <f>IF(AND(#REF!="",#REF!=""),"",
   IF(AND(#REF!="□",OR(#REF!=
       "北海道",#REF!=
       "大分県",#REF!=
       "福岡県",#REF!=
       "佐賀県",#REF!=
       "長崎県",#REF!=
       "熊本県",#REF!=
       "宮崎県",#REF!=
       "鹿児島県")),#REF!,
           IF(OR(#REF!="沖縄県",AND(#REF!="■",OR(#REF!=
              "北海道",#REF!=
              "大分県",#REF!=
              "福岡県",#REF!=
              "佐賀県",#REF!=
              "長崎県",#REF!=
              "熊本県",#REF!=
              "宮崎県",#REF!=
              "鹿児島県"))),#REF!,
                     IF(OR(AND(#REF!="■",#REF!&lt;&gt;
                            "北海道",#REF!&lt;&gt;
                            "大分県",#REF!&lt;&gt;
                            "福岡県",#REF!&lt;&gt;
                            "佐賀県",#REF!&lt;&gt;
                            "長崎県",#REF!&lt;&gt;
                            "熊本県",#REF!&lt;&gt;
                            "宮崎県",#REF!&lt;&gt;
                            "鹿児島県",#REF!&lt;&gt;
                            "沖縄県")),#REF!,#REF!
))))</f>
        <v>#REF!</v>
      </c>
      <c r="BL40" s="669"/>
      <c r="BM40" s="669"/>
      <c r="BN40" s="669"/>
      <c r="BO40" s="669"/>
      <c r="BP40" s="670"/>
      <c r="BQ40" s="17"/>
      <c r="BR40" s="668" t="e">
        <f>#REF!</f>
        <v>#REF!</v>
      </c>
      <c r="BS40" s="669"/>
      <c r="BT40" s="669"/>
      <c r="BU40" s="669"/>
      <c r="BV40" s="669"/>
      <c r="BW40" s="670"/>
    </row>
    <row r="41" spans="1:75" ht="55.5" customHeight="1">
      <c r="A41" s="272"/>
      <c r="B41" s="671" t="s">
        <v>105</v>
      </c>
      <c r="C41" s="671"/>
      <c r="D41" s="671"/>
      <c r="E41" s="671"/>
      <c r="F41" s="671"/>
      <c r="G41" s="672"/>
      <c r="H41" s="673" t="s">
        <v>51</v>
      </c>
      <c r="I41" s="623"/>
      <c r="J41" s="674">
        <v>2024</v>
      </c>
      <c r="K41" s="675"/>
      <c r="L41" s="675"/>
      <c r="M41" s="676"/>
      <c r="N41" s="263" t="s">
        <v>52</v>
      </c>
      <c r="O41" s="674">
        <v>4</v>
      </c>
      <c r="P41" s="675"/>
      <c r="Q41" s="675"/>
      <c r="R41" s="676"/>
      <c r="S41" s="264" t="s">
        <v>53</v>
      </c>
      <c r="T41" s="674">
        <v>15</v>
      </c>
      <c r="U41" s="675"/>
      <c r="V41" s="675"/>
      <c r="W41" s="676"/>
      <c r="X41" s="265" t="s">
        <v>54</v>
      </c>
      <c r="Y41" s="680"/>
      <c r="Z41" s="681"/>
      <c r="AA41" s="681"/>
      <c r="AB41" s="681"/>
      <c r="AC41" s="681"/>
      <c r="AD41" s="681"/>
      <c r="AE41" s="681"/>
      <c r="AF41" s="681"/>
      <c r="AG41" s="681"/>
      <c r="AH41" s="681"/>
      <c r="AI41" s="681"/>
      <c r="AJ41" s="681"/>
      <c r="AK41" s="681"/>
      <c r="AL41" s="681"/>
      <c r="AM41" s="681"/>
      <c r="AN41" s="681"/>
      <c r="AO41" s="681"/>
      <c r="AP41" s="681"/>
      <c r="AQ41" s="681"/>
      <c r="AR41" s="681"/>
      <c r="AS41" s="681"/>
      <c r="AT41" s="681"/>
      <c r="AU41" s="681"/>
      <c r="AV41" s="681"/>
      <c r="AW41" s="681"/>
      <c r="AX41" s="681"/>
      <c r="AY41" s="682"/>
      <c r="AZ41" s="5"/>
      <c r="BD41" s="668" t="str">
        <f>J41&amp;"/"&amp;O41&amp;"/"&amp;T41</f>
        <v>2024/4/15</v>
      </c>
      <c r="BE41" s="669"/>
      <c r="BF41" s="669"/>
      <c r="BG41" s="669"/>
      <c r="BH41" s="669"/>
      <c r="BI41" s="670"/>
      <c r="BJ41" s="17" t="e">
        <v>#VALUE!</v>
      </c>
      <c r="BK41" s="668" t="e">
        <f>IF(AND(#REF!="",#REF!=""),"",
   IF(AND(#REF!="□",OR(#REF!=
       "北海道",#REF!=
       "大分県",#REF!=
       "福岡県",#REF!=
       "佐賀県",#REF!=
       "長崎県",#REF!=
       "熊本県",#REF!=
       "宮崎県",#REF!=
       "鹿児島県")),#REF!,
           IF(OR(#REF!="沖縄県",AND(#REF!="■",OR(#REF!=
              "北海道",#REF!=
              "大分県",#REF!=
              "福岡県",#REF!=
              "佐賀県",#REF!=
              "長崎県",#REF!=
              "熊本県",#REF!=
              "宮崎県",#REF!=
              "鹿児島県"))),#REF!,
                     IF(OR(AND(#REF!="■",#REF!&lt;&gt;
                            "北海道",#REF!&lt;&gt;
                            "大分県",#REF!&lt;&gt;
                            "福岡県",#REF!&lt;&gt;
                            "佐賀県",#REF!&lt;&gt;
                            "長崎県",#REF!&lt;&gt;
                            "熊本県",#REF!&lt;&gt;
                            "宮崎県",#REF!&lt;&gt;
                            "鹿児島県",#REF!&lt;&gt;
                            "沖縄県")),#REF!,#REF!
))))</f>
        <v>#REF!</v>
      </c>
      <c r="BL41" s="669"/>
      <c r="BM41" s="669"/>
      <c r="BN41" s="669"/>
      <c r="BO41" s="669"/>
      <c r="BP41" s="670"/>
      <c r="BQ41" s="17"/>
      <c r="BR41" s="668" t="e">
        <f>#REF!</f>
        <v>#REF!</v>
      </c>
      <c r="BS41" s="669"/>
      <c r="BT41" s="669"/>
      <c r="BU41" s="669"/>
      <c r="BV41" s="669"/>
      <c r="BW41" s="670"/>
    </row>
    <row r="42" spans="1:75" ht="37.5" hidden="1" customHeight="1">
      <c r="A42" s="272"/>
      <c r="B42" s="230"/>
      <c r="C42" s="230"/>
      <c r="D42" s="230"/>
      <c r="E42" s="230"/>
      <c r="F42" s="230"/>
      <c r="G42" s="231"/>
      <c r="H42" s="265"/>
      <c r="I42" s="242"/>
      <c r="J42" s="241"/>
      <c r="K42" s="241"/>
      <c r="L42" s="241"/>
      <c r="M42" s="241"/>
      <c r="N42" s="242"/>
      <c r="O42" s="241"/>
      <c r="P42" s="241"/>
      <c r="Q42" s="241"/>
      <c r="R42" s="241"/>
      <c r="S42" s="242"/>
      <c r="T42" s="241"/>
      <c r="U42" s="241"/>
      <c r="V42" s="241"/>
      <c r="W42" s="241"/>
      <c r="X42" s="242"/>
      <c r="Y42" s="235"/>
      <c r="Z42" s="236"/>
      <c r="AA42" s="236"/>
      <c r="AB42" s="236"/>
      <c r="AC42" s="236"/>
      <c r="AD42" s="236"/>
      <c r="AE42" s="236"/>
      <c r="AF42" s="236"/>
      <c r="AG42" s="236"/>
      <c r="AH42" s="236"/>
      <c r="AI42" s="236"/>
      <c r="AJ42" s="236"/>
      <c r="AK42" s="236"/>
      <c r="AL42" s="236"/>
      <c r="AM42" s="236"/>
      <c r="AN42" s="236"/>
      <c r="AO42" s="236"/>
      <c r="AP42" s="236"/>
      <c r="AQ42" s="236"/>
      <c r="AR42" s="236"/>
      <c r="AS42" s="236"/>
      <c r="AT42" s="236"/>
      <c r="AU42" s="236"/>
      <c r="AV42" s="236"/>
      <c r="AW42" s="236"/>
      <c r="AX42" s="236"/>
      <c r="AY42" s="237"/>
      <c r="AZ42" s="5"/>
      <c r="BD42" s="240"/>
      <c r="BE42" s="240"/>
      <c r="BF42" s="240"/>
      <c r="BG42" s="240"/>
      <c r="BH42" s="240"/>
      <c r="BI42" s="240"/>
      <c r="BJ42" s="14"/>
      <c r="BK42" s="240"/>
      <c r="BL42" s="240"/>
      <c r="BM42" s="240"/>
      <c r="BN42" s="240"/>
      <c r="BO42" s="240"/>
      <c r="BP42" s="240"/>
      <c r="BQ42" s="14"/>
      <c r="BR42" s="240"/>
      <c r="BS42" s="240"/>
      <c r="BT42" s="240"/>
      <c r="BU42" s="240"/>
      <c r="BV42" s="240"/>
      <c r="BW42" s="240"/>
    </row>
    <row r="43" spans="1:75" ht="15" customHeight="1">
      <c r="A43" s="272"/>
      <c r="B43" s="549" t="s">
        <v>106</v>
      </c>
      <c r="C43" s="549"/>
      <c r="D43" s="549"/>
      <c r="E43" s="549"/>
      <c r="F43" s="549"/>
      <c r="G43" s="620"/>
      <c r="H43" s="518" t="s">
        <v>68</v>
      </c>
      <c r="I43" s="633"/>
      <c r="J43" s="633"/>
      <c r="K43" s="634" t="s">
        <v>748</v>
      </c>
      <c r="L43" s="635"/>
      <c r="M43" s="635"/>
      <c r="N43" s="635"/>
      <c r="O43" s="635"/>
      <c r="P43" s="635"/>
      <c r="Q43" s="635"/>
      <c r="R43" s="635"/>
      <c r="S43" s="635"/>
      <c r="T43" s="635"/>
      <c r="U43" s="635"/>
      <c r="V43" s="635"/>
      <c r="W43" s="635"/>
      <c r="X43" s="636"/>
      <c r="Y43" s="621"/>
      <c r="Z43" s="622"/>
      <c r="AA43" s="623"/>
      <c r="AB43" s="623"/>
      <c r="AC43" s="623"/>
      <c r="AD43" s="623"/>
      <c r="AE43" s="623"/>
      <c r="AF43" s="623"/>
      <c r="AG43" s="623"/>
      <c r="AH43" s="623"/>
      <c r="AI43" s="623"/>
      <c r="AJ43" s="623"/>
      <c r="AK43" s="623"/>
      <c r="AL43" s="623"/>
      <c r="AM43" s="623"/>
      <c r="AN43" s="623"/>
      <c r="AO43" s="623"/>
      <c r="AP43" s="623"/>
      <c r="AQ43" s="623"/>
      <c r="AR43" s="623"/>
      <c r="AS43" s="623"/>
      <c r="AT43" s="623"/>
      <c r="AU43" s="623"/>
      <c r="AV43" s="623"/>
      <c r="AW43" s="623"/>
      <c r="AX43" s="623"/>
      <c r="AY43" s="624"/>
      <c r="AZ43" s="5"/>
    </row>
    <row r="44" spans="1:75" ht="15" customHeight="1">
      <c r="A44" s="272"/>
      <c r="B44" s="550"/>
      <c r="C44" s="550"/>
      <c r="D44" s="550"/>
      <c r="E44" s="550"/>
      <c r="F44" s="550"/>
      <c r="G44" s="551"/>
      <c r="H44" s="266" t="s">
        <v>107</v>
      </c>
      <c r="I44" s="625" t="s">
        <v>1070</v>
      </c>
      <c r="J44" s="626"/>
      <c r="K44" s="626"/>
      <c r="L44" s="267" t="s">
        <v>108</v>
      </c>
      <c r="M44" s="627" t="s">
        <v>1071</v>
      </c>
      <c r="N44" s="626"/>
      <c r="O44" s="626"/>
      <c r="P44" s="628"/>
      <c r="Q44" s="629" t="s">
        <v>109</v>
      </c>
      <c r="R44" s="630"/>
      <c r="S44" s="630"/>
      <c r="T44" s="631" t="s">
        <v>1073</v>
      </c>
      <c r="U44" s="632"/>
      <c r="V44" s="632"/>
      <c r="W44" s="632"/>
      <c r="X44" s="632"/>
      <c r="Y44" s="632"/>
      <c r="Z44" s="632"/>
      <c r="AA44" s="632"/>
      <c r="AB44" s="632"/>
      <c r="AC44" s="632"/>
      <c r="AD44" s="632"/>
      <c r="AE44" s="632"/>
      <c r="AF44" s="632"/>
      <c r="AG44" s="632"/>
      <c r="AH44" s="632"/>
      <c r="AI44" s="632"/>
      <c r="AJ44" s="632"/>
      <c r="AK44" s="632"/>
      <c r="AL44" s="632"/>
      <c r="AM44" s="632"/>
      <c r="AN44" s="632"/>
      <c r="AO44" s="632"/>
      <c r="AP44" s="632"/>
      <c r="AQ44" s="632"/>
      <c r="AR44" s="632"/>
      <c r="AS44" s="632"/>
      <c r="AT44" s="632"/>
      <c r="AU44" s="632"/>
      <c r="AV44" s="632"/>
      <c r="AW44" s="632"/>
      <c r="AX44" s="632"/>
      <c r="AY44" s="632"/>
      <c r="AZ44" s="5"/>
    </row>
    <row r="45" spans="1:75" ht="15" customHeight="1">
      <c r="A45" s="272"/>
      <c r="B45" s="550"/>
      <c r="C45" s="550"/>
      <c r="D45" s="550"/>
      <c r="E45" s="550"/>
      <c r="F45" s="550"/>
      <c r="G45" s="551"/>
      <c r="H45" s="771" t="s">
        <v>62</v>
      </c>
      <c r="I45" s="638"/>
      <c r="J45" s="639"/>
      <c r="K45" s="788" t="s">
        <v>275</v>
      </c>
      <c r="L45" s="813"/>
      <c r="M45" s="813"/>
      <c r="N45" s="813"/>
      <c r="O45" s="813"/>
      <c r="P45" s="814"/>
      <c r="Q45" s="637" t="s">
        <v>110</v>
      </c>
      <c r="R45" s="638"/>
      <c r="S45" s="639"/>
      <c r="T45" s="640" t="s">
        <v>1072</v>
      </c>
      <c r="U45" s="641"/>
      <c r="V45" s="641"/>
      <c r="W45" s="641"/>
      <c r="X45" s="641"/>
      <c r="Y45" s="641"/>
      <c r="Z45" s="641"/>
      <c r="AA45" s="642"/>
      <c r="AB45" s="637" t="s">
        <v>111</v>
      </c>
      <c r="AC45" s="646"/>
      <c r="AD45" s="647"/>
      <c r="AE45" s="651" t="s">
        <v>1074</v>
      </c>
      <c r="AF45" s="652"/>
      <c r="AG45" s="652"/>
      <c r="AH45" s="652"/>
      <c r="AI45" s="652"/>
      <c r="AJ45" s="652"/>
      <c r="AK45" s="652"/>
      <c r="AL45" s="652"/>
      <c r="AM45" s="652"/>
      <c r="AN45" s="652"/>
      <c r="AO45" s="652"/>
      <c r="AP45" s="652"/>
      <c r="AQ45" s="652"/>
      <c r="AR45" s="652"/>
      <c r="AS45" s="652"/>
      <c r="AT45" s="652"/>
      <c r="AU45" s="652"/>
      <c r="AV45" s="652"/>
      <c r="AW45" s="652"/>
      <c r="AX45" s="652"/>
      <c r="AY45" s="653"/>
      <c r="AZ45" s="5"/>
    </row>
    <row r="46" spans="1:75" ht="15" customHeight="1">
      <c r="A46" s="272"/>
      <c r="B46" s="550"/>
      <c r="C46" s="550"/>
      <c r="D46" s="550"/>
      <c r="E46" s="550"/>
      <c r="F46" s="550"/>
      <c r="G46" s="551"/>
      <c r="H46" s="537"/>
      <c r="I46" s="538"/>
      <c r="J46" s="539"/>
      <c r="K46" s="815"/>
      <c r="L46" s="815"/>
      <c r="M46" s="815"/>
      <c r="N46" s="815"/>
      <c r="O46" s="815"/>
      <c r="P46" s="816"/>
      <c r="Q46" s="537"/>
      <c r="R46" s="538"/>
      <c r="S46" s="539"/>
      <c r="T46" s="643"/>
      <c r="U46" s="644"/>
      <c r="V46" s="644"/>
      <c r="W46" s="644"/>
      <c r="X46" s="644"/>
      <c r="Y46" s="644"/>
      <c r="Z46" s="644"/>
      <c r="AA46" s="645"/>
      <c r="AB46" s="648"/>
      <c r="AC46" s="649"/>
      <c r="AD46" s="650"/>
      <c r="AE46" s="654"/>
      <c r="AF46" s="655"/>
      <c r="AG46" s="655"/>
      <c r="AH46" s="655"/>
      <c r="AI46" s="655"/>
      <c r="AJ46" s="655"/>
      <c r="AK46" s="655"/>
      <c r="AL46" s="655"/>
      <c r="AM46" s="655"/>
      <c r="AN46" s="655"/>
      <c r="AO46" s="655"/>
      <c r="AP46" s="655"/>
      <c r="AQ46" s="655"/>
      <c r="AR46" s="655"/>
      <c r="AS46" s="655"/>
      <c r="AT46" s="655"/>
      <c r="AU46" s="655"/>
      <c r="AV46" s="655"/>
      <c r="AW46" s="655"/>
      <c r="AX46" s="655"/>
      <c r="AY46" s="656"/>
      <c r="AZ46" s="5"/>
    </row>
    <row r="47" spans="1:75" ht="15" customHeight="1">
      <c r="A47" s="272"/>
      <c r="B47" s="552"/>
      <c r="C47" s="552"/>
      <c r="D47" s="552"/>
      <c r="E47" s="552"/>
      <c r="F47" s="552"/>
      <c r="G47" s="553"/>
      <c r="H47" s="657" t="s">
        <v>776</v>
      </c>
      <c r="I47" s="658"/>
      <c r="J47" s="285"/>
      <c r="K47" s="659" t="s">
        <v>112</v>
      </c>
      <c r="L47" s="660"/>
      <c r="M47" s="660"/>
      <c r="N47" s="660"/>
      <c r="O47" s="660"/>
      <c r="P47" s="661"/>
      <c r="Q47" s="662" t="s">
        <v>70</v>
      </c>
      <c r="R47" s="663"/>
      <c r="S47" s="664"/>
      <c r="T47" s="665"/>
      <c r="U47" s="666"/>
      <c r="V47" s="666"/>
      <c r="W47" s="666"/>
      <c r="X47" s="666"/>
      <c r="Y47" s="666"/>
      <c r="Z47" s="666"/>
      <c r="AA47" s="666"/>
      <c r="AB47" s="666"/>
      <c r="AC47" s="666"/>
      <c r="AD47" s="666"/>
      <c r="AE47" s="666"/>
      <c r="AF47" s="666"/>
      <c r="AG47" s="666"/>
      <c r="AH47" s="666"/>
      <c r="AI47" s="666"/>
      <c r="AJ47" s="666"/>
      <c r="AK47" s="666"/>
      <c r="AL47" s="666"/>
      <c r="AM47" s="666"/>
      <c r="AN47" s="666"/>
      <c r="AO47" s="666"/>
      <c r="AP47" s="666"/>
      <c r="AQ47" s="666"/>
      <c r="AR47" s="666"/>
      <c r="AS47" s="666"/>
      <c r="AT47" s="666"/>
      <c r="AU47" s="666"/>
      <c r="AV47" s="666"/>
      <c r="AW47" s="666"/>
      <c r="AX47" s="666"/>
      <c r="AY47" s="667"/>
      <c r="AZ47" s="5"/>
    </row>
    <row r="48" spans="1:75" ht="15" customHeight="1">
      <c r="A48" s="272"/>
      <c r="B48" s="549" t="s">
        <v>113</v>
      </c>
      <c r="C48" s="549"/>
      <c r="D48" s="549"/>
      <c r="E48" s="549"/>
      <c r="F48" s="549"/>
      <c r="G48" s="549"/>
      <c r="H48" s="554" t="s">
        <v>68</v>
      </c>
      <c r="I48" s="555"/>
      <c r="J48" s="555"/>
      <c r="K48" s="555"/>
      <c r="L48" s="567" t="s">
        <v>749</v>
      </c>
      <c r="M48" s="568"/>
      <c r="N48" s="568"/>
      <c r="O48" s="568"/>
      <c r="P48" s="568"/>
      <c r="Q48" s="568"/>
      <c r="R48" s="568"/>
      <c r="S48" s="568"/>
      <c r="T48" s="568"/>
      <c r="U48" s="568"/>
      <c r="V48" s="568"/>
      <c r="W48" s="568"/>
      <c r="X48" s="568"/>
      <c r="Y48" s="554" t="s">
        <v>68</v>
      </c>
      <c r="Z48" s="555"/>
      <c r="AA48" s="555"/>
      <c r="AB48" s="567" t="s">
        <v>114</v>
      </c>
      <c r="AC48" s="568"/>
      <c r="AD48" s="568"/>
      <c r="AE48" s="568"/>
      <c r="AF48" s="568"/>
      <c r="AG48" s="568"/>
      <c r="AH48" s="568"/>
      <c r="AI48" s="568"/>
      <c r="AJ48" s="568"/>
      <c r="AK48" s="568"/>
      <c r="AL48" s="568"/>
      <c r="AM48" s="568"/>
      <c r="AN48" s="568"/>
      <c r="AO48" s="568"/>
      <c r="AP48" s="568"/>
      <c r="AQ48" s="568"/>
      <c r="AR48" s="568"/>
      <c r="AS48" s="568"/>
      <c r="AT48" s="568"/>
      <c r="AU48" s="568"/>
      <c r="AV48" s="568"/>
      <c r="AW48" s="568"/>
      <c r="AX48" s="568"/>
      <c r="AY48" s="568"/>
      <c r="AZ48" s="5"/>
      <c r="BB48" s="14"/>
      <c r="BC48" s="14"/>
      <c r="BD48" s="14"/>
      <c r="BE48" s="14"/>
      <c r="BF48" s="14"/>
      <c r="BG48" s="14"/>
      <c r="BH48" s="14"/>
      <c r="BI48" s="14"/>
      <c r="BJ48" s="14"/>
      <c r="BK48" s="16"/>
    </row>
    <row r="49" spans="1:68" ht="15" customHeight="1">
      <c r="A49" s="272"/>
      <c r="B49" s="550"/>
      <c r="C49" s="550"/>
      <c r="D49" s="550"/>
      <c r="E49" s="550"/>
      <c r="F49" s="550"/>
      <c r="G49" s="550"/>
      <c r="H49" s="286" t="s">
        <v>56</v>
      </c>
      <c r="I49" s="569" t="s">
        <v>1075</v>
      </c>
      <c r="J49" s="570"/>
      <c r="K49" s="570"/>
      <c r="L49" s="287" t="s">
        <v>58</v>
      </c>
      <c r="M49" s="569" t="s">
        <v>1076</v>
      </c>
      <c r="N49" s="570"/>
      <c r="O49" s="570"/>
      <c r="P49" s="570"/>
      <c r="Q49" s="571" t="s">
        <v>115</v>
      </c>
      <c r="R49" s="572"/>
      <c r="S49" s="572"/>
      <c r="T49" s="573" t="s">
        <v>1079</v>
      </c>
      <c r="U49" s="574"/>
      <c r="V49" s="574"/>
      <c r="W49" s="574"/>
      <c r="X49" s="574"/>
      <c r="Y49" s="574"/>
      <c r="Z49" s="574"/>
      <c r="AA49" s="574"/>
      <c r="AB49" s="574"/>
      <c r="AC49" s="574"/>
      <c r="AD49" s="574"/>
      <c r="AE49" s="574"/>
      <c r="AF49" s="574"/>
      <c r="AG49" s="574"/>
      <c r="AH49" s="574"/>
      <c r="AI49" s="574"/>
      <c r="AJ49" s="574"/>
      <c r="AK49" s="574"/>
      <c r="AL49" s="574"/>
      <c r="AM49" s="574"/>
      <c r="AN49" s="574"/>
      <c r="AO49" s="574"/>
      <c r="AP49" s="574"/>
      <c r="AQ49" s="574"/>
      <c r="AR49" s="574"/>
      <c r="AS49" s="574"/>
      <c r="AT49" s="574"/>
      <c r="AU49" s="574"/>
      <c r="AV49" s="574"/>
      <c r="AW49" s="574"/>
      <c r="AX49" s="574"/>
      <c r="AY49" s="574"/>
      <c r="AZ49" s="5"/>
      <c r="BB49" s="14"/>
      <c r="BC49" s="14"/>
      <c r="BD49" s="14"/>
      <c r="BE49" s="14"/>
      <c r="BF49" s="14"/>
      <c r="BG49" s="14"/>
      <c r="BH49" s="14"/>
      <c r="BI49" s="14"/>
      <c r="BJ49" s="14"/>
      <c r="BK49" s="16"/>
    </row>
    <row r="50" spans="1:68" ht="15" customHeight="1">
      <c r="A50" s="272"/>
      <c r="B50" s="550"/>
      <c r="C50" s="550"/>
      <c r="D50" s="550"/>
      <c r="E50" s="550"/>
      <c r="F50" s="550"/>
      <c r="G50" s="550"/>
      <c r="H50" s="562" t="s">
        <v>62</v>
      </c>
      <c r="I50" s="562"/>
      <c r="J50" s="562"/>
      <c r="K50" s="811" t="s">
        <v>275</v>
      </c>
      <c r="L50" s="812"/>
      <c r="M50" s="812"/>
      <c r="N50" s="812"/>
      <c r="O50" s="812"/>
      <c r="P50" s="812"/>
      <c r="Q50" s="561" t="s">
        <v>110</v>
      </c>
      <c r="R50" s="562"/>
      <c r="S50" s="562"/>
      <c r="T50" s="563" t="s">
        <v>1077</v>
      </c>
      <c r="U50" s="564"/>
      <c r="V50" s="564"/>
      <c r="W50" s="564"/>
      <c r="X50" s="564"/>
      <c r="Y50" s="564"/>
      <c r="Z50" s="564"/>
      <c r="AA50" s="564"/>
      <c r="AB50" s="561" t="s">
        <v>111</v>
      </c>
      <c r="AC50" s="561"/>
      <c r="AD50" s="561"/>
      <c r="AE50" s="575" t="s">
        <v>1078</v>
      </c>
      <c r="AF50" s="576"/>
      <c r="AG50" s="576"/>
      <c r="AH50" s="576"/>
      <c r="AI50" s="576"/>
      <c r="AJ50" s="576"/>
      <c r="AK50" s="576"/>
      <c r="AL50" s="576"/>
      <c r="AM50" s="576"/>
      <c r="AN50" s="576"/>
      <c r="AO50" s="576"/>
      <c r="AP50" s="576"/>
      <c r="AQ50" s="576"/>
      <c r="AR50" s="576"/>
      <c r="AS50" s="576"/>
      <c r="AT50" s="576"/>
      <c r="AU50" s="576"/>
      <c r="AV50" s="576"/>
      <c r="AW50" s="576"/>
      <c r="AX50" s="576"/>
      <c r="AY50" s="576"/>
      <c r="AZ50" s="5"/>
      <c r="BB50" s="14"/>
      <c r="BC50" s="14"/>
      <c r="BD50" s="14"/>
      <c r="BE50" s="14"/>
      <c r="BF50" s="14"/>
      <c r="BG50" s="14"/>
      <c r="BH50" s="14"/>
      <c r="BI50" s="14"/>
      <c r="BJ50" s="14"/>
      <c r="BK50" s="16"/>
    </row>
    <row r="51" spans="1:68" ht="15" customHeight="1">
      <c r="A51" s="272"/>
      <c r="B51" s="550"/>
      <c r="C51" s="550"/>
      <c r="D51" s="550"/>
      <c r="E51" s="550"/>
      <c r="F51" s="550"/>
      <c r="G51" s="550"/>
      <c r="H51" s="562"/>
      <c r="I51" s="562"/>
      <c r="J51" s="562"/>
      <c r="K51" s="812"/>
      <c r="L51" s="812"/>
      <c r="M51" s="812"/>
      <c r="N51" s="812"/>
      <c r="O51" s="812"/>
      <c r="P51" s="812"/>
      <c r="Q51" s="562"/>
      <c r="R51" s="562"/>
      <c r="S51" s="562"/>
      <c r="T51" s="564"/>
      <c r="U51" s="564"/>
      <c r="V51" s="564"/>
      <c r="W51" s="564"/>
      <c r="X51" s="564"/>
      <c r="Y51" s="564"/>
      <c r="Z51" s="564"/>
      <c r="AA51" s="564"/>
      <c r="AB51" s="561"/>
      <c r="AC51" s="561"/>
      <c r="AD51" s="561"/>
      <c r="AE51" s="576"/>
      <c r="AF51" s="576"/>
      <c r="AG51" s="576"/>
      <c r="AH51" s="576"/>
      <c r="AI51" s="576"/>
      <c r="AJ51" s="576"/>
      <c r="AK51" s="576"/>
      <c r="AL51" s="576"/>
      <c r="AM51" s="576"/>
      <c r="AN51" s="576"/>
      <c r="AO51" s="576"/>
      <c r="AP51" s="576"/>
      <c r="AQ51" s="576"/>
      <c r="AR51" s="576"/>
      <c r="AS51" s="576"/>
      <c r="AT51" s="576"/>
      <c r="AU51" s="576"/>
      <c r="AV51" s="576"/>
      <c r="AW51" s="576"/>
      <c r="AX51" s="576"/>
      <c r="AY51" s="576"/>
      <c r="AZ51" s="5"/>
    </row>
    <row r="52" spans="1:68" ht="15" customHeight="1">
      <c r="A52" s="272"/>
      <c r="B52" s="550"/>
      <c r="C52" s="550"/>
      <c r="D52" s="550"/>
      <c r="E52" s="550"/>
      <c r="F52" s="550"/>
      <c r="G52" s="550"/>
      <c r="H52" s="554" t="s">
        <v>591</v>
      </c>
      <c r="I52" s="577"/>
      <c r="J52" s="288"/>
      <c r="K52" s="534" t="s">
        <v>116</v>
      </c>
      <c r="L52" s="535"/>
      <c r="M52" s="535"/>
      <c r="N52" s="535"/>
      <c r="O52" s="535"/>
      <c r="P52" s="535"/>
      <c r="Q52" s="536" t="s">
        <v>70</v>
      </c>
      <c r="R52" s="536"/>
      <c r="S52" s="536"/>
      <c r="T52" s="565"/>
      <c r="U52" s="566"/>
      <c r="V52" s="566"/>
      <c r="W52" s="566"/>
      <c r="X52" s="566"/>
      <c r="Y52" s="566"/>
      <c r="Z52" s="566"/>
      <c r="AA52" s="566"/>
      <c r="AB52" s="566"/>
      <c r="AC52" s="566"/>
      <c r="AD52" s="566"/>
      <c r="AE52" s="566"/>
      <c r="AF52" s="566"/>
      <c r="AG52" s="566"/>
      <c r="AH52" s="566"/>
      <c r="AI52" s="566"/>
      <c r="AJ52" s="566"/>
      <c r="AK52" s="566"/>
      <c r="AL52" s="566"/>
      <c r="AM52" s="566"/>
      <c r="AN52" s="566"/>
      <c r="AO52" s="566"/>
      <c r="AP52" s="566"/>
      <c r="AQ52" s="566"/>
      <c r="AR52" s="566"/>
      <c r="AS52" s="566"/>
      <c r="AT52" s="566"/>
      <c r="AU52" s="566"/>
      <c r="AV52" s="566"/>
      <c r="AW52" s="566"/>
      <c r="AX52" s="566"/>
      <c r="AY52" s="566"/>
      <c r="AZ52" s="5"/>
    </row>
    <row r="53" spans="1:68" ht="13.5" customHeight="1">
      <c r="A53" s="272"/>
      <c r="B53" s="550"/>
      <c r="C53" s="550"/>
      <c r="D53" s="550"/>
      <c r="E53" s="550"/>
      <c r="F53" s="550"/>
      <c r="G53" s="551"/>
      <c r="H53" s="591" t="s">
        <v>117</v>
      </c>
      <c r="I53" s="592"/>
      <c r="J53" s="592"/>
      <c r="K53" s="592"/>
      <c r="L53" s="592"/>
      <c r="M53" s="593"/>
      <c r="N53" s="605" t="s">
        <v>1080</v>
      </c>
      <c r="O53" s="606"/>
      <c r="P53" s="606"/>
      <c r="Q53" s="606"/>
      <c r="R53" s="606"/>
      <c r="S53" s="606"/>
      <c r="T53" s="606"/>
      <c r="U53" s="606"/>
      <c r="V53" s="606"/>
      <c r="W53" s="606"/>
      <c r="X53" s="606"/>
      <c r="Y53" s="606"/>
      <c r="Z53" s="606"/>
      <c r="AA53" s="606"/>
      <c r="AB53" s="607"/>
      <c r="AC53" s="612" t="s">
        <v>118</v>
      </c>
      <c r="AD53" s="612"/>
      <c r="AE53" s="612"/>
      <c r="AF53" s="612"/>
      <c r="AG53" s="612"/>
      <c r="AH53" s="612"/>
      <c r="AI53" s="537" t="s">
        <v>59</v>
      </c>
      <c r="AJ53" s="538"/>
      <c r="AK53" s="539"/>
      <c r="AL53" s="540" t="s">
        <v>1082</v>
      </c>
      <c r="AM53" s="541"/>
      <c r="AN53" s="541"/>
      <c r="AO53" s="541"/>
      <c r="AP53" s="541"/>
      <c r="AQ53" s="541"/>
      <c r="AR53" s="541"/>
      <c r="AS53" s="541"/>
      <c r="AT53" s="541"/>
      <c r="AU53" s="541"/>
      <c r="AV53" s="541"/>
      <c r="AW53" s="541"/>
      <c r="AX53" s="541"/>
      <c r="AY53" s="542"/>
      <c r="AZ53" s="5"/>
      <c r="BD53" s="10"/>
      <c r="BE53" s="10"/>
    </row>
    <row r="54" spans="1:68">
      <c r="A54" s="272"/>
      <c r="B54" s="550"/>
      <c r="C54" s="550"/>
      <c r="D54" s="550"/>
      <c r="E54" s="550"/>
      <c r="F54" s="550"/>
      <c r="G54" s="551"/>
      <c r="H54" s="591"/>
      <c r="I54" s="592"/>
      <c r="J54" s="592"/>
      <c r="K54" s="592"/>
      <c r="L54" s="592"/>
      <c r="M54" s="593"/>
      <c r="N54" s="608"/>
      <c r="O54" s="606"/>
      <c r="P54" s="606"/>
      <c r="Q54" s="606"/>
      <c r="R54" s="606"/>
      <c r="S54" s="606"/>
      <c r="T54" s="606"/>
      <c r="U54" s="606"/>
      <c r="V54" s="606"/>
      <c r="W54" s="606"/>
      <c r="X54" s="606"/>
      <c r="Y54" s="606"/>
      <c r="Z54" s="606"/>
      <c r="AA54" s="606"/>
      <c r="AB54" s="607"/>
      <c r="AC54" s="613"/>
      <c r="AD54" s="613"/>
      <c r="AE54" s="613"/>
      <c r="AF54" s="613"/>
      <c r="AG54" s="613"/>
      <c r="AH54" s="613"/>
      <c r="AI54" s="543" t="s">
        <v>1081</v>
      </c>
      <c r="AJ54" s="544"/>
      <c r="AK54" s="544"/>
      <c r="AL54" s="544"/>
      <c r="AM54" s="544"/>
      <c r="AN54" s="544"/>
      <c r="AO54" s="544"/>
      <c r="AP54" s="544"/>
      <c r="AQ54" s="544"/>
      <c r="AR54" s="544"/>
      <c r="AS54" s="544"/>
      <c r="AT54" s="544"/>
      <c r="AU54" s="544"/>
      <c r="AV54" s="544"/>
      <c r="AW54" s="544"/>
      <c r="AX54" s="544"/>
      <c r="AY54" s="545"/>
      <c r="AZ54" s="5"/>
      <c r="BD54" s="10"/>
      <c r="BE54" s="15"/>
    </row>
    <row r="55" spans="1:68" ht="12.75" customHeight="1">
      <c r="A55" s="272"/>
      <c r="B55" s="550"/>
      <c r="C55" s="550"/>
      <c r="D55" s="550"/>
      <c r="E55" s="550"/>
      <c r="F55" s="550"/>
      <c r="G55" s="551"/>
      <c r="H55" s="594"/>
      <c r="I55" s="595"/>
      <c r="J55" s="595"/>
      <c r="K55" s="595"/>
      <c r="L55" s="595"/>
      <c r="M55" s="596"/>
      <c r="N55" s="609"/>
      <c r="O55" s="610"/>
      <c r="P55" s="610"/>
      <c r="Q55" s="610"/>
      <c r="R55" s="610"/>
      <c r="S55" s="610"/>
      <c r="T55" s="610"/>
      <c r="U55" s="610"/>
      <c r="V55" s="610"/>
      <c r="W55" s="610"/>
      <c r="X55" s="610"/>
      <c r="Y55" s="610"/>
      <c r="Z55" s="610"/>
      <c r="AA55" s="610"/>
      <c r="AB55" s="611"/>
      <c r="AC55" s="613"/>
      <c r="AD55" s="613"/>
      <c r="AE55" s="613"/>
      <c r="AF55" s="613"/>
      <c r="AG55" s="613"/>
      <c r="AH55" s="613"/>
      <c r="AI55" s="546"/>
      <c r="AJ55" s="547"/>
      <c r="AK55" s="547"/>
      <c r="AL55" s="547"/>
      <c r="AM55" s="547"/>
      <c r="AN55" s="547"/>
      <c r="AO55" s="547"/>
      <c r="AP55" s="547"/>
      <c r="AQ55" s="547"/>
      <c r="AR55" s="547"/>
      <c r="AS55" s="547"/>
      <c r="AT55" s="547"/>
      <c r="AU55" s="547"/>
      <c r="AV55" s="547"/>
      <c r="AW55" s="547"/>
      <c r="AX55" s="547"/>
      <c r="AY55" s="548"/>
      <c r="AZ55" s="5"/>
      <c r="BD55" s="10" t="s">
        <v>119</v>
      </c>
      <c r="BK55" s="579">
        <f>WORKDAY(BK52,4,)</f>
        <v>5</v>
      </c>
      <c r="BL55" s="579"/>
      <c r="BM55" s="579"/>
      <c r="BN55" s="579"/>
      <c r="BO55" s="579"/>
      <c r="BP55" s="579"/>
    </row>
    <row r="56" spans="1:68" ht="13.5" customHeight="1">
      <c r="A56" s="272"/>
      <c r="B56" s="550"/>
      <c r="C56" s="550"/>
      <c r="D56" s="550"/>
      <c r="E56" s="550"/>
      <c r="F56" s="550"/>
      <c r="G56" s="551"/>
      <c r="H56" s="588" t="s">
        <v>79</v>
      </c>
      <c r="I56" s="589"/>
      <c r="J56" s="589"/>
      <c r="K56" s="589"/>
      <c r="L56" s="589"/>
      <c r="M56" s="590"/>
      <c r="N56" s="617"/>
      <c r="O56" s="618"/>
      <c r="P56" s="618"/>
      <c r="Q56" s="618"/>
      <c r="R56" s="618"/>
      <c r="S56" s="618"/>
      <c r="T56" s="618"/>
      <c r="U56" s="618"/>
      <c r="V56" s="618"/>
      <c r="W56" s="618"/>
      <c r="X56" s="618"/>
      <c r="Y56" s="618"/>
      <c r="Z56" s="618"/>
      <c r="AA56" s="618"/>
      <c r="AB56" s="619"/>
      <c r="AC56" s="588" t="s">
        <v>120</v>
      </c>
      <c r="AD56" s="589"/>
      <c r="AE56" s="589"/>
      <c r="AF56" s="589"/>
      <c r="AG56" s="589"/>
      <c r="AH56" s="590"/>
      <c r="AI56" s="617"/>
      <c r="AJ56" s="618"/>
      <c r="AK56" s="618"/>
      <c r="AL56" s="618"/>
      <c r="AM56" s="618"/>
      <c r="AN56" s="618"/>
      <c r="AO56" s="618"/>
      <c r="AP56" s="618"/>
      <c r="AQ56" s="618"/>
      <c r="AR56" s="618"/>
      <c r="AS56" s="618"/>
      <c r="AT56" s="618"/>
      <c r="AU56" s="618"/>
      <c r="AV56" s="618"/>
      <c r="AW56" s="618"/>
      <c r="AX56" s="597"/>
      <c r="AY56" s="598"/>
      <c r="AZ56" s="5"/>
      <c r="BD56" s="10"/>
      <c r="BE56" s="10"/>
    </row>
    <row r="57" spans="1:68">
      <c r="A57" s="272"/>
      <c r="B57" s="550"/>
      <c r="C57" s="550"/>
      <c r="D57" s="550"/>
      <c r="E57" s="550"/>
      <c r="F57" s="550"/>
      <c r="G57" s="551"/>
      <c r="H57" s="591"/>
      <c r="I57" s="592"/>
      <c r="J57" s="592"/>
      <c r="K57" s="592"/>
      <c r="L57" s="592"/>
      <c r="M57" s="593"/>
      <c r="N57" s="111" t="s">
        <v>80</v>
      </c>
      <c r="O57" s="603" t="s">
        <v>1083</v>
      </c>
      <c r="P57" s="603"/>
      <c r="Q57" s="603"/>
      <c r="R57" s="112" t="s">
        <v>81</v>
      </c>
      <c r="S57" s="603" t="s">
        <v>1084</v>
      </c>
      <c r="T57" s="603"/>
      <c r="U57" s="603"/>
      <c r="V57" s="603"/>
      <c r="W57" s="112" t="s">
        <v>82</v>
      </c>
      <c r="X57" s="603" t="s">
        <v>1085</v>
      </c>
      <c r="Y57" s="603"/>
      <c r="Z57" s="603"/>
      <c r="AA57" s="603"/>
      <c r="AB57" s="604"/>
      <c r="AC57" s="591"/>
      <c r="AD57" s="592"/>
      <c r="AE57" s="592"/>
      <c r="AF57" s="592"/>
      <c r="AG57" s="592"/>
      <c r="AH57" s="593"/>
      <c r="AI57" s="111" t="s">
        <v>80</v>
      </c>
      <c r="AJ57" s="603" t="s">
        <v>1086</v>
      </c>
      <c r="AK57" s="603"/>
      <c r="AL57" s="603"/>
      <c r="AM57" s="112" t="s">
        <v>81</v>
      </c>
      <c r="AN57" s="603" t="s">
        <v>1087</v>
      </c>
      <c r="AO57" s="603"/>
      <c r="AP57" s="603"/>
      <c r="AQ57" s="603"/>
      <c r="AR57" s="112" t="s">
        <v>82</v>
      </c>
      <c r="AS57" s="603" t="s">
        <v>1088</v>
      </c>
      <c r="AT57" s="603"/>
      <c r="AU57" s="603"/>
      <c r="AV57" s="603"/>
      <c r="AW57" s="603"/>
      <c r="AX57" s="599"/>
      <c r="AY57" s="600"/>
      <c r="AZ57" s="5"/>
      <c r="BD57" s="10"/>
      <c r="BE57" s="15"/>
    </row>
    <row r="58" spans="1:68" ht="11.25" customHeight="1">
      <c r="A58" s="272"/>
      <c r="B58" s="552"/>
      <c r="C58" s="552"/>
      <c r="D58" s="552"/>
      <c r="E58" s="552"/>
      <c r="F58" s="552"/>
      <c r="G58" s="553"/>
      <c r="H58" s="594"/>
      <c r="I58" s="595"/>
      <c r="J58" s="595"/>
      <c r="K58" s="595"/>
      <c r="L58" s="595"/>
      <c r="M58" s="596"/>
      <c r="N58" s="614"/>
      <c r="O58" s="615"/>
      <c r="P58" s="615"/>
      <c r="Q58" s="615"/>
      <c r="R58" s="615"/>
      <c r="S58" s="615"/>
      <c r="T58" s="615"/>
      <c r="U58" s="615"/>
      <c r="V58" s="615"/>
      <c r="W58" s="615"/>
      <c r="X58" s="615"/>
      <c r="Y58" s="615"/>
      <c r="Z58" s="615"/>
      <c r="AA58" s="615"/>
      <c r="AB58" s="616"/>
      <c r="AC58" s="594"/>
      <c r="AD58" s="595"/>
      <c r="AE58" s="595"/>
      <c r="AF58" s="595"/>
      <c r="AG58" s="595"/>
      <c r="AH58" s="596"/>
      <c r="AI58" s="614"/>
      <c r="AJ58" s="615"/>
      <c r="AK58" s="615"/>
      <c r="AL58" s="615"/>
      <c r="AM58" s="615"/>
      <c r="AN58" s="615"/>
      <c r="AO58" s="615"/>
      <c r="AP58" s="615"/>
      <c r="AQ58" s="615"/>
      <c r="AR58" s="615"/>
      <c r="AS58" s="615"/>
      <c r="AT58" s="615"/>
      <c r="AU58" s="615"/>
      <c r="AV58" s="615"/>
      <c r="AW58" s="615"/>
      <c r="AX58" s="601"/>
      <c r="AY58" s="602"/>
      <c r="AZ58" s="5"/>
      <c r="BD58" s="10" t="s">
        <v>119</v>
      </c>
      <c r="BK58" s="579" t="e">
        <v>#REF!</v>
      </c>
      <c r="BL58" s="579"/>
      <c r="BM58" s="579"/>
      <c r="BN58" s="579"/>
      <c r="BO58" s="579"/>
      <c r="BP58" s="579"/>
    </row>
    <row r="59" spans="1:68" ht="12.75" hidden="1" customHeight="1">
      <c r="A59" s="261"/>
      <c r="B59" s="232"/>
      <c r="C59" s="232"/>
      <c r="D59" s="232"/>
      <c r="E59" s="232"/>
      <c r="F59" s="232"/>
      <c r="G59" s="232"/>
      <c r="H59" s="233"/>
      <c r="I59" s="233"/>
      <c r="J59" s="233"/>
      <c r="K59" s="233"/>
      <c r="L59" s="233"/>
      <c r="M59" s="233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  <c r="AC59" s="233"/>
      <c r="AD59" s="233"/>
      <c r="AE59" s="233"/>
      <c r="AF59" s="233"/>
      <c r="AG59" s="233"/>
      <c r="AH59" s="233"/>
      <c r="AI59" s="112"/>
      <c r="AJ59" s="112"/>
      <c r="AK59" s="112"/>
      <c r="AL59" s="112"/>
      <c r="AM59" s="112"/>
      <c r="AN59" s="112"/>
      <c r="AO59" s="112"/>
      <c r="AP59" s="112"/>
      <c r="AQ59" s="112"/>
      <c r="AR59" s="112"/>
      <c r="AS59" s="112"/>
      <c r="AT59" s="112"/>
      <c r="AU59" s="112"/>
      <c r="AV59" s="112"/>
      <c r="AW59" s="112"/>
      <c r="AX59" s="234"/>
      <c r="AY59" s="234"/>
      <c r="AZ59" s="5"/>
      <c r="BD59" s="10"/>
      <c r="BK59" s="227"/>
      <c r="BL59" s="227"/>
      <c r="BM59" s="227"/>
      <c r="BN59" s="227"/>
      <c r="BO59" s="227"/>
      <c r="BP59" s="227"/>
    </row>
    <row r="60" spans="1:68" ht="12.75" hidden="1" customHeight="1">
      <c r="A60" s="261"/>
      <c r="B60" s="232"/>
      <c r="C60" s="232"/>
      <c r="D60" s="232"/>
      <c r="E60" s="232"/>
      <c r="F60" s="232"/>
      <c r="G60" s="232"/>
      <c r="H60" s="233"/>
      <c r="I60" s="233"/>
      <c r="J60" s="233"/>
      <c r="K60" s="233"/>
      <c r="L60" s="233"/>
      <c r="M60" s="233"/>
      <c r="N60" s="112"/>
      <c r="O60" s="112"/>
      <c r="P60" s="112"/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  <c r="AB60" s="112"/>
      <c r="AC60" s="233"/>
      <c r="AD60" s="233"/>
      <c r="AE60" s="233"/>
      <c r="AF60" s="233"/>
      <c r="AG60" s="233"/>
      <c r="AH60" s="233"/>
      <c r="AI60" s="112"/>
      <c r="AJ60" s="112"/>
      <c r="AK60" s="112"/>
      <c r="AL60" s="112"/>
      <c r="AM60" s="112"/>
      <c r="AN60" s="112"/>
      <c r="AO60" s="112"/>
      <c r="AP60" s="112"/>
      <c r="AQ60" s="112"/>
      <c r="AR60" s="112"/>
      <c r="AS60" s="112"/>
      <c r="AT60" s="112"/>
      <c r="AU60" s="112"/>
      <c r="AV60" s="112"/>
      <c r="AW60" s="112"/>
      <c r="AX60" s="234"/>
      <c r="AY60" s="234"/>
      <c r="AZ60" s="5"/>
      <c r="BD60" s="10"/>
      <c r="BK60" s="227"/>
      <c r="BL60" s="227"/>
      <c r="BM60" s="227"/>
      <c r="BN60" s="227"/>
      <c r="BO60" s="227"/>
      <c r="BP60" s="227"/>
    </row>
    <row r="61" spans="1:68" ht="12.75" hidden="1" customHeight="1">
      <c r="A61" s="261"/>
      <c r="B61" s="232"/>
      <c r="C61" s="232"/>
      <c r="D61" s="232"/>
      <c r="E61" s="232"/>
      <c r="F61" s="232"/>
      <c r="G61" s="232"/>
      <c r="H61" s="233"/>
      <c r="I61" s="233"/>
      <c r="J61" s="233"/>
      <c r="K61" s="233"/>
      <c r="L61" s="233"/>
      <c r="M61" s="233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233"/>
      <c r="AD61" s="233"/>
      <c r="AE61" s="233"/>
      <c r="AF61" s="233"/>
      <c r="AG61" s="233"/>
      <c r="AH61" s="233"/>
      <c r="AI61" s="112"/>
      <c r="AJ61" s="112"/>
      <c r="AK61" s="112"/>
      <c r="AL61" s="112"/>
      <c r="AM61" s="112"/>
      <c r="AN61" s="112"/>
      <c r="AO61" s="112"/>
      <c r="AP61" s="112"/>
      <c r="AQ61" s="112"/>
      <c r="AR61" s="112"/>
      <c r="AS61" s="112"/>
      <c r="AT61" s="112"/>
      <c r="AU61" s="112"/>
      <c r="AV61" s="112"/>
      <c r="AW61" s="112"/>
      <c r="AX61" s="234"/>
      <c r="AY61" s="234"/>
      <c r="AZ61" s="5"/>
      <c r="BD61" s="10"/>
      <c r="BK61" s="227"/>
      <c r="BL61" s="227"/>
      <c r="BM61" s="227"/>
      <c r="BN61" s="227"/>
      <c r="BO61" s="227"/>
      <c r="BP61" s="227"/>
    </row>
    <row r="62" spans="1:68" ht="13.5" customHeight="1">
      <c r="A62" s="261"/>
      <c r="B62" s="506" t="s">
        <v>121</v>
      </c>
      <c r="C62" s="580"/>
      <c r="D62" s="580"/>
      <c r="E62" s="580"/>
      <c r="F62" s="580"/>
      <c r="G62" s="580"/>
      <c r="H62" s="580"/>
      <c r="I62" s="580"/>
      <c r="J62" s="580"/>
      <c r="K62" s="580"/>
      <c r="L62" s="580"/>
      <c r="M62" s="580"/>
      <c r="N62" s="580"/>
      <c r="O62" s="580"/>
      <c r="P62" s="580"/>
      <c r="Q62" s="580"/>
      <c r="R62" s="580"/>
      <c r="S62" s="580"/>
      <c r="T62" s="580"/>
      <c r="U62" s="580"/>
      <c r="V62" s="580"/>
      <c r="W62" s="580"/>
      <c r="X62" s="580"/>
      <c r="Y62" s="580"/>
      <c r="Z62" s="580"/>
      <c r="AA62" s="580"/>
      <c r="AB62" s="580"/>
      <c r="AC62" s="580"/>
      <c r="AD62" s="580"/>
      <c r="AE62" s="580"/>
      <c r="AF62" s="580"/>
      <c r="AG62" s="580"/>
      <c r="AH62" s="580"/>
      <c r="AI62" s="580"/>
      <c r="AJ62" s="580"/>
      <c r="AK62" s="580"/>
      <c r="AL62" s="580"/>
      <c r="AM62" s="580"/>
      <c r="AN62" s="580"/>
      <c r="AO62" s="580"/>
      <c r="AP62" s="580"/>
      <c r="AQ62" s="580"/>
      <c r="AR62" s="580"/>
      <c r="AS62" s="580"/>
      <c r="AT62" s="580"/>
      <c r="AU62" s="580"/>
      <c r="AV62" s="580"/>
      <c r="AW62" s="580"/>
      <c r="AX62" s="580"/>
      <c r="AY62" s="580"/>
      <c r="AZ62" s="5"/>
    </row>
    <row r="63" spans="1:68" s="10" customFormat="1" ht="13.5" customHeight="1">
      <c r="A63" s="260"/>
      <c r="B63" s="580"/>
      <c r="C63" s="580"/>
      <c r="D63" s="580"/>
      <c r="E63" s="580"/>
      <c r="F63" s="580"/>
      <c r="G63" s="580"/>
      <c r="H63" s="580"/>
      <c r="I63" s="580"/>
      <c r="J63" s="580"/>
      <c r="K63" s="580"/>
      <c r="L63" s="580"/>
      <c r="M63" s="580"/>
      <c r="N63" s="580"/>
      <c r="O63" s="580"/>
      <c r="P63" s="580"/>
      <c r="Q63" s="580"/>
      <c r="R63" s="580"/>
      <c r="S63" s="580"/>
      <c r="T63" s="580"/>
      <c r="U63" s="580"/>
      <c r="V63" s="580"/>
      <c r="W63" s="580"/>
      <c r="X63" s="580"/>
      <c r="Y63" s="580"/>
      <c r="Z63" s="580"/>
      <c r="AA63" s="580"/>
      <c r="AB63" s="580"/>
      <c r="AC63" s="580"/>
      <c r="AD63" s="580"/>
      <c r="AE63" s="580"/>
      <c r="AF63" s="580"/>
      <c r="AG63" s="580"/>
      <c r="AH63" s="580"/>
      <c r="AI63" s="580"/>
      <c r="AJ63" s="580"/>
      <c r="AK63" s="580"/>
      <c r="AL63" s="580"/>
      <c r="AM63" s="580"/>
      <c r="AN63" s="580"/>
      <c r="AO63" s="580"/>
      <c r="AP63" s="580"/>
      <c r="AQ63" s="580"/>
      <c r="AR63" s="580"/>
      <c r="AS63" s="580"/>
      <c r="AT63" s="580"/>
      <c r="AU63" s="580"/>
      <c r="AV63" s="580"/>
      <c r="AW63" s="580"/>
      <c r="AX63" s="580"/>
      <c r="AY63" s="580"/>
      <c r="AZ63" s="274"/>
      <c r="BK63" s="15"/>
    </row>
    <row r="64" spans="1:68" s="7" customFormat="1" ht="21" customHeight="1">
      <c r="A64" s="271"/>
      <c r="B64" s="581" t="s">
        <v>122</v>
      </c>
      <c r="C64" s="582"/>
      <c r="D64" s="582"/>
      <c r="E64" s="582"/>
      <c r="F64" s="582"/>
      <c r="G64" s="582"/>
      <c r="H64" s="582"/>
      <c r="I64" s="582"/>
      <c r="J64" s="582"/>
      <c r="K64" s="582"/>
      <c r="L64" s="582"/>
      <c r="M64" s="583"/>
      <c r="N64" s="584"/>
      <c r="O64" s="584"/>
      <c r="P64" s="584"/>
      <c r="Q64" s="584"/>
      <c r="R64" s="584"/>
      <c r="S64" s="584"/>
      <c r="T64" s="584"/>
      <c r="U64" s="584"/>
      <c r="V64" s="584"/>
      <c r="W64" s="584"/>
      <c r="X64" s="584"/>
      <c r="Y64" s="585"/>
      <c r="Z64" s="586"/>
      <c r="AA64" s="586"/>
      <c r="AB64" s="586"/>
      <c r="AC64" s="586"/>
      <c r="AD64" s="586"/>
      <c r="AE64" s="586"/>
      <c r="AF64" s="586"/>
      <c r="AG64" s="586"/>
      <c r="AH64" s="586"/>
      <c r="AI64" s="586"/>
      <c r="AJ64" s="586"/>
      <c r="AK64" s="586"/>
      <c r="AL64" s="586"/>
      <c r="AM64" s="586"/>
      <c r="AN64" s="586"/>
      <c r="AO64" s="586"/>
      <c r="AP64" s="586"/>
      <c r="AQ64" s="586"/>
      <c r="AR64" s="586"/>
      <c r="AS64" s="586"/>
      <c r="AT64" s="586"/>
      <c r="AU64" s="586"/>
      <c r="AV64" s="586"/>
      <c r="AW64" s="586"/>
      <c r="AX64" s="586"/>
      <c r="AY64" s="587"/>
      <c r="AZ64" s="270"/>
      <c r="BK64" s="8"/>
    </row>
    <row r="65" spans="1:63">
      <c r="A65" s="272"/>
      <c r="B65" s="578" t="s">
        <v>123</v>
      </c>
      <c r="C65" s="578"/>
      <c r="D65" s="578"/>
      <c r="E65" s="578"/>
      <c r="F65" s="578"/>
      <c r="G65" s="578"/>
      <c r="H65" s="578"/>
      <c r="I65" s="578"/>
      <c r="J65" s="578"/>
      <c r="K65" s="578"/>
      <c r="L65" s="578"/>
      <c r="M65" s="578"/>
      <c r="N65" s="578"/>
      <c r="O65" s="578"/>
      <c r="P65" s="578"/>
      <c r="Q65" s="578"/>
      <c r="R65" s="578"/>
      <c r="S65" s="578"/>
      <c r="T65" s="578"/>
      <c r="U65" s="578"/>
      <c r="V65" s="578"/>
      <c r="W65" s="578"/>
      <c r="X65" s="578"/>
      <c r="Y65" s="578"/>
      <c r="Z65" s="530" t="s">
        <v>68</v>
      </c>
      <c r="AA65" s="531"/>
      <c r="AB65" s="527" t="s">
        <v>124</v>
      </c>
      <c r="AC65" s="528"/>
      <c r="AD65" s="528"/>
      <c r="AE65" s="528"/>
      <c r="AF65" s="528"/>
      <c r="AG65" s="528"/>
      <c r="AH65" s="528"/>
      <c r="AI65" s="529"/>
      <c r="AJ65" s="530" t="s">
        <v>1056</v>
      </c>
      <c r="AK65" s="531"/>
      <c r="AL65" s="527" t="s">
        <v>125</v>
      </c>
      <c r="AM65" s="528"/>
      <c r="AN65" s="528"/>
      <c r="AO65" s="528"/>
      <c r="AP65" s="528"/>
      <c r="AQ65" s="528"/>
      <c r="AR65" s="528"/>
      <c r="AS65" s="528"/>
      <c r="AT65" s="528"/>
      <c r="AU65" s="528"/>
      <c r="AV65" s="528"/>
      <c r="AW65" s="528"/>
      <c r="AX65" s="528"/>
      <c r="AY65" s="529"/>
      <c r="AZ65" s="5"/>
    </row>
    <row r="66" spans="1:63" ht="30" customHeight="1">
      <c r="A66" s="272"/>
      <c r="B66" s="532" t="s">
        <v>750</v>
      </c>
      <c r="C66" s="532"/>
      <c r="D66" s="532"/>
      <c r="E66" s="532"/>
      <c r="F66" s="532"/>
      <c r="G66" s="532"/>
      <c r="H66" s="532"/>
      <c r="I66" s="532"/>
      <c r="J66" s="532"/>
      <c r="K66" s="532"/>
      <c r="L66" s="532"/>
      <c r="M66" s="532"/>
      <c r="N66" s="532"/>
      <c r="O66" s="532"/>
      <c r="P66" s="532"/>
      <c r="Q66" s="532"/>
      <c r="R66" s="532"/>
      <c r="S66" s="532"/>
      <c r="T66" s="532"/>
      <c r="U66" s="532"/>
      <c r="V66" s="532"/>
      <c r="W66" s="532"/>
      <c r="X66" s="532"/>
      <c r="Y66" s="532"/>
      <c r="Z66" s="530" t="s">
        <v>68</v>
      </c>
      <c r="AA66" s="531"/>
      <c r="AB66" s="527" t="s">
        <v>126</v>
      </c>
      <c r="AC66" s="528"/>
      <c r="AD66" s="528"/>
      <c r="AE66" s="528"/>
      <c r="AF66" s="528"/>
      <c r="AG66" s="528"/>
      <c r="AH66" s="528"/>
      <c r="AI66" s="529"/>
      <c r="AJ66" s="533" t="s">
        <v>782</v>
      </c>
      <c r="AK66" s="528"/>
      <c r="AL66" s="528"/>
      <c r="AM66" s="528"/>
      <c r="AN66" s="528"/>
      <c r="AO66" s="528"/>
      <c r="AP66" s="528"/>
      <c r="AQ66" s="528"/>
      <c r="AR66" s="528"/>
      <c r="AS66" s="528"/>
      <c r="AT66" s="528"/>
      <c r="AU66" s="528"/>
      <c r="AV66" s="528"/>
      <c r="AW66" s="528"/>
      <c r="AX66" s="528"/>
      <c r="AY66" s="529"/>
      <c r="AZ66" s="5"/>
    </row>
    <row r="67" spans="1:63" ht="19.5" customHeight="1">
      <c r="A67" s="272"/>
      <c r="B67" s="556" t="s">
        <v>127</v>
      </c>
      <c r="C67" s="556"/>
      <c r="D67" s="556"/>
      <c r="E67" s="556"/>
      <c r="F67" s="556"/>
      <c r="G67" s="557"/>
      <c r="H67" s="558"/>
      <c r="I67" s="559"/>
      <c r="J67" s="559"/>
      <c r="K67" s="559"/>
      <c r="L67" s="559"/>
      <c r="M67" s="559"/>
      <c r="N67" s="559"/>
      <c r="O67" s="559"/>
      <c r="P67" s="559"/>
      <c r="Q67" s="559"/>
      <c r="R67" s="559"/>
      <c r="S67" s="559"/>
      <c r="T67" s="559"/>
      <c r="U67" s="559"/>
      <c r="V67" s="559"/>
      <c r="W67" s="559"/>
      <c r="X67" s="559"/>
      <c r="Y67" s="559"/>
      <c r="Z67" s="559"/>
      <c r="AA67" s="559"/>
      <c r="AB67" s="559"/>
      <c r="AC67" s="559"/>
      <c r="AD67" s="559"/>
      <c r="AE67" s="559"/>
      <c r="AF67" s="559"/>
      <c r="AG67" s="559"/>
      <c r="AH67" s="559"/>
      <c r="AI67" s="559"/>
      <c r="AJ67" s="559"/>
      <c r="AK67" s="559"/>
      <c r="AL67" s="559"/>
      <c r="AM67" s="559"/>
      <c r="AN67" s="559"/>
      <c r="AO67" s="559"/>
      <c r="AP67" s="559"/>
      <c r="AQ67" s="559"/>
      <c r="AR67" s="559"/>
      <c r="AS67" s="559"/>
      <c r="AT67" s="559"/>
      <c r="AU67" s="559"/>
      <c r="AV67" s="559"/>
      <c r="AW67" s="559"/>
      <c r="AX67" s="559"/>
      <c r="AY67" s="560"/>
      <c r="AZ67" s="5"/>
    </row>
    <row r="68" spans="1:63">
      <c r="A68" s="5"/>
      <c r="B68" s="268"/>
      <c r="C68" s="268"/>
      <c r="D68" s="268"/>
      <c r="E68" s="268"/>
      <c r="F68" s="268"/>
      <c r="G68" s="268"/>
      <c r="H68" s="268"/>
      <c r="I68" s="268"/>
      <c r="J68" s="268"/>
      <c r="K68" s="268"/>
      <c r="L68" s="268"/>
      <c r="M68" s="268"/>
      <c r="N68" s="268"/>
      <c r="O68" s="268"/>
      <c r="P68" s="268"/>
      <c r="Q68" s="268"/>
      <c r="R68" s="268"/>
      <c r="S68" s="268"/>
      <c r="T68" s="268"/>
      <c r="U68" s="268"/>
      <c r="V68" s="268"/>
      <c r="W68" s="268"/>
      <c r="X68" s="268"/>
      <c r="Y68" s="268"/>
      <c r="Z68" s="268"/>
      <c r="AA68" s="268"/>
      <c r="AB68" s="268"/>
      <c r="AC68" s="268"/>
      <c r="AD68" s="268"/>
      <c r="AE68" s="268"/>
      <c r="AF68" s="268"/>
      <c r="AG68" s="268"/>
      <c r="AH68" s="268"/>
      <c r="AI68" s="268"/>
      <c r="AJ68" s="268"/>
      <c r="AK68" s="268"/>
      <c r="AL68" s="268"/>
      <c r="AM68" s="268"/>
      <c r="AN68" s="268"/>
      <c r="AO68" s="268"/>
      <c r="AP68" s="268"/>
      <c r="AQ68" s="268"/>
      <c r="AR68" s="268"/>
      <c r="AS68" s="268"/>
      <c r="AT68" s="269"/>
      <c r="AU68" s="268"/>
      <c r="AV68" s="268"/>
      <c r="AW68" s="268"/>
      <c r="AX68" s="268"/>
      <c r="AY68" s="268"/>
      <c r="AZ68" s="5"/>
    </row>
    <row r="69" spans="1:63" s="10" customFormat="1" ht="13.5" customHeight="1">
      <c r="A69" s="274"/>
      <c r="B69" s="506" t="s">
        <v>128</v>
      </c>
      <c r="C69" s="506"/>
      <c r="D69" s="506"/>
      <c r="E69" s="506"/>
      <c r="F69" s="506"/>
      <c r="G69" s="506"/>
      <c r="H69" s="506"/>
      <c r="I69" s="506"/>
      <c r="J69" s="506"/>
      <c r="K69" s="506"/>
      <c r="L69" s="506"/>
      <c r="M69" s="506"/>
      <c r="N69" s="506"/>
      <c r="O69" s="506"/>
      <c r="P69" s="506"/>
      <c r="Q69" s="506"/>
      <c r="R69" s="506"/>
      <c r="S69" s="506"/>
      <c r="T69" s="506"/>
      <c r="U69" s="506"/>
      <c r="V69" s="506"/>
      <c r="W69" s="506"/>
      <c r="X69" s="506"/>
      <c r="Y69" s="506"/>
      <c r="Z69" s="506"/>
      <c r="AA69" s="506"/>
      <c r="AB69" s="506"/>
      <c r="AC69" s="506"/>
      <c r="AD69" s="506"/>
      <c r="AE69" s="506"/>
      <c r="AF69" s="506"/>
      <c r="AG69" s="506"/>
      <c r="AH69" s="506"/>
      <c r="AI69" s="506"/>
      <c r="AJ69" s="506"/>
      <c r="AK69" s="506"/>
      <c r="AL69" s="506"/>
      <c r="AM69" s="506"/>
      <c r="AN69" s="506"/>
      <c r="AO69" s="506"/>
      <c r="AP69" s="506"/>
      <c r="AQ69" s="506"/>
      <c r="AR69" s="506"/>
      <c r="AS69" s="506"/>
      <c r="AT69" s="506"/>
      <c r="AU69" s="506"/>
      <c r="AV69" s="506"/>
      <c r="AW69" s="506"/>
      <c r="AX69" s="506"/>
      <c r="AY69" s="506"/>
      <c r="AZ69" s="274"/>
      <c r="BK69" s="15"/>
    </row>
    <row r="70" spans="1:63" s="7" customFormat="1" ht="21" customHeight="1">
      <c r="A70" s="270"/>
      <c r="B70" s="506"/>
      <c r="C70" s="506"/>
      <c r="D70" s="506"/>
      <c r="E70" s="506"/>
      <c r="F70" s="506"/>
      <c r="G70" s="506"/>
      <c r="H70" s="506"/>
      <c r="I70" s="506"/>
      <c r="J70" s="506"/>
      <c r="K70" s="506"/>
      <c r="L70" s="506"/>
      <c r="M70" s="506"/>
      <c r="N70" s="506"/>
      <c r="O70" s="506"/>
      <c r="P70" s="506"/>
      <c r="Q70" s="506"/>
      <c r="R70" s="506"/>
      <c r="S70" s="506"/>
      <c r="T70" s="506"/>
      <c r="U70" s="506"/>
      <c r="V70" s="506"/>
      <c r="W70" s="506"/>
      <c r="X70" s="506"/>
      <c r="Y70" s="506"/>
      <c r="Z70" s="506"/>
      <c r="AA70" s="506"/>
      <c r="AB70" s="506"/>
      <c r="AC70" s="506"/>
      <c r="AD70" s="506"/>
      <c r="AE70" s="506"/>
      <c r="AF70" s="506"/>
      <c r="AG70" s="506"/>
      <c r="AH70" s="506"/>
      <c r="AI70" s="506"/>
      <c r="AJ70" s="506"/>
      <c r="AK70" s="506"/>
      <c r="AL70" s="506"/>
      <c r="AM70" s="506"/>
      <c r="AN70" s="506"/>
      <c r="AO70" s="506"/>
      <c r="AP70" s="506"/>
      <c r="AQ70" s="506"/>
      <c r="AR70" s="506"/>
      <c r="AS70" s="506"/>
      <c r="AT70" s="506"/>
      <c r="AU70" s="506"/>
      <c r="AV70" s="506"/>
      <c r="AW70" s="506"/>
      <c r="AX70" s="506"/>
      <c r="AY70" s="506"/>
      <c r="AZ70" s="270"/>
      <c r="BK70" s="8"/>
    </row>
    <row r="71" spans="1:63">
      <c r="A71" s="5"/>
      <c r="B71" s="509" t="s">
        <v>129</v>
      </c>
      <c r="C71" s="509"/>
      <c r="D71" s="509"/>
      <c r="E71" s="509"/>
      <c r="F71" s="509"/>
      <c r="G71" s="509"/>
      <c r="H71" s="509"/>
      <c r="I71" s="509"/>
      <c r="J71" s="509"/>
      <c r="K71" s="509"/>
      <c r="L71" s="521" t="s">
        <v>1089</v>
      </c>
      <c r="M71" s="522"/>
      <c r="N71" s="522"/>
      <c r="O71" s="522"/>
      <c r="P71" s="522"/>
      <c r="Q71" s="522"/>
      <c r="R71" s="522"/>
      <c r="S71" s="522"/>
      <c r="T71" s="522"/>
      <c r="U71" s="522"/>
      <c r="V71" s="522"/>
      <c r="W71" s="522"/>
      <c r="X71" s="522"/>
      <c r="Y71" s="522"/>
      <c r="Z71" s="522"/>
      <c r="AA71" s="523"/>
      <c r="AB71" s="524" t="s">
        <v>130</v>
      </c>
      <c r="AC71" s="525"/>
      <c r="AD71" s="525"/>
      <c r="AE71" s="525"/>
      <c r="AF71" s="525"/>
      <c r="AG71" s="525"/>
      <c r="AH71" s="525"/>
      <c r="AI71" s="525"/>
      <c r="AJ71" s="525"/>
      <c r="AK71" s="526"/>
      <c r="AL71" s="518" t="s">
        <v>1094</v>
      </c>
      <c r="AM71" s="519"/>
      <c r="AN71" s="519"/>
      <c r="AO71" s="519"/>
      <c r="AP71" s="519"/>
      <c r="AQ71" s="519"/>
      <c r="AR71" s="519"/>
      <c r="AS71" s="519"/>
      <c r="AT71" s="519"/>
      <c r="AU71" s="519"/>
      <c r="AV71" s="519"/>
      <c r="AW71" s="519"/>
      <c r="AX71" s="519"/>
      <c r="AY71" s="520"/>
      <c r="AZ71" s="5"/>
    </row>
    <row r="72" spans="1:63">
      <c r="A72" s="5"/>
      <c r="B72" s="509" t="s">
        <v>131</v>
      </c>
      <c r="C72" s="509"/>
      <c r="D72" s="509"/>
      <c r="E72" s="509"/>
      <c r="F72" s="509"/>
      <c r="G72" s="509"/>
      <c r="H72" s="509"/>
      <c r="I72" s="509"/>
      <c r="J72" s="509"/>
      <c r="K72" s="509"/>
      <c r="L72" s="521" t="s">
        <v>1090</v>
      </c>
      <c r="M72" s="522"/>
      <c r="N72" s="522"/>
      <c r="O72" s="522"/>
      <c r="P72" s="522"/>
      <c r="Q72" s="522"/>
      <c r="R72" s="522"/>
      <c r="S72" s="522"/>
      <c r="T72" s="522"/>
      <c r="U72" s="522"/>
      <c r="V72" s="522"/>
      <c r="W72" s="522"/>
      <c r="X72" s="522"/>
      <c r="Y72" s="522"/>
      <c r="Z72" s="522"/>
      <c r="AA72" s="523"/>
      <c r="AB72" s="515" t="s">
        <v>132</v>
      </c>
      <c r="AC72" s="516"/>
      <c r="AD72" s="516"/>
      <c r="AE72" s="516"/>
      <c r="AF72" s="516"/>
      <c r="AG72" s="516"/>
      <c r="AH72" s="516"/>
      <c r="AI72" s="516"/>
      <c r="AJ72" s="516"/>
      <c r="AK72" s="517"/>
      <c r="AL72" s="518" t="s">
        <v>1095</v>
      </c>
      <c r="AM72" s="519"/>
      <c r="AN72" s="519"/>
      <c r="AO72" s="519"/>
      <c r="AP72" s="519"/>
      <c r="AQ72" s="519"/>
      <c r="AR72" s="519"/>
      <c r="AS72" s="519"/>
      <c r="AT72" s="519"/>
      <c r="AU72" s="519"/>
      <c r="AV72" s="519"/>
      <c r="AW72" s="519"/>
      <c r="AX72" s="519"/>
      <c r="AY72" s="520"/>
      <c r="AZ72" s="5"/>
    </row>
    <row r="73" spans="1:63">
      <c r="A73" s="5"/>
      <c r="B73" s="509" t="s">
        <v>133</v>
      </c>
      <c r="C73" s="509"/>
      <c r="D73" s="509"/>
      <c r="E73" s="509"/>
      <c r="F73" s="509"/>
      <c r="G73" s="509"/>
      <c r="H73" s="509"/>
      <c r="I73" s="509"/>
      <c r="J73" s="509"/>
      <c r="K73" s="509"/>
      <c r="L73" s="512" t="s">
        <v>1091</v>
      </c>
      <c r="M73" s="513"/>
      <c r="N73" s="513"/>
      <c r="O73" s="513"/>
      <c r="P73" s="513"/>
      <c r="Q73" s="513"/>
      <c r="R73" s="513"/>
      <c r="S73" s="513"/>
      <c r="T73" s="513"/>
      <c r="U73" s="513"/>
      <c r="V73" s="513"/>
      <c r="W73" s="513"/>
      <c r="X73" s="513"/>
      <c r="Y73" s="513"/>
      <c r="Z73" s="513"/>
      <c r="AA73" s="514"/>
      <c r="AB73" s="515" t="s">
        <v>769</v>
      </c>
      <c r="AC73" s="516"/>
      <c r="AD73" s="516"/>
      <c r="AE73" s="516"/>
      <c r="AF73" s="516"/>
      <c r="AG73" s="516"/>
      <c r="AH73" s="516"/>
      <c r="AI73" s="516"/>
      <c r="AJ73" s="516"/>
      <c r="AK73" s="517"/>
      <c r="AL73" s="518" t="s">
        <v>1096</v>
      </c>
      <c r="AM73" s="519"/>
      <c r="AN73" s="519"/>
      <c r="AO73" s="519"/>
      <c r="AP73" s="519"/>
      <c r="AQ73" s="519"/>
      <c r="AR73" s="519"/>
      <c r="AS73" s="519"/>
      <c r="AT73" s="519"/>
      <c r="AU73" s="519"/>
      <c r="AV73" s="519"/>
      <c r="AW73" s="519"/>
      <c r="AX73" s="519"/>
      <c r="AY73" s="520"/>
      <c r="AZ73" s="5"/>
    </row>
    <row r="74" spans="1:63">
      <c r="A74" s="5"/>
      <c r="B74" s="509" t="s">
        <v>134</v>
      </c>
      <c r="C74" s="509"/>
      <c r="D74" s="509"/>
      <c r="E74" s="509"/>
      <c r="F74" s="509"/>
      <c r="G74" s="509"/>
      <c r="H74" s="509"/>
      <c r="I74" s="509"/>
      <c r="J74" s="509"/>
      <c r="K74" s="509"/>
      <c r="L74" s="495" t="s">
        <v>1081</v>
      </c>
      <c r="M74" s="495"/>
      <c r="N74" s="495"/>
      <c r="O74" s="495"/>
      <c r="P74" s="495"/>
      <c r="Q74" s="495"/>
      <c r="R74" s="495"/>
      <c r="S74" s="495"/>
      <c r="T74" s="495"/>
      <c r="U74" s="495"/>
      <c r="V74" s="495"/>
      <c r="W74" s="495"/>
      <c r="X74" s="495"/>
      <c r="Y74" s="495"/>
      <c r="Z74" s="495"/>
      <c r="AA74" s="495"/>
      <c r="AB74" s="515" t="s">
        <v>135</v>
      </c>
      <c r="AC74" s="516"/>
      <c r="AD74" s="516"/>
      <c r="AE74" s="516"/>
      <c r="AF74" s="516"/>
      <c r="AG74" s="516"/>
      <c r="AH74" s="516"/>
      <c r="AI74" s="516"/>
      <c r="AJ74" s="516"/>
      <c r="AK74" s="516"/>
      <c r="AL74" s="518" t="s">
        <v>1097</v>
      </c>
      <c r="AM74" s="519"/>
      <c r="AN74" s="519"/>
      <c r="AO74" s="519"/>
      <c r="AP74" s="519"/>
      <c r="AQ74" s="519"/>
      <c r="AR74" s="519"/>
      <c r="AS74" s="519"/>
      <c r="AT74" s="519"/>
      <c r="AU74" s="519"/>
      <c r="AV74" s="519"/>
      <c r="AW74" s="519"/>
      <c r="AX74" s="519"/>
      <c r="AY74" s="520"/>
      <c r="AZ74" s="5"/>
    </row>
    <row r="75" spans="1:63">
      <c r="A75" s="5"/>
      <c r="B75" s="509" t="s">
        <v>136</v>
      </c>
      <c r="C75" s="509"/>
      <c r="D75" s="509"/>
      <c r="E75" s="509"/>
      <c r="F75" s="509"/>
      <c r="G75" s="509"/>
      <c r="H75" s="509"/>
      <c r="I75" s="509"/>
      <c r="J75" s="509"/>
      <c r="K75" s="509"/>
      <c r="L75" s="495" t="s">
        <v>1092</v>
      </c>
      <c r="M75" s="495"/>
      <c r="N75" s="495"/>
      <c r="O75" s="495"/>
      <c r="P75" s="495"/>
      <c r="Q75" s="495"/>
      <c r="R75" s="495"/>
      <c r="S75" s="495"/>
      <c r="T75" s="495"/>
      <c r="U75" s="495"/>
      <c r="V75" s="495"/>
      <c r="W75" s="495"/>
      <c r="X75" s="495"/>
      <c r="Y75" s="495"/>
      <c r="Z75" s="495"/>
      <c r="AA75" s="495"/>
      <c r="AB75" s="495"/>
      <c r="AC75" s="495"/>
      <c r="AD75" s="495"/>
      <c r="AE75" s="495"/>
      <c r="AF75" s="495"/>
      <c r="AG75" s="495"/>
      <c r="AH75" s="495"/>
      <c r="AI75" s="495"/>
      <c r="AJ75" s="495"/>
      <c r="AK75" s="495"/>
      <c r="AL75" s="495"/>
      <c r="AM75" s="495"/>
      <c r="AN75" s="495"/>
      <c r="AO75" s="495"/>
      <c r="AP75" s="495"/>
      <c r="AQ75" s="495"/>
      <c r="AR75" s="495"/>
      <c r="AS75" s="495"/>
      <c r="AT75" s="495"/>
      <c r="AU75" s="495"/>
      <c r="AV75" s="495"/>
      <c r="AW75" s="495"/>
      <c r="AX75" s="495"/>
      <c r="AY75" s="495"/>
      <c r="AZ75" s="5"/>
    </row>
    <row r="76" spans="1:63">
      <c r="A76" s="5"/>
      <c r="B76" s="509" t="s">
        <v>137</v>
      </c>
      <c r="C76" s="509"/>
      <c r="D76" s="509"/>
      <c r="E76" s="509"/>
      <c r="F76" s="509"/>
      <c r="G76" s="509"/>
      <c r="H76" s="509"/>
      <c r="I76" s="509"/>
      <c r="J76" s="509"/>
      <c r="K76" s="509"/>
      <c r="L76" s="510" t="s">
        <v>1093</v>
      </c>
      <c r="M76" s="511"/>
      <c r="N76" s="511"/>
      <c r="O76" s="511"/>
      <c r="P76" s="511"/>
      <c r="Q76" s="511"/>
      <c r="R76" s="511"/>
      <c r="S76" s="511"/>
      <c r="T76" s="511"/>
      <c r="U76" s="511"/>
      <c r="V76" s="511"/>
      <c r="W76" s="511"/>
      <c r="X76" s="511"/>
      <c r="Y76" s="511"/>
      <c r="Z76" s="511"/>
      <c r="AA76" s="511"/>
      <c r="AB76" s="511"/>
      <c r="AC76" s="511"/>
      <c r="AD76" s="511"/>
      <c r="AE76" s="511"/>
      <c r="AF76" s="511"/>
      <c r="AG76" s="511"/>
      <c r="AH76" s="511"/>
      <c r="AI76" s="511"/>
      <c r="AJ76" s="511"/>
      <c r="AK76" s="511"/>
      <c r="AL76" s="511"/>
      <c r="AM76" s="511"/>
      <c r="AN76" s="511"/>
      <c r="AO76" s="511"/>
      <c r="AP76" s="511"/>
      <c r="AQ76" s="511"/>
      <c r="AR76" s="511"/>
      <c r="AS76" s="511"/>
      <c r="AT76" s="511"/>
      <c r="AU76" s="511"/>
      <c r="AV76" s="511"/>
      <c r="AW76" s="511"/>
      <c r="AX76" s="511"/>
      <c r="AY76" s="511"/>
      <c r="AZ76" s="5"/>
    </row>
    <row r="77" spans="1:63">
      <c r="A77" s="5"/>
      <c r="B77" s="194"/>
      <c r="C77" s="194"/>
      <c r="D77" s="194"/>
      <c r="E77" s="194"/>
      <c r="F77" s="194"/>
      <c r="G77" s="194"/>
      <c r="H77" s="194"/>
      <c r="I77" s="194"/>
      <c r="J77" s="194"/>
      <c r="K77" s="194"/>
      <c r="L77" s="114"/>
      <c r="M77" s="114"/>
      <c r="N77" s="114"/>
      <c r="O77" s="114"/>
      <c r="P77" s="114"/>
      <c r="Q77" s="114"/>
      <c r="R77" s="114"/>
      <c r="S77" s="114"/>
      <c r="T77" s="114"/>
      <c r="U77" s="114"/>
      <c r="V77" s="114"/>
      <c r="W77" s="114"/>
      <c r="X77" s="114"/>
      <c r="Y77" s="114"/>
      <c r="Z77" s="114"/>
      <c r="AA77" s="114"/>
      <c r="AB77" s="114"/>
      <c r="AC77" s="114"/>
      <c r="AD77" s="114"/>
      <c r="AE77" s="114"/>
      <c r="AF77" s="114"/>
      <c r="AG77" s="114"/>
      <c r="AH77" s="114"/>
      <c r="AI77" s="114"/>
      <c r="AJ77" s="114"/>
      <c r="AK77" s="114"/>
      <c r="AL77" s="114"/>
      <c r="AM77" s="114"/>
      <c r="AN77" s="114"/>
      <c r="AO77" s="114"/>
      <c r="AP77" s="114"/>
      <c r="AQ77" s="114"/>
      <c r="AR77" s="114"/>
      <c r="AS77" s="114"/>
      <c r="AT77" s="114"/>
      <c r="AU77" s="114"/>
      <c r="AV77" s="114"/>
      <c r="AW77" s="114"/>
      <c r="AX77" s="114"/>
      <c r="AY77" s="114"/>
      <c r="AZ77" s="5"/>
    </row>
    <row r="78" spans="1:63">
      <c r="A78" s="5"/>
      <c r="B78" s="506" t="s">
        <v>138</v>
      </c>
      <c r="C78" s="506"/>
      <c r="D78" s="506"/>
      <c r="E78" s="506"/>
      <c r="F78" s="506"/>
      <c r="G78" s="506"/>
      <c r="H78" s="506"/>
      <c r="I78" s="506"/>
      <c r="J78" s="506"/>
      <c r="K78" s="506"/>
      <c r="L78" s="506"/>
      <c r="M78" s="506"/>
      <c r="N78" s="506"/>
      <c r="O78" s="506"/>
      <c r="P78" s="506"/>
      <c r="Q78" s="506"/>
      <c r="R78" s="506"/>
      <c r="S78" s="506"/>
      <c r="T78" s="506"/>
      <c r="U78" s="506"/>
      <c r="V78" s="506"/>
      <c r="W78" s="506"/>
      <c r="X78" s="506"/>
      <c r="Y78" s="506"/>
      <c r="Z78" s="506"/>
      <c r="AA78" s="506"/>
      <c r="AB78" s="506"/>
      <c r="AC78" s="506"/>
      <c r="AD78" s="506"/>
      <c r="AE78" s="506"/>
      <c r="AF78" s="506"/>
      <c r="AG78" s="506"/>
      <c r="AH78" s="506"/>
      <c r="AI78" s="506"/>
      <c r="AJ78" s="506"/>
      <c r="AK78" s="506"/>
      <c r="AL78" s="506"/>
      <c r="AM78" s="506"/>
      <c r="AN78" s="506"/>
      <c r="AO78" s="506"/>
      <c r="AP78" s="506"/>
      <c r="AQ78" s="506"/>
      <c r="AR78" s="506"/>
      <c r="AS78" s="506"/>
      <c r="AT78" s="506"/>
      <c r="AU78" s="506"/>
      <c r="AV78" s="506"/>
      <c r="AW78" s="506"/>
      <c r="AX78" s="506"/>
      <c r="AY78" s="506"/>
      <c r="AZ78" s="5"/>
    </row>
    <row r="79" spans="1:63" s="7" customFormat="1" ht="21" customHeight="1">
      <c r="A79" s="270"/>
      <c r="B79" s="506"/>
      <c r="C79" s="506"/>
      <c r="D79" s="506"/>
      <c r="E79" s="506"/>
      <c r="F79" s="506"/>
      <c r="G79" s="506"/>
      <c r="H79" s="506"/>
      <c r="I79" s="506"/>
      <c r="J79" s="506"/>
      <c r="K79" s="506"/>
      <c r="L79" s="506"/>
      <c r="M79" s="506"/>
      <c r="N79" s="506"/>
      <c r="O79" s="506"/>
      <c r="P79" s="506"/>
      <c r="Q79" s="506"/>
      <c r="R79" s="506"/>
      <c r="S79" s="506"/>
      <c r="T79" s="506"/>
      <c r="U79" s="506"/>
      <c r="V79" s="506"/>
      <c r="W79" s="506"/>
      <c r="X79" s="506"/>
      <c r="Y79" s="506"/>
      <c r="Z79" s="506"/>
      <c r="AA79" s="506"/>
      <c r="AB79" s="506"/>
      <c r="AC79" s="506"/>
      <c r="AD79" s="506"/>
      <c r="AE79" s="506"/>
      <c r="AF79" s="506"/>
      <c r="AG79" s="506"/>
      <c r="AH79" s="506"/>
      <c r="AI79" s="506"/>
      <c r="AJ79" s="506"/>
      <c r="AK79" s="506"/>
      <c r="AL79" s="506"/>
      <c r="AM79" s="506"/>
      <c r="AN79" s="506"/>
      <c r="AO79" s="506"/>
      <c r="AP79" s="506"/>
      <c r="AQ79" s="506"/>
      <c r="AR79" s="506"/>
      <c r="AS79" s="506"/>
      <c r="AT79" s="506"/>
      <c r="AU79" s="506"/>
      <c r="AV79" s="506"/>
      <c r="AW79" s="506"/>
      <c r="AX79" s="506"/>
      <c r="AY79" s="506"/>
      <c r="AZ79" s="270"/>
      <c r="BK79" s="8"/>
    </row>
    <row r="80" spans="1:63" s="7" customFormat="1" ht="21" customHeight="1">
      <c r="A80" s="270"/>
      <c r="B80" s="507" t="s">
        <v>1056</v>
      </c>
      <c r="C80" s="507"/>
      <c r="D80" s="507"/>
      <c r="E80" s="508" t="s">
        <v>139</v>
      </c>
      <c r="F80" s="508"/>
      <c r="G80" s="508"/>
      <c r="H80" s="508"/>
      <c r="I80" s="508"/>
      <c r="J80" s="508"/>
      <c r="K80" s="508"/>
      <c r="L80" s="508"/>
      <c r="M80" s="508"/>
      <c r="N80" s="508"/>
      <c r="O80" s="508"/>
      <c r="P80" s="508"/>
      <c r="Q80" s="508"/>
      <c r="R80" s="508"/>
      <c r="S80" s="508"/>
      <c r="T80" s="508"/>
      <c r="U80" s="508"/>
      <c r="V80" s="508"/>
      <c r="W80" s="508"/>
      <c r="X80" s="508"/>
      <c r="Y80" s="508"/>
      <c r="Z80" s="508"/>
      <c r="AA80" s="508"/>
      <c r="AB80" s="508"/>
      <c r="AC80" s="508"/>
      <c r="AD80" s="508"/>
      <c r="AE80" s="508"/>
      <c r="AF80" s="508"/>
      <c r="AG80" s="508"/>
      <c r="AH80" s="508"/>
      <c r="AI80" s="508"/>
      <c r="AJ80" s="508"/>
      <c r="AK80" s="508"/>
      <c r="AL80" s="508"/>
      <c r="AM80" s="508"/>
      <c r="AN80" s="508"/>
      <c r="AO80" s="508"/>
      <c r="AP80" s="508"/>
      <c r="AQ80" s="508"/>
      <c r="AR80" s="508"/>
      <c r="AS80" s="508"/>
      <c r="AT80" s="508"/>
      <c r="AU80" s="508"/>
      <c r="AV80" s="508"/>
      <c r="AW80" s="508"/>
      <c r="AX80" s="508"/>
      <c r="AY80" s="508"/>
      <c r="AZ80" s="270"/>
      <c r="BK80" s="8"/>
    </row>
    <row r="81" spans="1:63" ht="12.75" customHeight="1">
      <c r="A81" s="5"/>
      <c r="B81" s="509" t="s">
        <v>129</v>
      </c>
      <c r="C81" s="509"/>
      <c r="D81" s="509"/>
      <c r="E81" s="509"/>
      <c r="F81" s="509"/>
      <c r="G81" s="509"/>
      <c r="H81" s="509"/>
      <c r="I81" s="509"/>
      <c r="J81" s="509"/>
      <c r="K81" s="509"/>
      <c r="L81" s="495" t="s">
        <v>1099</v>
      </c>
      <c r="M81" s="495"/>
      <c r="N81" s="495"/>
      <c r="O81" s="495"/>
      <c r="P81" s="495"/>
      <c r="Q81" s="495"/>
      <c r="R81" s="495"/>
      <c r="S81" s="495"/>
      <c r="T81" s="495"/>
      <c r="U81" s="495"/>
      <c r="V81" s="495"/>
      <c r="W81" s="495"/>
      <c r="X81" s="495"/>
      <c r="Y81" s="495"/>
      <c r="Z81" s="495"/>
      <c r="AA81" s="495"/>
      <c r="AB81" s="515" t="s">
        <v>130</v>
      </c>
      <c r="AC81" s="516"/>
      <c r="AD81" s="516"/>
      <c r="AE81" s="516"/>
      <c r="AF81" s="516"/>
      <c r="AG81" s="516"/>
      <c r="AH81" s="516"/>
      <c r="AI81" s="516"/>
      <c r="AJ81" s="516"/>
      <c r="AK81" s="517"/>
      <c r="AL81" s="518" t="s">
        <v>1094</v>
      </c>
      <c r="AM81" s="519"/>
      <c r="AN81" s="519"/>
      <c r="AO81" s="519"/>
      <c r="AP81" s="519"/>
      <c r="AQ81" s="519"/>
      <c r="AR81" s="519"/>
      <c r="AS81" s="519"/>
      <c r="AT81" s="519"/>
      <c r="AU81" s="519"/>
      <c r="AV81" s="519"/>
      <c r="AW81" s="519"/>
      <c r="AX81" s="519"/>
      <c r="AY81" s="520"/>
      <c r="AZ81" s="5"/>
    </row>
    <row r="82" spans="1:63">
      <c r="A82" s="5"/>
      <c r="B82" s="509" t="s">
        <v>131</v>
      </c>
      <c r="C82" s="509"/>
      <c r="D82" s="509"/>
      <c r="E82" s="509"/>
      <c r="F82" s="509"/>
      <c r="G82" s="509"/>
      <c r="H82" s="509"/>
      <c r="I82" s="509"/>
      <c r="J82" s="509"/>
      <c r="K82" s="509"/>
      <c r="L82" s="495" t="s">
        <v>1100</v>
      </c>
      <c r="M82" s="495"/>
      <c r="N82" s="495"/>
      <c r="O82" s="495"/>
      <c r="P82" s="495"/>
      <c r="Q82" s="495"/>
      <c r="R82" s="495"/>
      <c r="S82" s="495"/>
      <c r="T82" s="495"/>
      <c r="U82" s="495"/>
      <c r="V82" s="495"/>
      <c r="W82" s="495"/>
      <c r="X82" s="495"/>
      <c r="Y82" s="495"/>
      <c r="Z82" s="495"/>
      <c r="AA82" s="495"/>
      <c r="AB82" s="515" t="s">
        <v>132</v>
      </c>
      <c r="AC82" s="516"/>
      <c r="AD82" s="516"/>
      <c r="AE82" s="516"/>
      <c r="AF82" s="516"/>
      <c r="AG82" s="516"/>
      <c r="AH82" s="516"/>
      <c r="AI82" s="516"/>
      <c r="AJ82" s="516"/>
      <c r="AK82" s="517"/>
      <c r="AL82" s="518" t="s">
        <v>1100</v>
      </c>
      <c r="AM82" s="519"/>
      <c r="AN82" s="519"/>
      <c r="AO82" s="519"/>
      <c r="AP82" s="519"/>
      <c r="AQ82" s="519"/>
      <c r="AR82" s="519"/>
      <c r="AS82" s="519"/>
      <c r="AT82" s="519"/>
      <c r="AU82" s="519"/>
      <c r="AV82" s="519"/>
      <c r="AW82" s="519"/>
      <c r="AX82" s="519"/>
      <c r="AY82" s="520"/>
      <c r="AZ82" s="5"/>
    </row>
    <row r="83" spans="1:63">
      <c r="A83" s="5"/>
      <c r="B83" s="509" t="s">
        <v>133</v>
      </c>
      <c r="C83" s="509"/>
      <c r="D83" s="509"/>
      <c r="E83" s="509"/>
      <c r="F83" s="509"/>
      <c r="G83" s="509"/>
      <c r="H83" s="509"/>
      <c r="I83" s="509"/>
      <c r="J83" s="509"/>
      <c r="K83" s="509"/>
      <c r="L83" s="495" t="s">
        <v>1101</v>
      </c>
      <c r="M83" s="495"/>
      <c r="N83" s="495"/>
      <c r="O83" s="495"/>
      <c r="P83" s="495"/>
      <c r="Q83" s="495"/>
      <c r="R83" s="495"/>
      <c r="S83" s="495"/>
      <c r="T83" s="495"/>
      <c r="U83" s="495"/>
      <c r="V83" s="495"/>
      <c r="W83" s="495"/>
      <c r="X83" s="495"/>
      <c r="Y83" s="495"/>
      <c r="Z83" s="495"/>
      <c r="AA83" s="495"/>
      <c r="AB83" s="495"/>
      <c r="AC83" s="495"/>
      <c r="AD83" s="495"/>
      <c r="AE83" s="495"/>
      <c r="AF83" s="495"/>
      <c r="AG83" s="495"/>
      <c r="AH83" s="495"/>
      <c r="AI83" s="495"/>
      <c r="AJ83" s="495"/>
      <c r="AK83" s="495"/>
      <c r="AL83" s="495"/>
      <c r="AM83" s="495"/>
      <c r="AN83" s="495"/>
      <c r="AO83" s="495"/>
      <c r="AP83" s="495"/>
      <c r="AQ83" s="495"/>
      <c r="AR83" s="495"/>
      <c r="AS83" s="495"/>
      <c r="AT83" s="495"/>
      <c r="AU83" s="495"/>
      <c r="AV83" s="495"/>
      <c r="AW83" s="495"/>
      <c r="AX83" s="495"/>
      <c r="AY83" s="495"/>
      <c r="AZ83" s="5"/>
    </row>
    <row r="84" spans="1:63">
      <c r="A84" s="5"/>
      <c r="B84" s="509" t="s">
        <v>140</v>
      </c>
      <c r="C84" s="509"/>
      <c r="D84" s="509"/>
      <c r="E84" s="509"/>
      <c r="F84" s="509"/>
      <c r="G84" s="509"/>
      <c r="H84" s="509"/>
      <c r="I84" s="509"/>
      <c r="J84" s="509"/>
      <c r="K84" s="509"/>
      <c r="L84" s="495" t="s">
        <v>1102</v>
      </c>
      <c r="M84" s="495"/>
      <c r="N84" s="495"/>
      <c r="O84" s="495"/>
      <c r="P84" s="495"/>
      <c r="Q84" s="495"/>
      <c r="R84" s="495"/>
      <c r="S84" s="495"/>
      <c r="T84" s="495"/>
      <c r="U84" s="495"/>
      <c r="V84" s="495"/>
      <c r="W84" s="495"/>
      <c r="X84" s="495"/>
      <c r="Y84" s="495"/>
      <c r="Z84" s="495"/>
      <c r="AA84" s="495"/>
      <c r="AB84" s="515" t="s">
        <v>141</v>
      </c>
      <c r="AC84" s="516"/>
      <c r="AD84" s="516"/>
      <c r="AE84" s="516"/>
      <c r="AF84" s="516"/>
      <c r="AG84" s="516"/>
      <c r="AH84" s="516"/>
      <c r="AI84" s="516"/>
      <c r="AJ84" s="516"/>
      <c r="AK84" s="517"/>
      <c r="AL84" s="518" t="s">
        <v>1097</v>
      </c>
      <c r="AM84" s="519"/>
      <c r="AN84" s="519"/>
      <c r="AO84" s="519"/>
      <c r="AP84" s="519"/>
      <c r="AQ84" s="519"/>
      <c r="AR84" s="519"/>
      <c r="AS84" s="519"/>
      <c r="AT84" s="519"/>
      <c r="AU84" s="519"/>
      <c r="AV84" s="519"/>
      <c r="AW84" s="519"/>
      <c r="AX84" s="519"/>
      <c r="AY84" s="520"/>
      <c r="AZ84" s="5"/>
    </row>
    <row r="85" spans="1:63">
      <c r="A85" s="5"/>
      <c r="B85" s="509" t="s">
        <v>142</v>
      </c>
      <c r="C85" s="509"/>
      <c r="D85" s="509"/>
      <c r="E85" s="509"/>
      <c r="F85" s="509"/>
      <c r="G85" s="509"/>
      <c r="H85" s="509"/>
      <c r="I85" s="509"/>
      <c r="J85" s="509"/>
      <c r="K85" s="509"/>
      <c r="L85" s="495" t="s">
        <v>1092</v>
      </c>
      <c r="M85" s="495"/>
      <c r="N85" s="495"/>
      <c r="O85" s="495"/>
      <c r="P85" s="495"/>
      <c r="Q85" s="495"/>
      <c r="R85" s="495"/>
      <c r="S85" s="495"/>
      <c r="T85" s="495"/>
      <c r="U85" s="495"/>
      <c r="V85" s="495"/>
      <c r="W85" s="495"/>
      <c r="X85" s="495"/>
      <c r="Y85" s="495"/>
      <c r="Z85" s="495"/>
      <c r="AA85" s="495"/>
      <c r="AB85" s="495"/>
      <c r="AC85" s="495"/>
      <c r="AD85" s="495"/>
      <c r="AE85" s="495"/>
      <c r="AF85" s="495"/>
      <c r="AG85" s="495"/>
      <c r="AH85" s="495"/>
      <c r="AI85" s="495"/>
      <c r="AJ85" s="495"/>
      <c r="AK85" s="495"/>
      <c r="AL85" s="495"/>
      <c r="AM85" s="495"/>
      <c r="AN85" s="495"/>
      <c r="AO85" s="495"/>
      <c r="AP85" s="495"/>
      <c r="AQ85" s="495"/>
      <c r="AR85" s="495"/>
      <c r="AS85" s="495"/>
      <c r="AT85" s="495"/>
      <c r="AU85" s="495"/>
      <c r="AV85" s="495"/>
      <c r="AW85" s="495"/>
      <c r="AX85" s="495"/>
      <c r="AY85" s="495"/>
      <c r="AZ85" s="5"/>
    </row>
    <row r="86" spans="1:63">
      <c r="A86" s="5"/>
      <c r="B86" s="509" t="s">
        <v>143</v>
      </c>
      <c r="C86" s="509"/>
      <c r="D86" s="509"/>
      <c r="E86" s="509"/>
      <c r="F86" s="509"/>
      <c r="G86" s="509"/>
      <c r="H86" s="509"/>
      <c r="I86" s="509"/>
      <c r="J86" s="509"/>
      <c r="K86" s="509"/>
      <c r="L86" s="510" t="s">
        <v>1093</v>
      </c>
      <c r="M86" s="511"/>
      <c r="N86" s="511"/>
      <c r="O86" s="511"/>
      <c r="P86" s="511"/>
      <c r="Q86" s="511"/>
      <c r="R86" s="511"/>
      <c r="S86" s="511"/>
      <c r="T86" s="511"/>
      <c r="U86" s="511"/>
      <c r="V86" s="511"/>
      <c r="W86" s="511"/>
      <c r="X86" s="511"/>
      <c r="Y86" s="511"/>
      <c r="Z86" s="511"/>
      <c r="AA86" s="511"/>
      <c r="AB86" s="511"/>
      <c r="AC86" s="511"/>
      <c r="AD86" s="511"/>
      <c r="AE86" s="511"/>
      <c r="AF86" s="511"/>
      <c r="AG86" s="511"/>
      <c r="AH86" s="511"/>
      <c r="AI86" s="511"/>
      <c r="AJ86" s="511"/>
      <c r="AK86" s="511"/>
      <c r="AL86" s="511"/>
      <c r="AM86" s="511"/>
      <c r="AN86" s="511"/>
      <c r="AO86" s="511"/>
      <c r="AP86" s="511"/>
      <c r="AQ86" s="511"/>
      <c r="AR86" s="511"/>
      <c r="AS86" s="511"/>
      <c r="AT86" s="511"/>
      <c r="AU86" s="511"/>
      <c r="AV86" s="511"/>
      <c r="AW86" s="511"/>
      <c r="AX86" s="511"/>
      <c r="AY86" s="511"/>
      <c r="AZ86" s="5"/>
    </row>
    <row r="87" spans="1:63">
      <c r="A87" s="5"/>
      <c r="B87" s="5"/>
      <c r="C87" s="195"/>
      <c r="D87" s="195"/>
      <c r="E87" s="195"/>
      <c r="F87" s="195"/>
      <c r="G87" s="195"/>
      <c r="H87" s="195"/>
      <c r="I87" s="195"/>
      <c r="J87" s="195"/>
      <c r="K87" s="195"/>
      <c r="L87" s="195"/>
      <c r="M87" s="195"/>
      <c r="N87" s="195"/>
      <c r="O87" s="195"/>
      <c r="P87" s="195"/>
      <c r="Q87" s="195"/>
      <c r="R87" s="195"/>
      <c r="S87" s="195"/>
      <c r="T87" s="195"/>
      <c r="U87" s="195"/>
      <c r="V87" s="195"/>
      <c r="W87" s="195"/>
      <c r="X87" s="195"/>
      <c r="Y87" s="195"/>
      <c r="Z87" s="195"/>
      <c r="AA87" s="195"/>
      <c r="AB87" s="195"/>
      <c r="AC87" s="195"/>
      <c r="AD87" s="195"/>
      <c r="AE87" s="195"/>
      <c r="AF87" s="195"/>
      <c r="AG87" s="195"/>
      <c r="AH87" s="195"/>
      <c r="AI87" s="195"/>
      <c r="AJ87" s="195"/>
      <c r="AK87" s="195"/>
      <c r="AL87" s="195"/>
      <c r="AM87" s="195"/>
      <c r="AN87" s="195"/>
      <c r="AO87" s="195"/>
      <c r="AP87" s="195"/>
      <c r="AQ87" s="195"/>
      <c r="AR87" s="195"/>
      <c r="AS87" s="195"/>
      <c r="AT87" s="195"/>
      <c r="AU87" s="195"/>
      <c r="AV87" s="195"/>
      <c r="AW87" s="195"/>
      <c r="AX87" s="195"/>
      <c r="AY87" s="195"/>
      <c r="AZ87" s="5"/>
    </row>
    <row r="88" spans="1:63">
      <c r="A88" s="5"/>
      <c r="B88" s="506" t="s">
        <v>144</v>
      </c>
      <c r="C88" s="506"/>
      <c r="D88" s="506"/>
      <c r="E88" s="506"/>
      <c r="F88" s="506"/>
      <c r="G88" s="506"/>
      <c r="H88" s="506"/>
      <c r="I88" s="506"/>
      <c r="J88" s="506"/>
      <c r="K88" s="506"/>
      <c r="L88" s="506"/>
      <c r="M88" s="506"/>
      <c r="N88" s="506"/>
      <c r="O88" s="506"/>
      <c r="P88" s="506"/>
      <c r="Q88" s="506"/>
      <c r="R88" s="506"/>
      <c r="S88" s="506"/>
      <c r="T88" s="506"/>
      <c r="U88" s="506"/>
      <c r="V88" s="506"/>
      <c r="W88" s="506"/>
      <c r="X88" s="506"/>
      <c r="Y88" s="506"/>
      <c r="Z88" s="506"/>
      <c r="AA88" s="506"/>
      <c r="AB88" s="506"/>
      <c r="AC88" s="506"/>
      <c r="AD88" s="506"/>
      <c r="AE88" s="506"/>
      <c r="AF88" s="506"/>
      <c r="AG88" s="506"/>
      <c r="AH88" s="506"/>
      <c r="AI88" s="506"/>
      <c r="AJ88" s="506"/>
      <c r="AK88" s="506"/>
      <c r="AL88" s="506"/>
      <c r="AM88" s="506"/>
      <c r="AN88" s="506"/>
      <c r="AO88" s="506"/>
      <c r="AP88" s="506"/>
      <c r="AQ88" s="506"/>
      <c r="AR88" s="506"/>
      <c r="AS88" s="506"/>
      <c r="AT88" s="506"/>
      <c r="AU88" s="506"/>
      <c r="AV88" s="506"/>
      <c r="AW88" s="506"/>
      <c r="AX88" s="506"/>
      <c r="AY88" s="506"/>
      <c r="AZ88" s="5"/>
    </row>
    <row r="89" spans="1:63" s="7" customFormat="1" ht="21" customHeight="1">
      <c r="A89" s="270"/>
      <c r="B89" s="506"/>
      <c r="C89" s="506"/>
      <c r="D89" s="506"/>
      <c r="E89" s="506"/>
      <c r="F89" s="506"/>
      <c r="G89" s="506"/>
      <c r="H89" s="506"/>
      <c r="I89" s="506"/>
      <c r="J89" s="506"/>
      <c r="K89" s="506"/>
      <c r="L89" s="506"/>
      <c r="M89" s="506"/>
      <c r="N89" s="506"/>
      <c r="O89" s="506"/>
      <c r="P89" s="506"/>
      <c r="Q89" s="506"/>
      <c r="R89" s="506"/>
      <c r="S89" s="506"/>
      <c r="T89" s="506"/>
      <c r="U89" s="506"/>
      <c r="V89" s="506"/>
      <c r="W89" s="506"/>
      <c r="X89" s="506"/>
      <c r="Y89" s="506"/>
      <c r="Z89" s="506"/>
      <c r="AA89" s="506"/>
      <c r="AB89" s="506"/>
      <c r="AC89" s="506"/>
      <c r="AD89" s="506"/>
      <c r="AE89" s="506"/>
      <c r="AF89" s="506"/>
      <c r="AG89" s="506"/>
      <c r="AH89" s="506"/>
      <c r="AI89" s="506"/>
      <c r="AJ89" s="506"/>
      <c r="AK89" s="506"/>
      <c r="AL89" s="506"/>
      <c r="AM89" s="506"/>
      <c r="AN89" s="506"/>
      <c r="AO89" s="506"/>
      <c r="AP89" s="506"/>
      <c r="AQ89" s="506"/>
      <c r="AR89" s="506"/>
      <c r="AS89" s="506"/>
      <c r="AT89" s="506"/>
      <c r="AU89" s="506"/>
      <c r="AV89" s="506"/>
      <c r="AW89" s="506"/>
      <c r="AX89" s="506"/>
      <c r="AY89" s="506"/>
      <c r="AZ89" s="270"/>
      <c r="BK89" s="8"/>
    </row>
    <row r="90" spans="1:63" s="7" customFormat="1" ht="21" customHeight="1">
      <c r="A90" s="270"/>
      <c r="B90" s="507" t="s">
        <v>1056</v>
      </c>
      <c r="C90" s="507"/>
      <c r="D90" s="507"/>
      <c r="E90" s="508" t="s">
        <v>145</v>
      </c>
      <c r="F90" s="508"/>
      <c r="G90" s="508"/>
      <c r="H90" s="508"/>
      <c r="I90" s="508"/>
      <c r="J90" s="508"/>
      <c r="K90" s="508"/>
      <c r="L90" s="508"/>
      <c r="M90" s="508"/>
      <c r="N90" s="508"/>
      <c r="O90" s="508"/>
      <c r="P90" s="508"/>
      <c r="Q90" s="508"/>
      <c r="R90" s="508"/>
      <c r="S90" s="508"/>
      <c r="T90" s="508"/>
      <c r="U90" s="508"/>
      <c r="V90" s="508"/>
      <c r="W90" s="508"/>
      <c r="X90" s="508"/>
      <c r="Y90" s="508"/>
      <c r="Z90" s="508"/>
      <c r="AA90" s="508"/>
      <c r="AB90" s="508"/>
      <c r="AC90" s="508"/>
      <c r="AD90" s="508"/>
      <c r="AE90" s="508"/>
      <c r="AF90" s="508"/>
      <c r="AG90" s="508"/>
      <c r="AH90" s="508"/>
      <c r="AI90" s="508"/>
      <c r="AJ90" s="508"/>
      <c r="AK90" s="508"/>
      <c r="AL90" s="508"/>
      <c r="AM90" s="508"/>
      <c r="AN90" s="508"/>
      <c r="AO90" s="508"/>
      <c r="AP90" s="508"/>
      <c r="AQ90" s="508"/>
      <c r="AR90" s="508"/>
      <c r="AS90" s="508"/>
      <c r="AT90" s="508"/>
      <c r="AU90" s="508"/>
      <c r="AV90" s="508"/>
      <c r="AW90" s="508"/>
      <c r="AX90" s="508"/>
      <c r="AY90" s="508"/>
      <c r="AZ90" s="270"/>
      <c r="BK90" s="8"/>
    </row>
    <row r="91" spans="1:63">
      <c r="A91" s="5"/>
      <c r="B91" s="509" t="s">
        <v>129</v>
      </c>
      <c r="C91" s="509"/>
      <c r="D91" s="509"/>
      <c r="E91" s="509"/>
      <c r="F91" s="509"/>
      <c r="G91" s="509"/>
      <c r="H91" s="509"/>
      <c r="I91" s="509"/>
      <c r="J91" s="509"/>
      <c r="K91" s="509"/>
      <c r="L91" s="512" t="s">
        <v>1099</v>
      </c>
      <c r="M91" s="513"/>
      <c r="N91" s="513"/>
      <c r="O91" s="513"/>
      <c r="P91" s="513"/>
      <c r="Q91" s="513"/>
      <c r="R91" s="513"/>
      <c r="S91" s="513"/>
      <c r="T91" s="513"/>
      <c r="U91" s="513"/>
      <c r="V91" s="513"/>
      <c r="W91" s="513"/>
      <c r="X91" s="513"/>
      <c r="Y91" s="513"/>
      <c r="Z91" s="513"/>
      <c r="AA91" s="514"/>
      <c r="AB91" s="515" t="s">
        <v>130</v>
      </c>
      <c r="AC91" s="516"/>
      <c r="AD91" s="516"/>
      <c r="AE91" s="516"/>
      <c r="AF91" s="516"/>
      <c r="AG91" s="516"/>
      <c r="AH91" s="516"/>
      <c r="AI91" s="516"/>
      <c r="AJ91" s="516"/>
      <c r="AK91" s="517"/>
      <c r="AL91" s="513">
        <v>29100200</v>
      </c>
      <c r="AM91" s="513"/>
      <c r="AN91" s="513"/>
      <c r="AO91" s="513"/>
      <c r="AP91" s="513"/>
      <c r="AQ91" s="513"/>
      <c r="AR91" s="513"/>
      <c r="AS91" s="513"/>
      <c r="AT91" s="513"/>
      <c r="AU91" s="513"/>
      <c r="AV91" s="513"/>
      <c r="AW91" s="513"/>
      <c r="AX91" s="513"/>
      <c r="AY91" s="514"/>
      <c r="AZ91" s="5"/>
    </row>
    <row r="92" spans="1:63">
      <c r="A92" s="5"/>
      <c r="B92" s="509" t="s">
        <v>131</v>
      </c>
      <c r="C92" s="509"/>
      <c r="D92" s="509"/>
      <c r="E92" s="509"/>
      <c r="F92" s="509"/>
      <c r="G92" s="509"/>
      <c r="H92" s="509"/>
      <c r="I92" s="509"/>
      <c r="J92" s="509"/>
      <c r="K92" s="509"/>
      <c r="L92" s="512" t="s">
        <v>1100</v>
      </c>
      <c r="M92" s="513"/>
      <c r="N92" s="513"/>
      <c r="O92" s="513"/>
      <c r="P92" s="513"/>
      <c r="Q92" s="513"/>
      <c r="R92" s="513"/>
      <c r="S92" s="513"/>
      <c r="T92" s="513"/>
      <c r="U92" s="513"/>
      <c r="V92" s="513"/>
      <c r="W92" s="513"/>
      <c r="X92" s="513"/>
      <c r="Y92" s="513"/>
      <c r="Z92" s="513"/>
      <c r="AA92" s="514"/>
      <c r="AB92" s="515" t="s">
        <v>132</v>
      </c>
      <c r="AC92" s="516"/>
      <c r="AD92" s="516"/>
      <c r="AE92" s="516"/>
      <c r="AF92" s="516"/>
      <c r="AG92" s="516"/>
      <c r="AH92" s="516"/>
      <c r="AI92" s="516"/>
      <c r="AJ92" s="516"/>
      <c r="AK92" s="517"/>
      <c r="AL92" s="513" t="s">
        <v>1100</v>
      </c>
      <c r="AM92" s="513"/>
      <c r="AN92" s="513"/>
      <c r="AO92" s="513"/>
      <c r="AP92" s="513"/>
      <c r="AQ92" s="513"/>
      <c r="AR92" s="513"/>
      <c r="AS92" s="513"/>
      <c r="AT92" s="513"/>
      <c r="AU92" s="513"/>
      <c r="AV92" s="513"/>
      <c r="AW92" s="513"/>
      <c r="AX92" s="513"/>
      <c r="AY92" s="514"/>
      <c r="AZ92" s="5"/>
    </row>
    <row r="93" spans="1:63">
      <c r="A93" s="5"/>
      <c r="B93" s="509" t="s">
        <v>133</v>
      </c>
      <c r="C93" s="509"/>
      <c r="D93" s="509"/>
      <c r="E93" s="509"/>
      <c r="F93" s="509"/>
      <c r="G93" s="509"/>
      <c r="H93" s="509"/>
      <c r="I93" s="509"/>
      <c r="J93" s="509"/>
      <c r="K93" s="509"/>
      <c r="L93" s="495" t="s">
        <v>1101</v>
      </c>
      <c r="M93" s="495"/>
      <c r="N93" s="495"/>
      <c r="O93" s="495"/>
      <c r="P93" s="495"/>
      <c r="Q93" s="495"/>
      <c r="R93" s="495"/>
      <c r="S93" s="495"/>
      <c r="T93" s="495"/>
      <c r="U93" s="495"/>
      <c r="V93" s="495"/>
      <c r="W93" s="495"/>
      <c r="X93" s="495"/>
      <c r="Y93" s="495"/>
      <c r="Z93" s="495"/>
      <c r="AA93" s="495"/>
      <c r="AB93" s="495"/>
      <c r="AC93" s="495"/>
      <c r="AD93" s="495"/>
      <c r="AE93" s="495"/>
      <c r="AF93" s="495"/>
      <c r="AG93" s="495"/>
      <c r="AH93" s="495"/>
      <c r="AI93" s="495"/>
      <c r="AJ93" s="495"/>
      <c r="AK93" s="495"/>
      <c r="AL93" s="495"/>
      <c r="AM93" s="495"/>
      <c r="AN93" s="495"/>
      <c r="AO93" s="495"/>
      <c r="AP93" s="495"/>
      <c r="AQ93" s="495"/>
      <c r="AR93" s="495"/>
      <c r="AS93" s="495"/>
      <c r="AT93" s="495"/>
      <c r="AU93" s="495"/>
      <c r="AV93" s="495"/>
      <c r="AW93" s="495"/>
      <c r="AX93" s="495"/>
      <c r="AY93" s="495"/>
      <c r="AZ93" s="5"/>
    </row>
    <row r="94" spans="1:63">
      <c r="A94" s="5"/>
      <c r="B94" s="509" t="s">
        <v>146</v>
      </c>
      <c r="C94" s="509"/>
      <c r="D94" s="509"/>
      <c r="E94" s="509"/>
      <c r="F94" s="509"/>
      <c r="G94" s="509"/>
      <c r="H94" s="509"/>
      <c r="I94" s="509"/>
      <c r="J94" s="509"/>
      <c r="K94" s="509"/>
      <c r="L94" s="512" t="s">
        <v>1102</v>
      </c>
      <c r="M94" s="513"/>
      <c r="N94" s="513"/>
      <c r="O94" s="513"/>
      <c r="P94" s="513"/>
      <c r="Q94" s="513"/>
      <c r="R94" s="513"/>
      <c r="S94" s="513"/>
      <c r="T94" s="513"/>
      <c r="U94" s="513"/>
      <c r="V94" s="513"/>
      <c r="W94" s="513"/>
      <c r="X94" s="513"/>
      <c r="Y94" s="513"/>
      <c r="Z94" s="513"/>
      <c r="AA94" s="514"/>
      <c r="AB94" s="515" t="s">
        <v>147</v>
      </c>
      <c r="AC94" s="516"/>
      <c r="AD94" s="516"/>
      <c r="AE94" s="516"/>
      <c r="AF94" s="516"/>
      <c r="AG94" s="516"/>
      <c r="AH94" s="516"/>
      <c r="AI94" s="516"/>
      <c r="AJ94" s="516"/>
      <c r="AK94" s="517"/>
      <c r="AL94" s="512">
        <v>2228672</v>
      </c>
      <c r="AM94" s="513"/>
      <c r="AN94" s="513"/>
      <c r="AO94" s="513"/>
      <c r="AP94" s="513"/>
      <c r="AQ94" s="513"/>
      <c r="AR94" s="513"/>
      <c r="AS94" s="513"/>
      <c r="AT94" s="513"/>
      <c r="AU94" s="513"/>
      <c r="AV94" s="513"/>
      <c r="AW94" s="513"/>
      <c r="AX94" s="513"/>
      <c r="AY94" s="514"/>
      <c r="AZ94" s="5"/>
    </row>
    <row r="95" spans="1:63">
      <c r="A95" s="5"/>
      <c r="B95" s="509" t="s">
        <v>148</v>
      </c>
      <c r="C95" s="509"/>
      <c r="D95" s="509"/>
      <c r="E95" s="509"/>
      <c r="F95" s="509"/>
      <c r="G95" s="509"/>
      <c r="H95" s="509"/>
      <c r="I95" s="509"/>
      <c r="J95" s="509"/>
      <c r="K95" s="509"/>
      <c r="L95" s="495" t="s">
        <v>1092</v>
      </c>
      <c r="M95" s="495"/>
      <c r="N95" s="495"/>
      <c r="O95" s="495"/>
      <c r="P95" s="495"/>
      <c r="Q95" s="495"/>
      <c r="R95" s="495"/>
      <c r="S95" s="495"/>
      <c r="T95" s="495"/>
      <c r="U95" s="495"/>
      <c r="V95" s="495"/>
      <c r="W95" s="495"/>
      <c r="X95" s="495"/>
      <c r="Y95" s="495"/>
      <c r="Z95" s="495"/>
      <c r="AA95" s="495"/>
      <c r="AB95" s="495"/>
      <c r="AC95" s="495"/>
      <c r="AD95" s="495"/>
      <c r="AE95" s="495"/>
      <c r="AF95" s="495"/>
      <c r="AG95" s="495"/>
      <c r="AH95" s="495"/>
      <c r="AI95" s="495"/>
      <c r="AJ95" s="495"/>
      <c r="AK95" s="495"/>
      <c r="AL95" s="495"/>
      <c r="AM95" s="495"/>
      <c r="AN95" s="495"/>
      <c r="AO95" s="495"/>
      <c r="AP95" s="495"/>
      <c r="AQ95" s="495"/>
      <c r="AR95" s="495"/>
      <c r="AS95" s="495"/>
      <c r="AT95" s="495"/>
      <c r="AU95" s="495"/>
      <c r="AV95" s="495"/>
      <c r="AW95" s="495"/>
      <c r="AX95" s="495"/>
      <c r="AY95" s="495"/>
      <c r="AZ95" s="5"/>
    </row>
    <row r="96" spans="1:63">
      <c r="A96" s="5"/>
      <c r="B96" s="509" t="s">
        <v>149</v>
      </c>
      <c r="C96" s="509"/>
      <c r="D96" s="509"/>
      <c r="E96" s="509"/>
      <c r="F96" s="509"/>
      <c r="G96" s="509"/>
      <c r="H96" s="509"/>
      <c r="I96" s="509"/>
      <c r="J96" s="509"/>
      <c r="K96" s="509"/>
      <c r="L96" s="510" t="s">
        <v>1093</v>
      </c>
      <c r="M96" s="511"/>
      <c r="N96" s="511"/>
      <c r="O96" s="511"/>
      <c r="P96" s="511"/>
      <c r="Q96" s="511"/>
      <c r="R96" s="511"/>
      <c r="S96" s="511"/>
      <c r="T96" s="511"/>
      <c r="U96" s="511"/>
      <c r="V96" s="511"/>
      <c r="W96" s="511"/>
      <c r="X96" s="511"/>
      <c r="Y96" s="511"/>
      <c r="Z96" s="511"/>
      <c r="AA96" s="511"/>
      <c r="AB96" s="511"/>
      <c r="AC96" s="511"/>
      <c r="AD96" s="511"/>
      <c r="AE96" s="511"/>
      <c r="AF96" s="511"/>
      <c r="AG96" s="511"/>
      <c r="AH96" s="511"/>
      <c r="AI96" s="511"/>
      <c r="AJ96" s="511"/>
      <c r="AK96" s="511"/>
      <c r="AL96" s="511"/>
      <c r="AM96" s="511"/>
      <c r="AN96" s="511"/>
      <c r="AO96" s="511"/>
      <c r="AP96" s="511"/>
      <c r="AQ96" s="511"/>
      <c r="AR96" s="511"/>
      <c r="AS96" s="511"/>
      <c r="AT96" s="511"/>
      <c r="AU96" s="511"/>
      <c r="AV96" s="511"/>
      <c r="AW96" s="511"/>
      <c r="AX96" s="511"/>
      <c r="AY96" s="511"/>
      <c r="AZ96" s="5"/>
    </row>
    <row r="97" spans="1:63">
      <c r="A97" s="5"/>
      <c r="B97" s="194"/>
      <c r="C97" s="194"/>
      <c r="D97" s="194"/>
      <c r="E97" s="194"/>
      <c r="F97" s="194"/>
      <c r="G97" s="194"/>
      <c r="H97" s="194"/>
      <c r="I97" s="194"/>
      <c r="J97" s="194"/>
      <c r="K97" s="194"/>
      <c r="L97" s="114"/>
      <c r="M97" s="114"/>
      <c r="N97" s="114"/>
      <c r="O97" s="114"/>
      <c r="P97" s="114"/>
      <c r="Q97" s="114"/>
      <c r="R97" s="114"/>
      <c r="S97" s="114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5"/>
    </row>
    <row r="98" spans="1:63">
      <c r="A98" s="5"/>
      <c r="B98" s="506" t="s">
        <v>150</v>
      </c>
      <c r="C98" s="506"/>
      <c r="D98" s="506"/>
      <c r="E98" s="506"/>
      <c r="F98" s="506"/>
      <c r="G98" s="506"/>
      <c r="H98" s="506"/>
      <c r="I98" s="506"/>
      <c r="J98" s="506"/>
      <c r="K98" s="506"/>
      <c r="L98" s="506"/>
      <c r="M98" s="506"/>
      <c r="N98" s="506"/>
      <c r="O98" s="506"/>
      <c r="P98" s="114"/>
      <c r="Q98" s="114"/>
      <c r="R98" s="114"/>
      <c r="S98" s="114"/>
      <c r="T98" s="114"/>
      <c r="U98" s="114"/>
      <c r="V98" s="114"/>
      <c r="W98" s="114"/>
      <c r="X98" s="114"/>
      <c r="Y98" s="114"/>
      <c r="Z98" s="114"/>
      <c r="AA98" s="114"/>
      <c r="AB98" s="114"/>
      <c r="AC98" s="114"/>
      <c r="AD98" s="114"/>
      <c r="AE98" s="114"/>
      <c r="AF98" s="114"/>
      <c r="AG98" s="114"/>
      <c r="AH98" s="114"/>
      <c r="AI98" s="114"/>
      <c r="AJ98" s="114"/>
      <c r="AK98" s="114"/>
      <c r="AL98" s="114"/>
      <c r="AM98" s="114"/>
      <c r="AN98" s="114"/>
      <c r="AO98" s="114"/>
      <c r="AP98" s="114"/>
      <c r="AQ98" s="114"/>
      <c r="AR98" s="114"/>
      <c r="AS98" s="114"/>
      <c r="AT98" s="114"/>
      <c r="AU98" s="114"/>
      <c r="AV98" s="114"/>
      <c r="AW98" s="114"/>
      <c r="AX98" s="114"/>
      <c r="AY98" s="114"/>
      <c r="AZ98" s="5"/>
    </row>
    <row r="99" spans="1:63" s="7" customFormat="1" ht="21" customHeight="1">
      <c r="A99" s="270"/>
      <c r="B99" s="506"/>
      <c r="C99" s="506"/>
      <c r="D99" s="506"/>
      <c r="E99" s="506"/>
      <c r="F99" s="506"/>
      <c r="G99" s="506"/>
      <c r="H99" s="506"/>
      <c r="I99" s="506"/>
      <c r="J99" s="506"/>
      <c r="K99" s="506"/>
      <c r="L99" s="506"/>
      <c r="M99" s="506"/>
      <c r="N99" s="506"/>
      <c r="O99" s="506"/>
      <c r="P99" s="195"/>
      <c r="Q99" s="195"/>
      <c r="R99" s="195"/>
      <c r="S99" s="195"/>
      <c r="T99" s="195"/>
      <c r="U99" s="195"/>
      <c r="V99" s="195"/>
      <c r="W99" s="195"/>
      <c r="X99" s="195"/>
      <c r="Y99" s="195"/>
      <c r="Z99" s="195"/>
      <c r="AA99" s="195"/>
      <c r="AB99" s="195"/>
      <c r="AC99" s="195"/>
      <c r="AD99" s="195"/>
      <c r="AE99" s="195"/>
      <c r="AF99" s="195"/>
      <c r="AG99" s="195"/>
      <c r="AH99" s="195"/>
      <c r="AI99" s="195"/>
      <c r="AJ99" s="195"/>
      <c r="AK99" s="195"/>
      <c r="AL99" s="195"/>
      <c r="AM99" s="195"/>
      <c r="AN99" s="195"/>
      <c r="AO99" s="195"/>
      <c r="AP99" s="195"/>
      <c r="AQ99" s="195"/>
      <c r="AR99" s="195"/>
      <c r="AS99" s="195"/>
      <c r="AT99" s="195"/>
      <c r="AU99" s="195"/>
      <c r="AV99" s="195"/>
      <c r="AW99" s="195"/>
      <c r="AX99" s="195"/>
      <c r="AY99" s="195"/>
      <c r="AZ99" s="270"/>
      <c r="BK99" s="8"/>
    </row>
    <row r="100" spans="1:63" s="7" customFormat="1" ht="21" customHeight="1">
      <c r="A100" s="270"/>
      <c r="B100" s="507" t="s">
        <v>774</v>
      </c>
      <c r="C100" s="507"/>
      <c r="D100" s="507"/>
      <c r="E100" s="508" t="s">
        <v>139</v>
      </c>
      <c r="F100" s="508"/>
      <c r="G100" s="508"/>
      <c r="H100" s="508"/>
      <c r="I100" s="508"/>
      <c r="J100" s="508"/>
      <c r="K100" s="508"/>
      <c r="L100" s="508"/>
      <c r="M100" s="508"/>
      <c r="N100" s="508"/>
      <c r="O100" s="508"/>
      <c r="P100" s="508"/>
      <c r="Q100" s="508"/>
      <c r="R100" s="508"/>
      <c r="S100" s="508"/>
      <c r="T100" s="508"/>
      <c r="U100" s="508"/>
      <c r="V100" s="508"/>
      <c r="W100" s="508"/>
      <c r="X100" s="508"/>
      <c r="Y100" s="508"/>
      <c r="Z100" s="508"/>
      <c r="AA100" s="508"/>
      <c r="AB100" s="508"/>
      <c r="AC100" s="508"/>
      <c r="AD100" s="508"/>
      <c r="AE100" s="508"/>
      <c r="AF100" s="508"/>
      <c r="AG100" s="508"/>
      <c r="AH100" s="508"/>
      <c r="AI100" s="508"/>
      <c r="AJ100" s="508"/>
      <c r="AK100" s="508"/>
      <c r="AL100" s="508"/>
      <c r="AM100" s="508"/>
      <c r="AN100" s="508"/>
      <c r="AO100" s="508"/>
      <c r="AP100" s="508"/>
      <c r="AQ100" s="508"/>
      <c r="AR100" s="508"/>
      <c r="AS100" s="508"/>
      <c r="AT100" s="508"/>
      <c r="AU100" s="508"/>
      <c r="AV100" s="508"/>
      <c r="AW100" s="508"/>
      <c r="AX100" s="508"/>
      <c r="AY100" s="508"/>
      <c r="AZ100" s="270"/>
      <c r="BK100" s="8"/>
    </row>
    <row r="101" spans="1:63">
      <c r="A101" s="5"/>
      <c r="B101" s="509" t="s">
        <v>129</v>
      </c>
      <c r="C101" s="509"/>
      <c r="D101" s="509"/>
      <c r="E101" s="509"/>
      <c r="F101" s="509"/>
      <c r="G101" s="509"/>
      <c r="H101" s="509"/>
      <c r="I101" s="509"/>
      <c r="J101" s="509"/>
      <c r="K101" s="509"/>
      <c r="L101" s="495" t="s">
        <v>1099</v>
      </c>
      <c r="M101" s="495"/>
      <c r="N101" s="495"/>
      <c r="O101" s="495"/>
      <c r="P101" s="495"/>
      <c r="Q101" s="495"/>
      <c r="R101" s="495"/>
      <c r="S101" s="495"/>
      <c r="T101" s="495"/>
      <c r="U101" s="495"/>
      <c r="V101" s="495"/>
      <c r="W101" s="495"/>
      <c r="X101" s="495"/>
      <c r="Y101" s="495"/>
      <c r="Z101" s="495"/>
      <c r="AA101" s="495"/>
      <c r="AB101" s="515" t="s">
        <v>130</v>
      </c>
      <c r="AC101" s="516"/>
      <c r="AD101" s="516"/>
      <c r="AE101" s="516"/>
      <c r="AF101" s="516"/>
      <c r="AG101" s="516"/>
      <c r="AH101" s="516"/>
      <c r="AI101" s="516"/>
      <c r="AJ101" s="516"/>
      <c r="AK101" s="517"/>
      <c r="AL101" s="512">
        <v>29100200</v>
      </c>
      <c r="AM101" s="513"/>
      <c r="AN101" s="513"/>
      <c r="AO101" s="513"/>
      <c r="AP101" s="513"/>
      <c r="AQ101" s="513"/>
      <c r="AR101" s="513"/>
      <c r="AS101" s="513"/>
      <c r="AT101" s="513"/>
      <c r="AU101" s="513"/>
      <c r="AV101" s="513"/>
      <c r="AW101" s="513"/>
      <c r="AX101" s="513"/>
      <c r="AY101" s="514"/>
      <c r="AZ101" s="5"/>
    </row>
    <row r="102" spans="1:63">
      <c r="A102" s="5"/>
      <c r="B102" s="509" t="s">
        <v>131</v>
      </c>
      <c r="C102" s="509"/>
      <c r="D102" s="509"/>
      <c r="E102" s="509"/>
      <c r="F102" s="509"/>
      <c r="G102" s="509"/>
      <c r="H102" s="509"/>
      <c r="I102" s="509"/>
      <c r="J102" s="509"/>
      <c r="K102" s="509"/>
      <c r="L102" s="495" t="s">
        <v>1100</v>
      </c>
      <c r="M102" s="495"/>
      <c r="N102" s="495"/>
      <c r="O102" s="495"/>
      <c r="P102" s="495"/>
      <c r="Q102" s="495"/>
      <c r="R102" s="495"/>
      <c r="S102" s="495"/>
      <c r="T102" s="495"/>
      <c r="U102" s="495"/>
      <c r="V102" s="495"/>
      <c r="W102" s="495"/>
      <c r="X102" s="495"/>
      <c r="Y102" s="495"/>
      <c r="Z102" s="495"/>
      <c r="AA102" s="495"/>
      <c r="AB102" s="515" t="s">
        <v>132</v>
      </c>
      <c r="AC102" s="516"/>
      <c r="AD102" s="516"/>
      <c r="AE102" s="516"/>
      <c r="AF102" s="516"/>
      <c r="AG102" s="516"/>
      <c r="AH102" s="516"/>
      <c r="AI102" s="516"/>
      <c r="AJ102" s="516"/>
      <c r="AK102" s="517"/>
      <c r="AL102" s="512" t="s">
        <v>1100</v>
      </c>
      <c r="AM102" s="513"/>
      <c r="AN102" s="513"/>
      <c r="AO102" s="513"/>
      <c r="AP102" s="513"/>
      <c r="AQ102" s="513"/>
      <c r="AR102" s="513"/>
      <c r="AS102" s="513"/>
      <c r="AT102" s="513"/>
      <c r="AU102" s="513"/>
      <c r="AV102" s="513"/>
      <c r="AW102" s="513"/>
      <c r="AX102" s="513"/>
      <c r="AY102" s="514"/>
      <c r="AZ102" s="5"/>
    </row>
    <row r="103" spans="1:63">
      <c r="A103" s="5"/>
      <c r="B103" s="509" t="s">
        <v>133</v>
      </c>
      <c r="C103" s="509"/>
      <c r="D103" s="509"/>
      <c r="E103" s="509"/>
      <c r="F103" s="509"/>
      <c r="G103" s="509"/>
      <c r="H103" s="509"/>
      <c r="I103" s="509"/>
      <c r="J103" s="509"/>
      <c r="K103" s="509"/>
      <c r="L103" s="495" t="s">
        <v>1101</v>
      </c>
      <c r="M103" s="495"/>
      <c r="N103" s="495"/>
      <c r="O103" s="495"/>
      <c r="P103" s="495"/>
      <c r="Q103" s="495"/>
      <c r="R103" s="495"/>
      <c r="S103" s="495"/>
      <c r="T103" s="495"/>
      <c r="U103" s="495"/>
      <c r="V103" s="495"/>
      <c r="W103" s="495"/>
      <c r="X103" s="495"/>
      <c r="Y103" s="495"/>
      <c r="Z103" s="495"/>
      <c r="AA103" s="495"/>
      <c r="AB103" s="495"/>
      <c r="AC103" s="495"/>
      <c r="AD103" s="495"/>
      <c r="AE103" s="495"/>
      <c r="AF103" s="495"/>
      <c r="AG103" s="495"/>
      <c r="AH103" s="495"/>
      <c r="AI103" s="495"/>
      <c r="AJ103" s="495"/>
      <c r="AK103" s="495"/>
      <c r="AL103" s="495"/>
      <c r="AM103" s="495"/>
      <c r="AN103" s="495"/>
      <c r="AO103" s="495"/>
      <c r="AP103" s="495"/>
      <c r="AQ103" s="495"/>
      <c r="AR103" s="495"/>
      <c r="AS103" s="495"/>
      <c r="AT103" s="495"/>
      <c r="AU103" s="495"/>
      <c r="AV103" s="495"/>
      <c r="AW103" s="495"/>
      <c r="AX103" s="495"/>
      <c r="AY103" s="495"/>
      <c r="AZ103" s="5"/>
    </row>
    <row r="104" spans="1:63">
      <c r="A104" s="5"/>
      <c r="B104" s="509" t="s">
        <v>151</v>
      </c>
      <c r="C104" s="509"/>
      <c r="D104" s="509"/>
      <c r="E104" s="509"/>
      <c r="F104" s="509"/>
      <c r="G104" s="509"/>
      <c r="H104" s="509"/>
      <c r="I104" s="509"/>
      <c r="J104" s="509"/>
      <c r="K104" s="509"/>
      <c r="L104" s="495" t="s">
        <v>1102</v>
      </c>
      <c r="M104" s="495"/>
      <c r="N104" s="495"/>
      <c r="O104" s="495"/>
      <c r="P104" s="495"/>
      <c r="Q104" s="495"/>
      <c r="R104" s="495"/>
      <c r="S104" s="495"/>
      <c r="T104" s="495"/>
      <c r="U104" s="495"/>
      <c r="V104" s="495"/>
      <c r="W104" s="495"/>
      <c r="X104" s="495"/>
      <c r="Y104" s="495"/>
      <c r="Z104" s="495"/>
      <c r="AA104" s="495"/>
      <c r="AB104" s="515" t="s">
        <v>152</v>
      </c>
      <c r="AC104" s="516"/>
      <c r="AD104" s="516"/>
      <c r="AE104" s="516"/>
      <c r="AF104" s="516"/>
      <c r="AG104" s="516"/>
      <c r="AH104" s="516"/>
      <c r="AI104" s="516"/>
      <c r="AJ104" s="516"/>
      <c r="AK104" s="517"/>
      <c r="AL104" s="512">
        <v>2228672</v>
      </c>
      <c r="AM104" s="513"/>
      <c r="AN104" s="513"/>
      <c r="AO104" s="513"/>
      <c r="AP104" s="513"/>
      <c r="AQ104" s="513"/>
      <c r="AR104" s="513"/>
      <c r="AS104" s="513"/>
      <c r="AT104" s="513"/>
      <c r="AU104" s="513"/>
      <c r="AV104" s="513"/>
      <c r="AW104" s="513"/>
      <c r="AX104" s="513"/>
      <c r="AY104" s="514"/>
      <c r="AZ104" s="5"/>
    </row>
    <row r="105" spans="1:63">
      <c r="A105" s="5"/>
      <c r="B105" s="509" t="s">
        <v>153</v>
      </c>
      <c r="C105" s="509"/>
      <c r="D105" s="509"/>
      <c r="E105" s="509"/>
      <c r="F105" s="509"/>
      <c r="G105" s="509"/>
      <c r="H105" s="509"/>
      <c r="I105" s="509"/>
      <c r="J105" s="509"/>
      <c r="K105" s="509"/>
      <c r="L105" s="495" t="s">
        <v>1092</v>
      </c>
      <c r="M105" s="495"/>
      <c r="N105" s="495"/>
      <c r="O105" s="495"/>
      <c r="P105" s="495"/>
      <c r="Q105" s="495"/>
      <c r="R105" s="495"/>
      <c r="S105" s="495"/>
      <c r="T105" s="495"/>
      <c r="U105" s="495"/>
      <c r="V105" s="495"/>
      <c r="W105" s="495"/>
      <c r="X105" s="495"/>
      <c r="Y105" s="495"/>
      <c r="Z105" s="495"/>
      <c r="AA105" s="495"/>
      <c r="AB105" s="495"/>
      <c r="AC105" s="495"/>
      <c r="AD105" s="495"/>
      <c r="AE105" s="495"/>
      <c r="AF105" s="495"/>
      <c r="AG105" s="495"/>
      <c r="AH105" s="495"/>
      <c r="AI105" s="495"/>
      <c r="AJ105" s="495"/>
      <c r="AK105" s="495"/>
      <c r="AL105" s="495"/>
      <c r="AM105" s="495"/>
      <c r="AN105" s="495"/>
      <c r="AO105" s="495"/>
      <c r="AP105" s="495"/>
      <c r="AQ105" s="495"/>
      <c r="AR105" s="495"/>
      <c r="AS105" s="495"/>
      <c r="AT105" s="495"/>
      <c r="AU105" s="495"/>
      <c r="AV105" s="495"/>
      <c r="AW105" s="495"/>
      <c r="AX105" s="495"/>
      <c r="AY105" s="495"/>
      <c r="AZ105" s="5"/>
    </row>
    <row r="106" spans="1:63">
      <c r="A106" s="5"/>
      <c r="B106" s="509" t="s">
        <v>154</v>
      </c>
      <c r="C106" s="509"/>
      <c r="D106" s="509"/>
      <c r="E106" s="509"/>
      <c r="F106" s="509"/>
      <c r="G106" s="509"/>
      <c r="H106" s="509"/>
      <c r="I106" s="509"/>
      <c r="J106" s="509"/>
      <c r="K106" s="509"/>
      <c r="L106" s="510" t="s">
        <v>1093</v>
      </c>
      <c r="M106" s="511"/>
      <c r="N106" s="511"/>
      <c r="O106" s="511"/>
      <c r="P106" s="511"/>
      <c r="Q106" s="511"/>
      <c r="R106" s="511"/>
      <c r="S106" s="511"/>
      <c r="T106" s="511"/>
      <c r="U106" s="511"/>
      <c r="V106" s="511"/>
      <c r="W106" s="511"/>
      <c r="X106" s="511"/>
      <c r="Y106" s="511"/>
      <c r="Z106" s="511"/>
      <c r="AA106" s="511"/>
      <c r="AB106" s="511"/>
      <c r="AC106" s="511"/>
      <c r="AD106" s="511"/>
      <c r="AE106" s="511"/>
      <c r="AF106" s="511"/>
      <c r="AG106" s="511"/>
      <c r="AH106" s="511"/>
      <c r="AI106" s="511"/>
      <c r="AJ106" s="511"/>
      <c r="AK106" s="511"/>
      <c r="AL106" s="511"/>
      <c r="AM106" s="511"/>
      <c r="AN106" s="511"/>
      <c r="AO106" s="511"/>
      <c r="AP106" s="511"/>
      <c r="AQ106" s="511"/>
      <c r="AR106" s="511"/>
      <c r="AS106" s="511"/>
      <c r="AT106" s="511"/>
      <c r="AU106" s="511"/>
      <c r="AV106" s="511"/>
      <c r="AW106" s="511"/>
      <c r="AX106" s="511"/>
      <c r="AY106" s="511"/>
      <c r="AZ106" s="5"/>
    </row>
    <row r="107" spans="1:63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</row>
    <row r="108" spans="1:63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</row>
  </sheetData>
  <sheetProtection algorithmName="SHA-512" hashValue="BoNmaOD1RQFjbR8zGtSqMr9nbBreqdj4eKjtXIGEN6Lkkdt2jdMYJOyk7WAOAUzGqYxHBKjXNGH4GgpMVMeSwg==" saltValue="Da6rZoxG1aghXZmxA/W3Yw==" spinCount="100000" sheet="1" objects="1" scenarios="1" selectLockedCells="1"/>
  <mergeCells count="300">
    <mergeCell ref="B33:G33"/>
    <mergeCell ref="H33:L33"/>
    <mergeCell ref="M33:AE33"/>
    <mergeCell ref="B38:G39"/>
    <mergeCell ref="H39:K39"/>
    <mergeCell ref="L39:U39"/>
    <mergeCell ref="W39:X39"/>
    <mergeCell ref="AD39:AG39"/>
    <mergeCell ref="AR39:AS39"/>
    <mergeCell ref="AT39:AY39"/>
    <mergeCell ref="Y39:AC39"/>
    <mergeCell ref="AH38:AP38"/>
    <mergeCell ref="AH39:AP39"/>
    <mergeCell ref="H38:K38"/>
    <mergeCell ref="L38:U38"/>
    <mergeCell ref="W38:X38"/>
    <mergeCell ref="Y38:AC38"/>
    <mergeCell ref="AR38:AS38"/>
    <mergeCell ref="AT38:AY38"/>
    <mergeCell ref="AD38:AG38"/>
    <mergeCell ref="U16:AB17"/>
    <mergeCell ref="R18:T18"/>
    <mergeCell ref="U18:AY18"/>
    <mergeCell ref="I15:L15"/>
    <mergeCell ref="N15:Q15"/>
    <mergeCell ref="R15:T15"/>
    <mergeCell ref="R16:T17"/>
    <mergeCell ref="U15:AY15"/>
    <mergeCell ref="AF16:AY17"/>
    <mergeCell ref="L16:Q17"/>
    <mergeCell ref="AC16:AE17"/>
    <mergeCell ref="H18:I18"/>
    <mergeCell ref="K18:P18"/>
    <mergeCell ref="K50:P51"/>
    <mergeCell ref="K45:P46"/>
    <mergeCell ref="H50:J51"/>
    <mergeCell ref="H45:J46"/>
    <mergeCell ref="H19:K19"/>
    <mergeCell ref="H20:V22"/>
    <mergeCell ref="W20:AB22"/>
    <mergeCell ref="AC20:AE20"/>
    <mergeCell ref="AF20:AY20"/>
    <mergeCell ref="AC21:AY22"/>
    <mergeCell ref="H29:Z29"/>
    <mergeCell ref="AB29:AY29"/>
    <mergeCell ref="V19:AY19"/>
    <mergeCell ref="B30:AY30"/>
    <mergeCell ref="B32:G32"/>
    <mergeCell ref="C23:G25"/>
    <mergeCell ref="W23:AY28"/>
    <mergeCell ref="I24:K24"/>
    <mergeCell ref="M24:P24"/>
    <mergeCell ref="R24:V24"/>
    <mergeCell ref="K25:S25"/>
    <mergeCell ref="C26:G28"/>
    <mergeCell ref="B19:G19"/>
    <mergeCell ref="B20:B29"/>
    <mergeCell ref="BK10:BP10"/>
    <mergeCell ref="H11:K12"/>
    <mergeCell ref="BK11:BP11"/>
    <mergeCell ref="BK12:BP12"/>
    <mergeCell ref="H13:I13"/>
    <mergeCell ref="K13:P13"/>
    <mergeCell ref="Q13:S13"/>
    <mergeCell ref="T13:AY13"/>
    <mergeCell ref="BK13:BP13"/>
    <mergeCell ref="R10:T10"/>
    <mergeCell ref="U10:AY10"/>
    <mergeCell ref="N10:Q10"/>
    <mergeCell ref="I10:L10"/>
    <mergeCell ref="L11:Q12"/>
    <mergeCell ref="R11:T12"/>
    <mergeCell ref="U11:AB12"/>
    <mergeCell ref="AC11:AE12"/>
    <mergeCell ref="AF11:AY12"/>
    <mergeCell ref="C20:G22"/>
    <mergeCell ref="C29:G29"/>
    <mergeCell ref="M32:W32"/>
    <mergeCell ref="X32:Y32"/>
    <mergeCell ref="Z32:AE32"/>
    <mergeCell ref="N1:AM3"/>
    <mergeCell ref="B4:AQ4"/>
    <mergeCell ref="B5:G5"/>
    <mergeCell ref="AE5:AY5"/>
    <mergeCell ref="B6:G6"/>
    <mergeCell ref="H6:I6"/>
    <mergeCell ref="H5:Y5"/>
    <mergeCell ref="Z5:AD5"/>
    <mergeCell ref="U6:X6"/>
    <mergeCell ref="P6:S6"/>
    <mergeCell ref="K6:N6"/>
    <mergeCell ref="B7:G9"/>
    <mergeCell ref="H7:K7"/>
    <mergeCell ref="L7:AY7"/>
    <mergeCell ref="H8:AY9"/>
    <mergeCell ref="B10:G13"/>
    <mergeCell ref="B14:G18"/>
    <mergeCell ref="H14:I14"/>
    <mergeCell ref="H16:K17"/>
    <mergeCell ref="I27:K27"/>
    <mergeCell ref="M27:P27"/>
    <mergeCell ref="R27:V27"/>
    <mergeCell ref="AF32:AG32"/>
    <mergeCell ref="AH32:AM32"/>
    <mergeCell ref="AN32:AY32"/>
    <mergeCell ref="AT36:AY36"/>
    <mergeCell ref="H35:K35"/>
    <mergeCell ref="L35:U35"/>
    <mergeCell ref="W35:X35"/>
    <mergeCell ref="Y35:AC35"/>
    <mergeCell ref="AD35:AG35"/>
    <mergeCell ref="AT35:AY35"/>
    <mergeCell ref="AT37:AY37"/>
    <mergeCell ref="AH35:AP35"/>
    <mergeCell ref="AR35:AS35"/>
    <mergeCell ref="B35:G37"/>
    <mergeCell ref="AH36:AP36"/>
    <mergeCell ref="AR36:AS36"/>
    <mergeCell ref="H37:K37"/>
    <mergeCell ref="L37:U37"/>
    <mergeCell ref="W37:X37"/>
    <mergeCell ref="Y37:AC37"/>
    <mergeCell ref="AH37:AP37"/>
    <mergeCell ref="AR37:AS37"/>
    <mergeCell ref="AD37:AG37"/>
    <mergeCell ref="H36:K36"/>
    <mergeCell ref="L36:U36"/>
    <mergeCell ref="W36:X36"/>
    <mergeCell ref="Y36:AC36"/>
    <mergeCell ref="AD36:AG36"/>
    <mergeCell ref="BD40:BI40"/>
    <mergeCell ref="BK40:BP40"/>
    <mergeCell ref="BR40:BW40"/>
    <mergeCell ref="B41:G41"/>
    <mergeCell ref="H41:I41"/>
    <mergeCell ref="O41:R41"/>
    <mergeCell ref="T41:W41"/>
    <mergeCell ref="BD41:BI41"/>
    <mergeCell ref="BK41:BP41"/>
    <mergeCell ref="BR41:BW41"/>
    <mergeCell ref="J40:M40"/>
    <mergeCell ref="J41:M41"/>
    <mergeCell ref="Y40:AY41"/>
    <mergeCell ref="B40:G40"/>
    <mergeCell ref="H40:I40"/>
    <mergeCell ref="O40:R40"/>
    <mergeCell ref="T40:W40"/>
    <mergeCell ref="B43:G47"/>
    <mergeCell ref="Y43:AY43"/>
    <mergeCell ref="I44:K44"/>
    <mergeCell ref="M44:P44"/>
    <mergeCell ref="Q44:S44"/>
    <mergeCell ref="T44:AY44"/>
    <mergeCell ref="H43:J43"/>
    <mergeCell ref="K43:X43"/>
    <mergeCell ref="Q45:S46"/>
    <mergeCell ref="T45:AA46"/>
    <mergeCell ref="AB45:AD46"/>
    <mergeCell ref="AE45:AY46"/>
    <mergeCell ref="H47:I47"/>
    <mergeCell ref="K47:P47"/>
    <mergeCell ref="Q47:S47"/>
    <mergeCell ref="T47:AY47"/>
    <mergeCell ref="BK58:BP58"/>
    <mergeCell ref="B62:AY63"/>
    <mergeCell ref="B64:L64"/>
    <mergeCell ref="M64:Y64"/>
    <mergeCell ref="Z64:AY64"/>
    <mergeCell ref="BK55:BP55"/>
    <mergeCell ref="H56:M58"/>
    <mergeCell ref="AC56:AH58"/>
    <mergeCell ref="AX56:AY58"/>
    <mergeCell ref="O57:Q57"/>
    <mergeCell ref="S57:V57"/>
    <mergeCell ref="X57:AB57"/>
    <mergeCell ref="AJ57:AL57"/>
    <mergeCell ref="AN57:AQ57"/>
    <mergeCell ref="AS57:AW57"/>
    <mergeCell ref="H53:M55"/>
    <mergeCell ref="N53:AB55"/>
    <mergeCell ref="AC53:AH55"/>
    <mergeCell ref="N58:AB58"/>
    <mergeCell ref="N56:AB56"/>
    <mergeCell ref="AI56:AW56"/>
    <mergeCell ref="AI58:AW58"/>
    <mergeCell ref="K52:P52"/>
    <mergeCell ref="Q52:S52"/>
    <mergeCell ref="AI53:AK53"/>
    <mergeCell ref="AL53:AY53"/>
    <mergeCell ref="AI54:AY55"/>
    <mergeCell ref="B48:G58"/>
    <mergeCell ref="H48:K48"/>
    <mergeCell ref="B67:G67"/>
    <mergeCell ref="H67:AY67"/>
    <mergeCell ref="Q50:S51"/>
    <mergeCell ref="T50:AA51"/>
    <mergeCell ref="T52:AY52"/>
    <mergeCell ref="L48:X48"/>
    <mergeCell ref="Y48:AA48"/>
    <mergeCell ref="I49:K49"/>
    <mergeCell ref="M49:P49"/>
    <mergeCell ref="Q49:S49"/>
    <mergeCell ref="T49:AY49"/>
    <mergeCell ref="AB50:AD51"/>
    <mergeCell ref="AE50:AY51"/>
    <mergeCell ref="H52:I52"/>
    <mergeCell ref="AB48:AY48"/>
    <mergeCell ref="B65:Y65"/>
    <mergeCell ref="Z65:AA65"/>
    <mergeCell ref="AB65:AI65"/>
    <mergeCell ref="AJ65:AK65"/>
    <mergeCell ref="AL65:AY65"/>
    <mergeCell ref="B66:Y66"/>
    <mergeCell ref="Z66:AA66"/>
    <mergeCell ref="AB66:AI66"/>
    <mergeCell ref="AJ66:AY66"/>
    <mergeCell ref="B72:K72"/>
    <mergeCell ref="L72:AA72"/>
    <mergeCell ref="B73:K73"/>
    <mergeCell ref="AB72:AK72"/>
    <mergeCell ref="AL72:AY72"/>
    <mergeCell ref="B69:AY70"/>
    <mergeCell ref="B71:K71"/>
    <mergeCell ref="L71:AA71"/>
    <mergeCell ref="AB71:AK71"/>
    <mergeCell ref="AL71:AY71"/>
    <mergeCell ref="L73:AA73"/>
    <mergeCell ref="AL73:AY73"/>
    <mergeCell ref="AB73:AK73"/>
    <mergeCell ref="B76:K76"/>
    <mergeCell ref="L76:AY76"/>
    <mergeCell ref="B78:AY79"/>
    <mergeCell ref="B80:D80"/>
    <mergeCell ref="E80:AY80"/>
    <mergeCell ref="B81:K81"/>
    <mergeCell ref="L81:AA81"/>
    <mergeCell ref="B74:K74"/>
    <mergeCell ref="L74:AA74"/>
    <mergeCell ref="B75:K75"/>
    <mergeCell ref="L75:AY75"/>
    <mergeCell ref="AB81:AK81"/>
    <mergeCell ref="AB74:AK74"/>
    <mergeCell ref="AL81:AY81"/>
    <mergeCell ref="AL74:AY74"/>
    <mergeCell ref="B84:K84"/>
    <mergeCell ref="L84:AA84"/>
    <mergeCell ref="B85:K85"/>
    <mergeCell ref="L85:AY85"/>
    <mergeCell ref="B95:K95"/>
    <mergeCell ref="L95:AY95"/>
    <mergeCell ref="B94:K94"/>
    <mergeCell ref="L94:AA94"/>
    <mergeCell ref="B82:K82"/>
    <mergeCell ref="L82:AA82"/>
    <mergeCell ref="B83:K83"/>
    <mergeCell ref="L83:AY83"/>
    <mergeCell ref="AB94:AK94"/>
    <mergeCell ref="AB92:AK92"/>
    <mergeCell ref="AB91:AK91"/>
    <mergeCell ref="AB84:AK84"/>
    <mergeCell ref="AB82:AK82"/>
    <mergeCell ref="AL94:AY94"/>
    <mergeCell ref="AL91:AY91"/>
    <mergeCell ref="AL92:AY92"/>
    <mergeCell ref="AL84:AY84"/>
    <mergeCell ref="AL82:AY82"/>
    <mergeCell ref="B106:K106"/>
    <mergeCell ref="L106:AY106"/>
    <mergeCell ref="B104:K104"/>
    <mergeCell ref="L104:AA104"/>
    <mergeCell ref="B105:K105"/>
    <mergeCell ref="L105:AY105"/>
    <mergeCell ref="B102:K102"/>
    <mergeCell ref="L102:AA102"/>
    <mergeCell ref="B103:K103"/>
    <mergeCell ref="L103:AY103"/>
    <mergeCell ref="AB104:AK104"/>
    <mergeCell ref="AB102:AK102"/>
    <mergeCell ref="AL104:AY104"/>
    <mergeCell ref="AL102:AY102"/>
    <mergeCell ref="B98:O99"/>
    <mergeCell ref="B100:D100"/>
    <mergeCell ref="E100:AY100"/>
    <mergeCell ref="B101:K101"/>
    <mergeCell ref="L101:AA101"/>
    <mergeCell ref="B86:K86"/>
    <mergeCell ref="L86:AY86"/>
    <mergeCell ref="B88:AY89"/>
    <mergeCell ref="B90:D90"/>
    <mergeCell ref="E90:AY90"/>
    <mergeCell ref="B91:K91"/>
    <mergeCell ref="L91:AA91"/>
    <mergeCell ref="B92:K92"/>
    <mergeCell ref="L92:AA92"/>
    <mergeCell ref="B93:K93"/>
    <mergeCell ref="L93:AY93"/>
    <mergeCell ref="B96:K96"/>
    <mergeCell ref="L96:AY96"/>
    <mergeCell ref="AB101:AK101"/>
    <mergeCell ref="AL101:AY101"/>
  </mergeCells>
  <phoneticPr fontId="18"/>
  <conditionalFormatting sqref="H47">
    <cfRule type="expression" dxfId="168" priority="150">
      <formula>$H$41="■"</formula>
    </cfRule>
  </conditionalFormatting>
  <conditionalFormatting sqref="H44:AY44 H47:AY47 H45 Q45:AY46 K45">
    <cfRule type="expression" dxfId="167" priority="29">
      <formula>$H$43="■"</formula>
    </cfRule>
    <cfRule type="expression" dxfId="166" priority="154">
      <formula>$H$43="■"</formula>
    </cfRule>
  </conditionalFormatting>
  <conditionalFormatting sqref="H44">
    <cfRule type="expression" dxfId="165" priority="149">
      <formula>$H$43="■"</formula>
    </cfRule>
  </conditionalFormatting>
  <conditionalFormatting sqref="I44:P44">
    <cfRule type="expression" dxfId="164" priority="57">
      <formula>$H$43="■"</formula>
    </cfRule>
  </conditionalFormatting>
  <conditionalFormatting sqref="Q45:AY46">
    <cfRule type="expression" dxfId="163" priority="31">
      <formula>$H$43="■"</formula>
    </cfRule>
  </conditionalFormatting>
  <conditionalFormatting sqref="B48">
    <cfRule type="expression" dxfId="162" priority="148">
      <formula>$H$51="■"</formula>
    </cfRule>
  </conditionalFormatting>
  <conditionalFormatting sqref="K6 P6 U6 L7 H8 I10 N10 L11 U10:U11 AF11 L19:U19 H20 AF20 AC21 I24 M24 R24 I27 M27 R27 H29 AB29 J40:J41 O40:O41 T40:T41 L73:L74 L75:AY76 AL71:AL74">
    <cfRule type="cellIs" dxfId="161" priority="198" operator="equal">
      <formula>""</formula>
    </cfRule>
  </conditionalFormatting>
  <conditionalFormatting sqref="H15:AY18">
    <cfRule type="expression" dxfId="160" priority="27">
      <formula>$H$14="■"</formula>
    </cfRule>
  </conditionalFormatting>
  <conditionalFormatting sqref="H32:K32 H34:K34">
    <cfRule type="expression" dxfId="159" priority="25">
      <formula>AND($I$32="□",$L$32="□",$P$32="□",$T$32="□",$X$32="□")</formula>
    </cfRule>
    <cfRule type="expression" dxfId="158" priority="74">
      <formula>AND($I$32="□",$L$32="□",$P$32="□",$T$32="□",$X$32="□")</formula>
    </cfRule>
  </conditionalFormatting>
  <conditionalFormatting sqref="W38:X38">
    <cfRule type="expression" dxfId="157" priority="67">
      <formula>$W38&lt;&gt;""</formula>
    </cfRule>
    <cfRule type="expression" dxfId="156" priority="68">
      <formula>$H38="■"</formula>
    </cfRule>
  </conditionalFormatting>
  <conditionalFormatting sqref="AR38:AS38">
    <cfRule type="expression" dxfId="155" priority="63">
      <formula>$AR38&lt;&gt;""</formula>
    </cfRule>
    <cfRule type="expression" dxfId="154" priority="64">
      <formula>$AD38="■"</formula>
    </cfRule>
  </conditionalFormatting>
  <conditionalFormatting sqref="Z65:AY65">
    <cfRule type="expression" dxfId="153" priority="56">
      <formula>AND($Z$65="□",$AJ$65="□")</formula>
    </cfRule>
  </conditionalFormatting>
  <conditionalFormatting sqref="I15:L15 N15:Q15 L16:Q17 U15:AY15 U16:AB17 AF16:AY17">
    <cfRule type="notContainsBlanks" dxfId="152" priority="32">
      <formula>LEN(TRIM(I15))&gt;0</formula>
    </cfRule>
    <cfRule type="expression" dxfId="151" priority="75">
      <formula>$H$14="□"</formula>
    </cfRule>
  </conditionalFormatting>
  <conditionalFormatting sqref="I44:K44 T44:AY44 T45:AA46 AE45:AY46 M44:P44 K45">
    <cfRule type="expression" dxfId="150" priority="156">
      <formula>$H$43="□"</formula>
    </cfRule>
  </conditionalFormatting>
  <conditionalFormatting sqref="I49:K49 T49:AY49 T50:AA51 AE50:AY51 M49:P49 K50">
    <cfRule type="expression" dxfId="149" priority="155">
      <formula>$H$48="□"</formula>
    </cfRule>
  </conditionalFormatting>
  <conditionalFormatting sqref="I44:K44 T44:AY44 T45:AA46 AE45:AY46 I49:K49 T49:AY49 T50:AA51 AE50:AY51 M49:P49 K50 M44:P44 K45">
    <cfRule type="notContainsBlanks" dxfId="148" priority="143">
      <formula>LEN(TRIM(I44))&gt;0</formula>
    </cfRule>
  </conditionalFormatting>
  <conditionalFormatting sqref="N53:AB55">
    <cfRule type="containsBlanks" dxfId="147" priority="147">
      <formula>LEN(TRIM(N53))=0</formula>
    </cfRule>
  </conditionalFormatting>
  <conditionalFormatting sqref="AL53:AY53 AI54:AY55 O57:Q57 S57:V57 X57:AB57 AJ57:AL57 AN57:AQ57 AS57:AW57">
    <cfRule type="containsBlanks" dxfId="146" priority="146">
      <formula>LEN(TRIM(O53))=0</formula>
    </cfRule>
  </conditionalFormatting>
  <conditionalFormatting sqref="AL53:AY53 AI54:AY55 O57:Q57 S57:V57 X57:AB57 AJ57:AL57 AN57:AQ57 AS57:AW57 N53:AB55">
    <cfRule type="notContainsBlanks" dxfId="145" priority="140">
      <formula>LEN(TRIM(N53))&gt;0</formula>
    </cfRule>
  </conditionalFormatting>
  <conditionalFormatting sqref="L81:AA82 L83:AY83 L84:AA84 AL84 L85:AY86 AL81:AL82">
    <cfRule type="notContainsBlanks" dxfId="144" priority="20">
      <formula>LEN(TRIM(L81))&gt;0</formula>
    </cfRule>
    <cfRule type="expression" dxfId="143" priority="21">
      <formula>$B$80="□"</formula>
    </cfRule>
  </conditionalFormatting>
  <conditionalFormatting sqref="B85:AY86 B84:AB84 AL84 B83:AY83 B81:AB82 AL81:AL82">
    <cfRule type="expression" dxfId="142" priority="19">
      <formula>$B$80="■"</formula>
    </cfRule>
  </conditionalFormatting>
  <conditionalFormatting sqref="B95:AY96 B94:AB94 AL94 B93:AY93 B91:AB92 AL91:AL92">
    <cfRule type="expression" dxfId="141" priority="12">
      <formula>$B$90="■"</formula>
    </cfRule>
  </conditionalFormatting>
  <conditionalFormatting sqref="L91:AA92 L93:AY93 L94:AA94 AL94 L95:AY96 AL91:AL92">
    <cfRule type="notContainsBlanks" dxfId="140" priority="17">
      <formula>LEN(TRIM(L91))&gt;0</formula>
    </cfRule>
    <cfRule type="expression" dxfId="139" priority="18">
      <formula>$B$90="□"</formula>
    </cfRule>
  </conditionalFormatting>
  <conditionalFormatting sqref="L101:AA102 L103:AY103 L104:AA104 AL104 L105:AY106 AL101:AL102">
    <cfRule type="expression" dxfId="138" priority="16">
      <formula>$B$100="□"</formula>
    </cfRule>
  </conditionalFormatting>
  <conditionalFormatting sqref="L101:AA102 L103:AY103 L104:AA104 AL104 L105:AY106 AL101:AL102">
    <cfRule type="notContainsBlanks" dxfId="137" priority="15">
      <formula>LEN(TRIM(L101))&gt;0</formula>
    </cfRule>
  </conditionalFormatting>
  <conditionalFormatting sqref="B105:AY106 B104:AB104 AL104 B103:AY103 B101:AB102 AL101:AL102">
    <cfRule type="expression" dxfId="136" priority="14">
      <formula>$B$100="■"</formula>
    </cfRule>
  </conditionalFormatting>
  <conditionalFormatting sqref="X32:AM32">
    <cfRule type="expression" dxfId="135" priority="266">
      <formula>AND($X$32="□",$AF$32="□")</formula>
    </cfRule>
  </conditionalFormatting>
  <conditionalFormatting sqref="H49:AY52">
    <cfRule type="expression" dxfId="134" priority="6">
      <formula>$Y$48="■"</formula>
    </cfRule>
    <cfRule type="expression" dxfId="133" priority="7">
      <formula>$H$48="■"</formula>
    </cfRule>
  </conditionalFormatting>
  <conditionalFormatting sqref="W39:X39">
    <cfRule type="expression" dxfId="132" priority="4">
      <formula>$W39&lt;&gt;""</formula>
    </cfRule>
    <cfRule type="expression" dxfId="131" priority="5">
      <formula>$H39="■"</formula>
    </cfRule>
  </conditionalFormatting>
  <conditionalFormatting sqref="AR39:AS39">
    <cfRule type="expression" dxfId="130" priority="2">
      <formula>$AR39&lt;&gt;""</formula>
    </cfRule>
    <cfRule type="expression" dxfId="129" priority="3">
      <formula>$AD39="■"</formula>
    </cfRule>
  </conditionalFormatting>
  <dataValidations count="18">
    <dataValidation type="custom" imeMode="disabled" allowBlank="1" showInputMessage="1" showErrorMessage="1" sqref="AB29:AY29" xr:uid="{00000000-0002-0000-0400-000000000000}">
      <formula1>LEN($AB$29)=LENB($AB$29)</formula1>
    </dataValidation>
    <dataValidation imeMode="fullKatakana" allowBlank="1" showInputMessage="1" showErrorMessage="1" sqref="AL53:AY53" xr:uid="{00000000-0002-0000-0400-000001000000}"/>
    <dataValidation imeMode="hiragana" allowBlank="1" showInputMessage="1" promptTitle="市区町村入力" prompt="市区町村を全角で入力してください。_x000a_(注)市区町村名について以下の情報のみ入力願います。_x000a_・東京都２３区の場合『○○区』_x000a_・政令指定都市の場合『○○市◆◆区』_x000a_・上記以外の場合『○○市』_x000a_郡の場合『○○郡◆◆町』または『○○郡◆◆村』" sqref="T45:AA46 T50:AA51" xr:uid="{00000000-0002-0000-0400-000002000000}"/>
    <dataValidation type="whole" imeMode="disabled" allowBlank="1" sqref="M44:P44 M49:P49 N15 N10" xr:uid="{00000000-0002-0000-0400-000003000000}">
      <formula1>0</formula1>
      <formula2>9999</formula2>
    </dataValidation>
    <dataValidation type="whole" imeMode="disabled" allowBlank="1" sqref="I44:K44 I49:K49 I15 I10" xr:uid="{00000000-0002-0000-0400-000004000000}">
      <formula1>0</formula1>
      <formula2>999</formula2>
    </dataValidation>
    <dataValidation imeMode="disabled" allowBlank="1" sqref="L44 L49 M10 M15" xr:uid="{00000000-0002-0000-0400-000005000000}"/>
    <dataValidation imeMode="disabled" allowBlank="1" showInputMessage="1" showErrorMessage="1" sqref="L96:AY96 L19:U19 L106:AY106 L75:AY76 L86:AY86" xr:uid="{00000000-0002-0000-0400-000006000000}"/>
    <dataValidation type="whole" imeMode="disabled" allowBlank="1" showErrorMessage="1" errorTitle="入力エラー" error="1～31 の半角数字を入力してください" promptTitle="AP配送希望日の入力について" prompt="申込受領日の翌日から起算し、4営業日以降で記載してください。_x000a__x000a_※北海道、九州へのAP配送は、＋1営業日必要です。_x000a_※全県の諸島部への配送は、＋3営業日必要です。_x000a_※AP配送日は、申込日から最大3ヶ月先まで指定可能です。_x000a_※土日祝は指定できません。" sqref="U6" xr:uid="{00000000-0002-0000-0400-000007000000}">
      <formula1>1</formula1>
      <formula2>31</formula2>
    </dataValidation>
    <dataValidation type="whole" imeMode="disabled" allowBlank="1" showErrorMessage="1" errorTitle="入力エラー" error="1～12 の半角数字を入力してください" promptTitle="AP配送希望日の入力について" prompt="申込受領日の翌日から起算し、4営業日以降で記載してください。_x000a__x000a_※北海道、九州へのAP配送は、＋1営業日必要です。_x000a_※全県の諸島部への配送は、＋3営業日必要です。_x000a_※AP配送日は、申込日から最大3ヶ月先まで指定可能です。_x000a_※土日祝は指定できません。" sqref="O40:R42 P6" xr:uid="{00000000-0002-0000-0400-000008000000}">
      <formula1>1</formula1>
      <formula2>12</formula2>
    </dataValidation>
    <dataValidation imeMode="fullKatakana" allowBlank="1" showInputMessage="1" showErrorMessage="1" errorTitle="入力エラー" error="カタカナを入力してください" sqref="T44:AY44 T49:AY49 AF20:AY20 U15 L7:AY7 U10" xr:uid="{00000000-0002-0000-0400-000009000000}"/>
    <dataValidation allowBlank="1" showErrorMessage="1" promptTitle="事業者管理IDの入力" prompt="事業者様管理の番号がある場合記入ください。" sqref="M64:Y64" xr:uid="{00000000-0002-0000-0400-00000A000000}"/>
    <dataValidation type="textLength" imeMode="disabled" allowBlank="1" showInputMessage="1" showErrorMessage="1" error="数字を入力してください。" sqref="X57:AB57 O57:Q57 S57:V57 AS57:AW57 AJ57:AL57 AN57:AQ57 R24:V24 M27:P27 I27:K27 R27:V27 I24:K24 M24:P24" xr:uid="{00000000-0002-0000-0400-00000B000000}">
      <formula1>0</formula1>
      <formula2>99999</formula2>
    </dataValidation>
    <dataValidation type="list" allowBlank="1" showInputMessage="1" showErrorMessage="1" sqref="H18 B100 H43 AJ65 B90 B80 X32:X34 Z65:Z66 H52 H47:H48 Y48 H35:H39 I33:I34 H13:H14 AF32:AF34 AD35:AD39" xr:uid="{00000000-0002-0000-0400-00000C000000}">
      <formula1>"□,■"</formula1>
    </dataValidation>
    <dataValidation type="custom" imeMode="disabled" allowBlank="1" showInputMessage="1" showErrorMessage="1" errorTitle="入力エラー" error="半角英数字にて入力してください。" sqref="H29:Z29" xr:uid="{00000000-0002-0000-0400-00000D000000}">
      <formula1>LEN($H$29)=LENB($H$29)</formula1>
    </dataValidation>
    <dataValidation type="whole" imeMode="disabled" allowBlank="1" showErrorMessage="1" errorTitle="入力エラー" error="西暦を半角数字で入力してください" promptTitle="AP配送希望日の入力について" prompt="申込受領日の翌日から起算し、4営業日以降で記載してください。_x000a__x000a_※北海道、九州へのAP配送は、＋1営業日必要です。_x000a_※全県の諸島部への配送は、＋3営業日必要です。_x000a_※AP配送日は、申込日から最大3ヶ月先まで指定可能です。_x000a_※土日祝は指定できません。" sqref="K6 J40:J42" xr:uid="{00000000-0002-0000-0400-00000E000000}">
      <formula1>2000</formula1>
      <formula2>2100</formula2>
    </dataValidation>
    <dataValidation imeMode="hiragana" allowBlank="1" showInputMessage="1" showErrorMessage="1" sqref="H8:AY9 H20:V22 AC21:AY22 AE45:AY46 AE50:AY51 AI54:AY55 N53:AB55 L71:AA72 U18:AY18 AL72:AL73 L74:AA74 L81:AA82 AL102 L83:AY83 L84:AA84 L91:AA92 L93:AY93 L94:AA94 AL92 L101:AA102 AL82 L103:AY103 L104:AA104 T47:AY47 T52:AY52 AF11:AY12 AF16:AY17 T13:AY13 L73" xr:uid="{00000000-0002-0000-0400-00000F000000}"/>
    <dataValidation imeMode="hiragana" allowBlank="1" showInputMessage="1" showErrorMessage="1" promptTitle="市区町村入力" prompt="市区町村を全角で入力してください。_x000a_(注)市区町村名について以下の情報のみ入力願います。_x000a_・東京都２３区の場合『○○区』_x000a_・政令指定都市の場合『○○市◆◆区』_x000a_・上記以外の場合『○○市』_x000a_郡の場合『○○郡◆◆町』または『○○郡◆◆村』" sqref="U11:AB12 U16:AB17" xr:uid="{00000000-0002-0000-0400-000010000000}"/>
    <dataValidation type="whole" imeMode="disabled" allowBlank="1" showInputMessage="1" showErrorMessage="1" sqref="T40:W42" xr:uid="{00000000-0002-0000-0400-000011000000}">
      <formula1>1</formula1>
      <formula2>31</formula2>
    </dataValidation>
  </dataValidations>
  <hyperlinks>
    <hyperlink ref="B4:AQ4" r:id="rId1" display="https://www.ntt-west.co.jp/smb/plan/camera_toreru/pdf/terms_toreru_2105.pdf" xr:uid="{00000000-0004-0000-0400-000000000000}"/>
  </hyperlinks>
  <printOptions horizontalCentered="1"/>
  <pageMargins left="0.23622047244094491" right="0.23622047244094491" top="0.74803149606299213" bottom="0.32" header="0.31496062992125984" footer="0.8"/>
  <pageSetup paperSize="8" scale="65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入力エラー" error="プルダウンリストから選択、_x000a_もしくは数字を入力してください" xr:uid="{00000000-0002-0000-0400-000012000000}">
          <x14:formula1>
            <xm:f>リスト!$G$2:$G$101</xm:f>
          </x14:formula1>
          <xm:sqref>W35:X39 AR35:AS39</xm:sqref>
        </x14:dataValidation>
        <x14:dataValidation type="list" allowBlank="1" showErrorMessage="1" errorTitle="都道府県名入力" error="右側▼を押して、リストより選択してください。" promptTitle="都道府県名入力" prompt="右側▼を押して、リストより選択してください。" xr:uid="{00000000-0002-0000-0400-000013000000}">
          <x14:formula1>
            <xm:f>リスト!$H$2:$H$48</xm:f>
          </x14:formula1>
          <xm:sqref>L16 L11 K50 K45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pageSetUpPr fitToPage="1"/>
  </sheetPr>
  <dimension ref="A1:AS108"/>
  <sheetViews>
    <sheetView view="pageBreakPreview" zoomScaleNormal="100" zoomScaleSheetLayoutView="100" workbookViewId="0">
      <selection activeCell="B12" sqref="B12:C12"/>
    </sheetView>
  </sheetViews>
  <sheetFormatPr defaultRowHeight="13.2" outlineLevelRow="1"/>
  <cols>
    <col min="1" max="1" width="7.44140625" style="19" customWidth="1"/>
    <col min="2" max="2" width="12.6640625" style="19" customWidth="1"/>
    <col min="3" max="3" width="20.33203125" style="19" customWidth="1"/>
    <col min="4" max="5" width="20.33203125" style="115" customWidth="1"/>
    <col min="6" max="6" width="31" style="115" customWidth="1"/>
    <col min="7" max="7" width="25.109375" style="19" customWidth="1"/>
    <col min="8" max="231" width="9.109375" style="19"/>
    <col min="232" max="232" width="9.109375" style="19" customWidth="1"/>
    <col min="233" max="235" width="19" style="19" customWidth="1"/>
    <col min="236" max="236" width="15" style="19" bestFit="1" customWidth="1"/>
    <col min="237" max="237" width="11.109375" style="19" bestFit="1" customWidth="1"/>
    <col min="238" max="238" width="28.88671875" style="19" customWidth="1"/>
    <col min="239" max="239" width="16.109375" style="19" customWidth="1"/>
    <col min="240" max="240" width="41.44140625" style="19" customWidth="1"/>
    <col min="241" max="241" width="14.88671875" style="19" customWidth="1"/>
    <col min="242" max="242" width="17.6640625" style="19" customWidth="1"/>
    <col min="243" max="247" width="17" style="19" customWidth="1"/>
    <col min="248" max="248" width="24" style="19" bestFit="1" customWidth="1"/>
    <col min="249" max="250" width="17.88671875" style="19" customWidth="1"/>
    <col min="251" max="251" width="16.33203125" style="19" customWidth="1"/>
    <col min="252" max="252" width="12.5546875" style="19" bestFit="1" customWidth="1"/>
    <col min="253" max="253" width="13.33203125" style="19" customWidth="1"/>
    <col min="254" max="254" width="11.33203125" style="19" customWidth="1"/>
    <col min="255" max="255" width="13.33203125" style="19" customWidth="1"/>
    <col min="256" max="256" width="15.44140625" style="19" customWidth="1"/>
    <col min="257" max="257" width="48" style="19" customWidth="1"/>
    <col min="258" max="487" width="9.109375" style="19"/>
    <col min="488" max="488" width="9.109375" style="19" customWidth="1"/>
    <col min="489" max="491" width="19" style="19" customWidth="1"/>
    <col min="492" max="492" width="15" style="19" bestFit="1" customWidth="1"/>
    <col min="493" max="493" width="11.109375" style="19" bestFit="1" customWidth="1"/>
    <col min="494" max="494" width="28.88671875" style="19" customWidth="1"/>
    <col min="495" max="495" width="16.109375" style="19" customWidth="1"/>
    <col min="496" max="496" width="41.44140625" style="19" customWidth="1"/>
    <col min="497" max="497" width="14.88671875" style="19" customWidth="1"/>
    <col min="498" max="498" width="17.6640625" style="19" customWidth="1"/>
    <col min="499" max="503" width="17" style="19" customWidth="1"/>
    <col min="504" max="504" width="24" style="19" bestFit="1" customWidth="1"/>
    <col min="505" max="506" width="17.88671875" style="19" customWidth="1"/>
    <col min="507" max="507" width="16.33203125" style="19" customWidth="1"/>
    <col min="508" max="508" width="12.5546875" style="19" bestFit="1" customWidth="1"/>
    <col min="509" max="509" width="13.33203125" style="19" customWidth="1"/>
    <col min="510" max="510" width="11.33203125" style="19" customWidth="1"/>
    <col min="511" max="511" width="13.33203125" style="19" customWidth="1"/>
    <col min="512" max="512" width="15.44140625" style="19" customWidth="1"/>
    <col min="513" max="513" width="48" style="19" customWidth="1"/>
    <col min="514" max="743" width="9.109375" style="19"/>
    <col min="744" max="744" width="9.109375" style="19" customWidth="1"/>
    <col min="745" max="747" width="19" style="19" customWidth="1"/>
    <col min="748" max="748" width="15" style="19" bestFit="1" customWidth="1"/>
    <col min="749" max="749" width="11.109375" style="19" bestFit="1" customWidth="1"/>
    <col min="750" max="750" width="28.88671875" style="19" customWidth="1"/>
    <col min="751" max="751" width="16.109375" style="19" customWidth="1"/>
    <col min="752" max="752" width="41.44140625" style="19" customWidth="1"/>
    <col min="753" max="753" width="14.88671875" style="19" customWidth="1"/>
    <col min="754" max="754" width="17.6640625" style="19" customWidth="1"/>
    <col min="755" max="759" width="17" style="19" customWidth="1"/>
    <col min="760" max="760" width="24" style="19" bestFit="1" customWidth="1"/>
    <col min="761" max="762" width="17.88671875" style="19" customWidth="1"/>
    <col min="763" max="763" width="16.33203125" style="19" customWidth="1"/>
    <col min="764" max="764" width="12.5546875" style="19" bestFit="1" customWidth="1"/>
    <col min="765" max="765" width="13.33203125" style="19" customWidth="1"/>
    <col min="766" max="766" width="11.33203125" style="19" customWidth="1"/>
    <col min="767" max="767" width="13.33203125" style="19" customWidth="1"/>
    <col min="768" max="768" width="15.44140625" style="19" customWidth="1"/>
    <col min="769" max="769" width="48" style="19" customWidth="1"/>
    <col min="770" max="999" width="9.109375" style="19"/>
    <col min="1000" max="1000" width="9.109375" style="19" customWidth="1"/>
    <col min="1001" max="1003" width="19" style="19" customWidth="1"/>
    <col min="1004" max="1004" width="15" style="19" bestFit="1" customWidth="1"/>
    <col min="1005" max="1005" width="11.109375" style="19" bestFit="1" customWidth="1"/>
    <col min="1006" max="1006" width="28.88671875" style="19" customWidth="1"/>
    <col min="1007" max="1007" width="16.109375" style="19" customWidth="1"/>
    <col min="1008" max="1008" width="41.44140625" style="19" customWidth="1"/>
    <col min="1009" max="1009" width="14.88671875" style="19" customWidth="1"/>
    <col min="1010" max="1010" width="17.6640625" style="19" customWidth="1"/>
    <col min="1011" max="1015" width="17" style="19" customWidth="1"/>
    <col min="1016" max="1016" width="24" style="19" bestFit="1" customWidth="1"/>
    <col min="1017" max="1018" width="17.88671875" style="19" customWidth="1"/>
    <col min="1019" max="1019" width="16.33203125" style="19" customWidth="1"/>
    <col min="1020" max="1020" width="12.5546875" style="19" bestFit="1" customWidth="1"/>
    <col min="1021" max="1021" width="13.33203125" style="19" customWidth="1"/>
    <col min="1022" max="1022" width="11.33203125" style="19" customWidth="1"/>
    <col min="1023" max="1023" width="13.33203125" style="19" customWidth="1"/>
    <col min="1024" max="1024" width="15.44140625" style="19" customWidth="1"/>
    <col min="1025" max="1025" width="48" style="19" customWidth="1"/>
    <col min="1026" max="1255" width="9.109375" style="19"/>
    <col min="1256" max="1256" width="9.109375" style="19" customWidth="1"/>
    <col min="1257" max="1259" width="19" style="19" customWidth="1"/>
    <col min="1260" max="1260" width="15" style="19" bestFit="1" customWidth="1"/>
    <col min="1261" max="1261" width="11.109375" style="19" bestFit="1" customWidth="1"/>
    <col min="1262" max="1262" width="28.88671875" style="19" customWidth="1"/>
    <col min="1263" max="1263" width="16.109375" style="19" customWidth="1"/>
    <col min="1264" max="1264" width="41.44140625" style="19" customWidth="1"/>
    <col min="1265" max="1265" width="14.88671875" style="19" customWidth="1"/>
    <col min="1266" max="1266" width="17.6640625" style="19" customWidth="1"/>
    <col min="1267" max="1271" width="17" style="19" customWidth="1"/>
    <col min="1272" max="1272" width="24" style="19" bestFit="1" customWidth="1"/>
    <col min="1273" max="1274" width="17.88671875" style="19" customWidth="1"/>
    <col min="1275" max="1275" width="16.33203125" style="19" customWidth="1"/>
    <col min="1276" max="1276" width="12.5546875" style="19" bestFit="1" customWidth="1"/>
    <col min="1277" max="1277" width="13.33203125" style="19" customWidth="1"/>
    <col min="1278" max="1278" width="11.33203125" style="19" customWidth="1"/>
    <col min="1279" max="1279" width="13.33203125" style="19" customWidth="1"/>
    <col min="1280" max="1280" width="15.44140625" style="19" customWidth="1"/>
    <col min="1281" max="1281" width="48" style="19" customWidth="1"/>
    <col min="1282" max="1511" width="9.109375" style="19"/>
    <col min="1512" max="1512" width="9.109375" style="19" customWidth="1"/>
    <col min="1513" max="1515" width="19" style="19" customWidth="1"/>
    <col min="1516" max="1516" width="15" style="19" bestFit="1" customWidth="1"/>
    <col min="1517" max="1517" width="11.109375" style="19" bestFit="1" customWidth="1"/>
    <col min="1518" max="1518" width="28.88671875" style="19" customWidth="1"/>
    <col min="1519" max="1519" width="16.109375" style="19" customWidth="1"/>
    <col min="1520" max="1520" width="41.44140625" style="19" customWidth="1"/>
    <col min="1521" max="1521" width="14.88671875" style="19" customWidth="1"/>
    <col min="1522" max="1522" width="17.6640625" style="19" customWidth="1"/>
    <col min="1523" max="1527" width="17" style="19" customWidth="1"/>
    <col min="1528" max="1528" width="24" style="19" bestFit="1" customWidth="1"/>
    <col min="1529" max="1530" width="17.88671875" style="19" customWidth="1"/>
    <col min="1531" max="1531" width="16.33203125" style="19" customWidth="1"/>
    <col min="1532" max="1532" width="12.5546875" style="19" bestFit="1" customWidth="1"/>
    <col min="1533" max="1533" width="13.33203125" style="19" customWidth="1"/>
    <col min="1534" max="1534" width="11.33203125" style="19" customWidth="1"/>
    <col min="1535" max="1535" width="13.33203125" style="19" customWidth="1"/>
    <col min="1536" max="1536" width="15.44140625" style="19" customWidth="1"/>
    <col min="1537" max="1537" width="48" style="19" customWidth="1"/>
    <col min="1538" max="1767" width="9.109375" style="19"/>
    <col min="1768" max="1768" width="9.109375" style="19" customWidth="1"/>
    <col min="1769" max="1771" width="19" style="19" customWidth="1"/>
    <col min="1772" max="1772" width="15" style="19" bestFit="1" customWidth="1"/>
    <col min="1773" max="1773" width="11.109375" style="19" bestFit="1" customWidth="1"/>
    <col min="1774" max="1774" width="28.88671875" style="19" customWidth="1"/>
    <col min="1775" max="1775" width="16.109375" style="19" customWidth="1"/>
    <col min="1776" max="1776" width="41.44140625" style="19" customWidth="1"/>
    <col min="1777" max="1777" width="14.88671875" style="19" customWidth="1"/>
    <col min="1778" max="1778" width="17.6640625" style="19" customWidth="1"/>
    <col min="1779" max="1783" width="17" style="19" customWidth="1"/>
    <col min="1784" max="1784" width="24" style="19" bestFit="1" customWidth="1"/>
    <col min="1785" max="1786" width="17.88671875" style="19" customWidth="1"/>
    <col min="1787" max="1787" width="16.33203125" style="19" customWidth="1"/>
    <col min="1788" max="1788" width="12.5546875" style="19" bestFit="1" customWidth="1"/>
    <col min="1789" max="1789" width="13.33203125" style="19" customWidth="1"/>
    <col min="1790" max="1790" width="11.33203125" style="19" customWidth="1"/>
    <col min="1791" max="1791" width="13.33203125" style="19" customWidth="1"/>
    <col min="1792" max="1792" width="15.44140625" style="19" customWidth="1"/>
    <col min="1793" max="1793" width="48" style="19" customWidth="1"/>
    <col min="1794" max="2023" width="9.109375" style="19"/>
    <col min="2024" max="2024" width="9.109375" style="19" customWidth="1"/>
    <col min="2025" max="2027" width="19" style="19" customWidth="1"/>
    <col min="2028" max="2028" width="15" style="19" bestFit="1" customWidth="1"/>
    <col min="2029" max="2029" width="11.109375" style="19" bestFit="1" customWidth="1"/>
    <col min="2030" max="2030" width="28.88671875" style="19" customWidth="1"/>
    <col min="2031" max="2031" width="16.109375" style="19" customWidth="1"/>
    <col min="2032" max="2032" width="41.44140625" style="19" customWidth="1"/>
    <col min="2033" max="2033" width="14.88671875" style="19" customWidth="1"/>
    <col min="2034" max="2034" width="17.6640625" style="19" customWidth="1"/>
    <col min="2035" max="2039" width="17" style="19" customWidth="1"/>
    <col min="2040" max="2040" width="24" style="19" bestFit="1" customWidth="1"/>
    <col min="2041" max="2042" width="17.88671875" style="19" customWidth="1"/>
    <col min="2043" max="2043" width="16.33203125" style="19" customWidth="1"/>
    <col min="2044" max="2044" width="12.5546875" style="19" bestFit="1" customWidth="1"/>
    <col min="2045" max="2045" width="13.33203125" style="19" customWidth="1"/>
    <col min="2046" max="2046" width="11.33203125" style="19" customWidth="1"/>
    <col min="2047" max="2047" width="13.33203125" style="19" customWidth="1"/>
    <col min="2048" max="2048" width="15.44140625" style="19" customWidth="1"/>
    <col min="2049" max="2049" width="48" style="19" customWidth="1"/>
    <col min="2050" max="2279" width="9.109375" style="19"/>
    <col min="2280" max="2280" width="9.109375" style="19" customWidth="1"/>
    <col min="2281" max="2283" width="19" style="19" customWidth="1"/>
    <col min="2284" max="2284" width="15" style="19" bestFit="1" customWidth="1"/>
    <col min="2285" max="2285" width="11.109375" style="19" bestFit="1" customWidth="1"/>
    <col min="2286" max="2286" width="28.88671875" style="19" customWidth="1"/>
    <col min="2287" max="2287" width="16.109375" style="19" customWidth="1"/>
    <col min="2288" max="2288" width="41.44140625" style="19" customWidth="1"/>
    <col min="2289" max="2289" width="14.88671875" style="19" customWidth="1"/>
    <col min="2290" max="2290" width="17.6640625" style="19" customWidth="1"/>
    <col min="2291" max="2295" width="17" style="19" customWidth="1"/>
    <col min="2296" max="2296" width="24" style="19" bestFit="1" customWidth="1"/>
    <col min="2297" max="2298" width="17.88671875" style="19" customWidth="1"/>
    <col min="2299" max="2299" width="16.33203125" style="19" customWidth="1"/>
    <col min="2300" max="2300" width="12.5546875" style="19" bestFit="1" customWidth="1"/>
    <col min="2301" max="2301" width="13.33203125" style="19" customWidth="1"/>
    <col min="2302" max="2302" width="11.33203125" style="19" customWidth="1"/>
    <col min="2303" max="2303" width="13.33203125" style="19" customWidth="1"/>
    <col min="2304" max="2304" width="15.44140625" style="19" customWidth="1"/>
    <col min="2305" max="2305" width="48" style="19" customWidth="1"/>
    <col min="2306" max="2535" width="9.109375" style="19"/>
    <col min="2536" max="2536" width="9.109375" style="19" customWidth="1"/>
    <col min="2537" max="2539" width="19" style="19" customWidth="1"/>
    <col min="2540" max="2540" width="15" style="19" bestFit="1" customWidth="1"/>
    <col min="2541" max="2541" width="11.109375" style="19" bestFit="1" customWidth="1"/>
    <col min="2542" max="2542" width="28.88671875" style="19" customWidth="1"/>
    <col min="2543" max="2543" width="16.109375" style="19" customWidth="1"/>
    <col min="2544" max="2544" width="41.44140625" style="19" customWidth="1"/>
    <col min="2545" max="2545" width="14.88671875" style="19" customWidth="1"/>
    <col min="2546" max="2546" width="17.6640625" style="19" customWidth="1"/>
    <col min="2547" max="2551" width="17" style="19" customWidth="1"/>
    <col min="2552" max="2552" width="24" style="19" bestFit="1" customWidth="1"/>
    <col min="2553" max="2554" width="17.88671875" style="19" customWidth="1"/>
    <col min="2555" max="2555" width="16.33203125" style="19" customWidth="1"/>
    <col min="2556" max="2556" width="12.5546875" style="19" bestFit="1" customWidth="1"/>
    <col min="2557" max="2557" width="13.33203125" style="19" customWidth="1"/>
    <col min="2558" max="2558" width="11.33203125" style="19" customWidth="1"/>
    <col min="2559" max="2559" width="13.33203125" style="19" customWidth="1"/>
    <col min="2560" max="2560" width="15.44140625" style="19" customWidth="1"/>
    <col min="2561" max="2561" width="48" style="19" customWidth="1"/>
    <col min="2562" max="2791" width="9.109375" style="19"/>
    <col min="2792" max="2792" width="9.109375" style="19" customWidth="1"/>
    <col min="2793" max="2795" width="19" style="19" customWidth="1"/>
    <col min="2796" max="2796" width="15" style="19" bestFit="1" customWidth="1"/>
    <col min="2797" max="2797" width="11.109375" style="19" bestFit="1" customWidth="1"/>
    <col min="2798" max="2798" width="28.88671875" style="19" customWidth="1"/>
    <col min="2799" max="2799" width="16.109375" style="19" customWidth="1"/>
    <col min="2800" max="2800" width="41.44140625" style="19" customWidth="1"/>
    <col min="2801" max="2801" width="14.88671875" style="19" customWidth="1"/>
    <col min="2802" max="2802" width="17.6640625" style="19" customWidth="1"/>
    <col min="2803" max="2807" width="17" style="19" customWidth="1"/>
    <col min="2808" max="2808" width="24" style="19" bestFit="1" customWidth="1"/>
    <col min="2809" max="2810" width="17.88671875" style="19" customWidth="1"/>
    <col min="2811" max="2811" width="16.33203125" style="19" customWidth="1"/>
    <col min="2812" max="2812" width="12.5546875" style="19" bestFit="1" customWidth="1"/>
    <col min="2813" max="2813" width="13.33203125" style="19" customWidth="1"/>
    <col min="2814" max="2814" width="11.33203125" style="19" customWidth="1"/>
    <col min="2815" max="2815" width="13.33203125" style="19" customWidth="1"/>
    <col min="2816" max="2816" width="15.44140625" style="19" customWidth="1"/>
    <col min="2817" max="2817" width="48" style="19" customWidth="1"/>
    <col min="2818" max="3047" width="9.109375" style="19"/>
    <col min="3048" max="3048" width="9.109375" style="19" customWidth="1"/>
    <col min="3049" max="3051" width="19" style="19" customWidth="1"/>
    <col min="3052" max="3052" width="15" style="19" bestFit="1" customWidth="1"/>
    <col min="3053" max="3053" width="11.109375" style="19" bestFit="1" customWidth="1"/>
    <col min="3054" max="3054" width="28.88671875" style="19" customWidth="1"/>
    <col min="3055" max="3055" width="16.109375" style="19" customWidth="1"/>
    <col min="3056" max="3056" width="41.44140625" style="19" customWidth="1"/>
    <col min="3057" max="3057" width="14.88671875" style="19" customWidth="1"/>
    <col min="3058" max="3058" width="17.6640625" style="19" customWidth="1"/>
    <col min="3059" max="3063" width="17" style="19" customWidth="1"/>
    <col min="3064" max="3064" width="24" style="19" bestFit="1" customWidth="1"/>
    <col min="3065" max="3066" width="17.88671875" style="19" customWidth="1"/>
    <col min="3067" max="3067" width="16.33203125" style="19" customWidth="1"/>
    <col min="3068" max="3068" width="12.5546875" style="19" bestFit="1" customWidth="1"/>
    <col min="3069" max="3069" width="13.33203125" style="19" customWidth="1"/>
    <col min="3070" max="3070" width="11.33203125" style="19" customWidth="1"/>
    <col min="3071" max="3071" width="13.33203125" style="19" customWidth="1"/>
    <col min="3072" max="3072" width="15.44140625" style="19" customWidth="1"/>
    <col min="3073" max="3073" width="48" style="19" customWidth="1"/>
    <col min="3074" max="3303" width="9.109375" style="19"/>
    <col min="3304" max="3304" width="9.109375" style="19" customWidth="1"/>
    <col min="3305" max="3307" width="19" style="19" customWidth="1"/>
    <col min="3308" max="3308" width="15" style="19" bestFit="1" customWidth="1"/>
    <col min="3309" max="3309" width="11.109375" style="19" bestFit="1" customWidth="1"/>
    <col min="3310" max="3310" width="28.88671875" style="19" customWidth="1"/>
    <col min="3311" max="3311" width="16.109375" style="19" customWidth="1"/>
    <col min="3312" max="3312" width="41.44140625" style="19" customWidth="1"/>
    <col min="3313" max="3313" width="14.88671875" style="19" customWidth="1"/>
    <col min="3314" max="3314" width="17.6640625" style="19" customWidth="1"/>
    <col min="3315" max="3319" width="17" style="19" customWidth="1"/>
    <col min="3320" max="3320" width="24" style="19" bestFit="1" customWidth="1"/>
    <col min="3321" max="3322" width="17.88671875" style="19" customWidth="1"/>
    <col min="3323" max="3323" width="16.33203125" style="19" customWidth="1"/>
    <col min="3324" max="3324" width="12.5546875" style="19" bestFit="1" customWidth="1"/>
    <col min="3325" max="3325" width="13.33203125" style="19" customWidth="1"/>
    <col min="3326" max="3326" width="11.33203125" style="19" customWidth="1"/>
    <col min="3327" max="3327" width="13.33203125" style="19" customWidth="1"/>
    <col min="3328" max="3328" width="15.44140625" style="19" customWidth="1"/>
    <col min="3329" max="3329" width="48" style="19" customWidth="1"/>
    <col min="3330" max="3559" width="9.109375" style="19"/>
    <col min="3560" max="3560" width="9.109375" style="19" customWidth="1"/>
    <col min="3561" max="3563" width="19" style="19" customWidth="1"/>
    <col min="3564" max="3564" width="15" style="19" bestFit="1" customWidth="1"/>
    <col min="3565" max="3565" width="11.109375" style="19" bestFit="1" customWidth="1"/>
    <col min="3566" max="3566" width="28.88671875" style="19" customWidth="1"/>
    <col min="3567" max="3567" width="16.109375" style="19" customWidth="1"/>
    <col min="3568" max="3568" width="41.44140625" style="19" customWidth="1"/>
    <col min="3569" max="3569" width="14.88671875" style="19" customWidth="1"/>
    <col min="3570" max="3570" width="17.6640625" style="19" customWidth="1"/>
    <col min="3571" max="3575" width="17" style="19" customWidth="1"/>
    <col min="3576" max="3576" width="24" style="19" bestFit="1" customWidth="1"/>
    <col min="3577" max="3578" width="17.88671875" style="19" customWidth="1"/>
    <col min="3579" max="3579" width="16.33203125" style="19" customWidth="1"/>
    <col min="3580" max="3580" width="12.5546875" style="19" bestFit="1" customWidth="1"/>
    <col min="3581" max="3581" width="13.33203125" style="19" customWidth="1"/>
    <col min="3582" max="3582" width="11.33203125" style="19" customWidth="1"/>
    <col min="3583" max="3583" width="13.33203125" style="19" customWidth="1"/>
    <col min="3584" max="3584" width="15.44140625" style="19" customWidth="1"/>
    <col min="3585" max="3585" width="48" style="19" customWidth="1"/>
    <col min="3586" max="3815" width="9.109375" style="19"/>
    <col min="3816" max="3816" width="9.109375" style="19" customWidth="1"/>
    <col min="3817" max="3819" width="19" style="19" customWidth="1"/>
    <col min="3820" max="3820" width="15" style="19" bestFit="1" customWidth="1"/>
    <col min="3821" max="3821" width="11.109375" style="19" bestFit="1" customWidth="1"/>
    <col min="3822" max="3822" width="28.88671875" style="19" customWidth="1"/>
    <col min="3823" max="3823" width="16.109375" style="19" customWidth="1"/>
    <col min="3824" max="3824" width="41.44140625" style="19" customWidth="1"/>
    <col min="3825" max="3825" width="14.88671875" style="19" customWidth="1"/>
    <col min="3826" max="3826" width="17.6640625" style="19" customWidth="1"/>
    <col min="3827" max="3831" width="17" style="19" customWidth="1"/>
    <col min="3832" max="3832" width="24" style="19" bestFit="1" customWidth="1"/>
    <col min="3833" max="3834" width="17.88671875" style="19" customWidth="1"/>
    <col min="3835" max="3835" width="16.33203125" style="19" customWidth="1"/>
    <col min="3836" max="3836" width="12.5546875" style="19" bestFit="1" customWidth="1"/>
    <col min="3837" max="3837" width="13.33203125" style="19" customWidth="1"/>
    <col min="3838" max="3838" width="11.33203125" style="19" customWidth="1"/>
    <col min="3839" max="3839" width="13.33203125" style="19" customWidth="1"/>
    <col min="3840" max="3840" width="15.44140625" style="19" customWidth="1"/>
    <col min="3841" max="3841" width="48" style="19" customWidth="1"/>
    <col min="3842" max="4071" width="9.109375" style="19"/>
    <col min="4072" max="4072" width="9.109375" style="19" customWidth="1"/>
    <col min="4073" max="4075" width="19" style="19" customWidth="1"/>
    <col min="4076" max="4076" width="15" style="19" bestFit="1" customWidth="1"/>
    <col min="4077" max="4077" width="11.109375" style="19" bestFit="1" customWidth="1"/>
    <col min="4078" max="4078" width="28.88671875" style="19" customWidth="1"/>
    <col min="4079" max="4079" width="16.109375" style="19" customWidth="1"/>
    <col min="4080" max="4080" width="41.44140625" style="19" customWidth="1"/>
    <col min="4081" max="4081" width="14.88671875" style="19" customWidth="1"/>
    <col min="4082" max="4082" width="17.6640625" style="19" customWidth="1"/>
    <col min="4083" max="4087" width="17" style="19" customWidth="1"/>
    <col min="4088" max="4088" width="24" style="19" bestFit="1" customWidth="1"/>
    <col min="4089" max="4090" width="17.88671875" style="19" customWidth="1"/>
    <col min="4091" max="4091" width="16.33203125" style="19" customWidth="1"/>
    <col min="4092" max="4092" width="12.5546875" style="19" bestFit="1" customWidth="1"/>
    <col min="4093" max="4093" width="13.33203125" style="19" customWidth="1"/>
    <col min="4094" max="4094" width="11.33203125" style="19" customWidth="1"/>
    <col min="4095" max="4095" width="13.33203125" style="19" customWidth="1"/>
    <col min="4096" max="4096" width="15.44140625" style="19" customWidth="1"/>
    <col min="4097" max="4097" width="48" style="19" customWidth="1"/>
    <col min="4098" max="4327" width="9.109375" style="19"/>
    <col min="4328" max="4328" width="9.109375" style="19" customWidth="1"/>
    <col min="4329" max="4331" width="19" style="19" customWidth="1"/>
    <col min="4332" max="4332" width="15" style="19" bestFit="1" customWidth="1"/>
    <col min="4333" max="4333" width="11.109375" style="19" bestFit="1" customWidth="1"/>
    <col min="4334" max="4334" width="28.88671875" style="19" customWidth="1"/>
    <col min="4335" max="4335" width="16.109375" style="19" customWidth="1"/>
    <col min="4336" max="4336" width="41.44140625" style="19" customWidth="1"/>
    <col min="4337" max="4337" width="14.88671875" style="19" customWidth="1"/>
    <col min="4338" max="4338" width="17.6640625" style="19" customWidth="1"/>
    <col min="4339" max="4343" width="17" style="19" customWidth="1"/>
    <col min="4344" max="4344" width="24" style="19" bestFit="1" customWidth="1"/>
    <col min="4345" max="4346" width="17.88671875" style="19" customWidth="1"/>
    <col min="4347" max="4347" width="16.33203125" style="19" customWidth="1"/>
    <col min="4348" max="4348" width="12.5546875" style="19" bestFit="1" customWidth="1"/>
    <col min="4349" max="4349" width="13.33203125" style="19" customWidth="1"/>
    <col min="4350" max="4350" width="11.33203125" style="19" customWidth="1"/>
    <col min="4351" max="4351" width="13.33203125" style="19" customWidth="1"/>
    <col min="4352" max="4352" width="15.44140625" style="19" customWidth="1"/>
    <col min="4353" max="4353" width="48" style="19" customWidth="1"/>
    <col min="4354" max="4583" width="9.109375" style="19"/>
    <col min="4584" max="4584" width="9.109375" style="19" customWidth="1"/>
    <col min="4585" max="4587" width="19" style="19" customWidth="1"/>
    <col min="4588" max="4588" width="15" style="19" bestFit="1" customWidth="1"/>
    <col min="4589" max="4589" width="11.109375" style="19" bestFit="1" customWidth="1"/>
    <col min="4590" max="4590" width="28.88671875" style="19" customWidth="1"/>
    <col min="4591" max="4591" width="16.109375" style="19" customWidth="1"/>
    <col min="4592" max="4592" width="41.44140625" style="19" customWidth="1"/>
    <col min="4593" max="4593" width="14.88671875" style="19" customWidth="1"/>
    <col min="4594" max="4594" width="17.6640625" style="19" customWidth="1"/>
    <col min="4595" max="4599" width="17" style="19" customWidth="1"/>
    <col min="4600" max="4600" width="24" style="19" bestFit="1" customWidth="1"/>
    <col min="4601" max="4602" width="17.88671875" style="19" customWidth="1"/>
    <col min="4603" max="4603" width="16.33203125" style="19" customWidth="1"/>
    <col min="4604" max="4604" width="12.5546875" style="19" bestFit="1" customWidth="1"/>
    <col min="4605" max="4605" width="13.33203125" style="19" customWidth="1"/>
    <col min="4606" max="4606" width="11.33203125" style="19" customWidth="1"/>
    <col min="4607" max="4607" width="13.33203125" style="19" customWidth="1"/>
    <col min="4608" max="4608" width="15.44140625" style="19" customWidth="1"/>
    <col min="4609" max="4609" width="48" style="19" customWidth="1"/>
    <col min="4610" max="4839" width="9.109375" style="19"/>
    <col min="4840" max="4840" width="9.109375" style="19" customWidth="1"/>
    <col min="4841" max="4843" width="19" style="19" customWidth="1"/>
    <col min="4844" max="4844" width="15" style="19" bestFit="1" customWidth="1"/>
    <col min="4845" max="4845" width="11.109375" style="19" bestFit="1" customWidth="1"/>
    <col min="4846" max="4846" width="28.88671875" style="19" customWidth="1"/>
    <col min="4847" max="4847" width="16.109375" style="19" customWidth="1"/>
    <col min="4848" max="4848" width="41.44140625" style="19" customWidth="1"/>
    <col min="4849" max="4849" width="14.88671875" style="19" customWidth="1"/>
    <col min="4850" max="4850" width="17.6640625" style="19" customWidth="1"/>
    <col min="4851" max="4855" width="17" style="19" customWidth="1"/>
    <col min="4856" max="4856" width="24" style="19" bestFit="1" customWidth="1"/>
    <col min="4857" max="4858" width="17.88671875" style="19" customWidth="1"/>
    <col min="4859" max="4859" width="16.33203125" style="19" customWidth="1"/>
    <col min="4860" max="4860" width="12.5546875" style="19" bestFit="1" customWidth="1"/>
    <col min="4861" max="4861" width="13.33203125" style="19" customWidth="1"/>
    <col min="4862" max="4862" width="11.33203125" style="19" customWidth="1"/>
    <col min="4863" max="4863" width="13.33203125" style="19" customWidth="1"/>
    <col min="4864" max="4864" width="15.44140625" style="19" customWidth="1"/>
    <col min="4865" max="4865" width="48" style="19" customWidth="1"/>
    <col min="4866" max="5095" width="9.109375" style="19"/>
    <col min="5096" max="5096" width="9.109375" style="19" customWidth="1"/>
    <col min="5097" max="5099" width="19" style="19" customWidth="1"/>
    <col min="5100" max="5100" width="15" style="19" bestFit="1" customWidth="1"/>
    <col min="5101" max="5101" width="11.109375" style="19" bestFit="1" customWidth="1"/>
    <col min="5102" max="5102" width="28.88671875" style="19" customWidth="1"/>
    <col min="5103" max="5103" width="16.109375" style="19" customWidth="1"/>
    <col min="5104" max="5104" width="41.44140625" style="19" customWidth="1"/>
    <col min="5105" max="5105" width="14.88671875" style="19" customWidth="1"/>
    <col min="5106" max="5106" width="17.6640625" style="19" customWidth="1"/>
    <col min="5107" max="5111" width="17" style="19" customWidth="1"/>
    <col min="5112" max="5112" width="24" style="19" bestFit="1" customWidth="1"/>
    <col min="5113" max="5114" width="17.88671875" style="19" customWidth="1"/>
    <col min="5115" max="5115" width="16.33203125" style="19" customWidth="1"/>
    <col min="5116" max="5116" width="12.5546875" style="19" bestFit="1" customWidth="1"/>
    <col min="5117" max="5117" width="13.33203125" style="19" customWidth="1"/>
    <col min="5118" max="5118" width="11.33203125" style="19" customWidth="1"/>
    <col min="5119" max="5119" width="13.33203125" style="19" customWidth="1"/>
    <col min="5120" max="5120" width="15.44140625" style="19" customWidth="1"/>
    <col min="5121" max="5121" width="48" style="19" customWidth="1"/>
    <col min="5122" max="5351" width="9.109375" style="19"/>
    <col min="5352" max="5352" width="9.109375" style="19" customWidth="1"/>
    <col min="5353" max="5355" width="19" style="19" customWidth="1"/>
    <col min="5356" max="5356" width="15" style="19" bestFit="1" customWidth="1"/>
    <col min="5357" max="5357" width="11.109375" style="19" bestFit="1" customWidth="1"/>
    <col min="5358" max="5358" width="28.88671875" style="19" customWidth="1"/>
    <col min="5359" max="5359" width="16.109375" style="19" customWidth="1"/>
    <col min="5360" max="5360" width="41.44140625" style="19" customWidth="1"/>
    <col min="5361" max="5361" width="14.88671875" style="19" customWidth="1"/>
    <col min="5362" max="5362" width="17.6640625" style="19" customWidth="1"/>
    <col min="5363" max="5367" width="17" style="19" customWidth="1"/>
    <col min="5368" max="5368" width="24" style="19" bestFit="1" customWidth="1"/>
    <col min="5369" max="5370" width="17.88671875" style="19" customWidth="1"/>
    <col min="5371" max="5371" width="16.33203125" style="19" customWidth="1"/>
    <col min="5372" max="5372" width="12.5546875" style="19" bestFit="1" customWidth="1"/>
    <col min="5373" max="5373" width="13.33203125" style="19" customWidth="1"/>
    <col min="5374" max="5374" width="11.33203125" style="19" customWidth="1"/>
    <col min="5375" max="5375" width="13.33203125" style="19" customWidth="1"/>
    <col min="5376" max="5376" width="15.44140625" style="19" customWidth="1"/>
    <col min="5377" max="5377" width="48" style="19" customWidth="1"/>
    <col min="5378" max="5607" width="9.109375" style="19"/>
    <col min="5608" max="5608" width="9.109375" style="19" customWidth="1"/>
    <col min="5609" max="5611" width="19" style="19" customWidth="1"/>
    <col min="5612" max="5612" width="15" style="19" bestFit="1" customWidth="1"/>
    <col min="5613" max="5613" width="11.109375" style="19" bestFit="1" customWidth="1"/>
    <col min="5614" max="5614" width="28.88671875" style="19" customWidth="1"/>
    <col min="5615" max="5615" width="16.109375" style="19" customWidth="1"/>
    <col min="5616" max="5616" width="41.44140625" style="19" customWidth="1"/>
    <col min="5617" max="5617" width="14.88671875" style="19" customWidth="1"/>
    <col min="5618" max="5618" width="17.6640625" style="19" customWidth="1"/>
    <col min="5619" max="5623" width="17" style="19" customWidth="1"/>
    <col min="5624" max="5624" width="24" style="19" bestFit="1" customWidth="1"/>
    <col min="5625" max="5626" width="17.88671875" style="19" customWidth="1"/>
    <col min="5627" max="5627" width="16.33203125" style="19" customWidth="1"/>
    <col min="5628" max="5628" width="12.5546875" style="19" bestFit="1" customWidth="1"/>
    <col min="5629" max="5629" width="13.33203125" style="19" customWidth="1"/>
    <col min="5630" max="5630" width="11.33203125" style="19" customWidth="1"/>
    <col min="5631" max="5631" width="13.33203125" style="19" customWidth="1"/>
    <col min="5632" max="5632" width="15.44140625" style="19" customWidth="1"/>
    <col min="5633" max="5633" width="48" style="19" customWidth="1"/>
    <col min="5634" max="5863" width="9.109375" style="19"/>
    <col min="5864" max="5864" width="9.109375" style="19" customWidth="1"/>
    <col min="5865" max="5867" width="19" style="19" customWidth="1"/>
    <col min="5868" max="5868" width="15" style="19" bestFit="1" customWidth="1"/>
    <col min="5869" max="5869" width="11.109375" style="19" bestFit="1" customWidth="1"/>
    <col min="5870" max="5870" width="28.88671875" style="19" customWidth="1"/>
    <col min="5871" max="5871" width="16.109375" style="19" customWidth="1"/>
    <col min="5872" max="5872" width="41.44140625" style="19" customWidth="1"/>
    <col min="5873" max="5873" width="14.88671875" style="19" customWidth="1"/>
    <col min="5874" max="5874" width="17.6640625" style="19" customWidth="1"/>
    <col min="5875" max="5879" width="17" style="19" customWidth="1"/>
    <col min="5880" max="5880" width="24" style="19" bestFit="1" customWidth="1"/>
    <col min="5881" max="5882" width="17.88671875" style="19" customWidth="1"/>
    <col min="5883" max="5883" width="16.33203125" style="19" customWidth="1"/>
    <col min="5884" max="5884" width="12.5546875" style="19" bestFit="1" customWidth="1"/>
    <col min="5885" max="5885" width="13.33203125" style="19" customWidth="1"/>
    <col min="5886" max="5886" width="11.33203125" style="19" customWidth="1"/>
    <col min="5887" max="5887" width="13.33203125" style="19" customWidth="1"/>
    <col min="5888" max="5888" width="15.44140625" style="19" customWidth="1"/>
    <col min="5889" max="5889" width="48" style="19" customWidth="1"/>
    <col min="5890" max="6119" width="9.109375" style="19"/>
    <col min="6120" max="6120" width="9.109375" style="19" customWidth="1"/>
    <col min="6121" max="6123" width="19" style="19" customWidth="1"/>
    <col min="6124" max="6124" width="15" style="19" bestFit="1" customWidth="1"/>
    <col min="6125" max="6125" width="11.109375" style="19" bestFit="1" customWidth="1"/>
    <col min="6126" max="6126" width="28.88671875" style="19" customWidth="1"/>
    <col min="6127" max="6127" width="16.109375" style="19" customWidth="1"/>
    <col min="6128" max="6128" width="41.44140625" style="19" customWidth="1"/>
    <col min="6129" max="6129" width="14.88671875" style="19" customWidth="1"/>
    <col min="6130" max="6130" width="17.6640625" style="19" customWidth="1"/>
    <col min="6131" max="6135" width="17" style="19" customWidth="1"/>
    <col min="6136" max="6136" width="24" style="19" bestFit="1" customWidth="1"/>
    <col min="6137" max="6138" width="17.88671875" style="19" customWidth="1"/>
    <col min="6139" max="6139" width="16.33203125" style="19" customWidth="1"/>
    <col min="6140" max="6140" width="12.5546875" style="19" bestFit="1" customWidth="1"/>
    <col min="6141" max="6141" width="13.33203125" style="19" customWidth="1"/>
    <col min="6142" max="6142" width="11.33203125" style="19" customWidth="1"/>
    <col min="6143" max="6143" width="13.33203125" style="19" customWidth="1"/>
    <col min="6144" max="6144" width="15.44140625" style="19" customWidth="1"/>
    <col min="6145" max="6145" width="48" style="19" customWidth="1"/>
    <col min="6146" max="6375" width="9.109375" style="19"/>
    <col min="6376" max="6376" width="9.109375" style="19" customWidth="1"/>
    <col min="6377" max="6379" width="19" style="19" customWidth="1"/>
    <col min="6380" max="6380" width="15" style="19" bestFit="1" customWidth="1"/>
    <col min="6381" max="6381" width="11.109375" style="19" bestFit="1" customWidth="1"/>
    <col min="6382" max="6382" width="28.88671875" style="19" customWidth="1"/>
    <col min="6383" max="6383" width="16.109375" style="19" customWidth="1"/>
    <col min="6384" max="6384" width="41.44140625" style="19" customWidth="1"/>
    <col min="6385" max="6385" width="14.88671875" style="19" customWidth="1"/>
    <col min="6386" max="6386" width="17.6640625" style="19" customWidth="1"/>
    <col min="6387" max="6391" width="17" style="19" customWidth="1"/>
    <col min="6392" max="6392" width="24" style="19" bestFit="1" customWidth="1"/>
    <col min="6393" max="6394" width="17.88671875" style="19" customWidth="1"/>
    <col min="6395" max="6395" width="16.33203125" style="19" customWidth="1"/>
    <col min="6396" max="6396" width="12.5546875" style="19" bestFit="1" customWidth="1"/>
    <col min="6397" max="6397" width="13.33203125" style="19" customWidth="1"/>
    <col min="6398" max="6398" width="11.33203125" style="19" customWidth="1"/>
    <col min="6399" max="6399" width="13.33203125" style="19" customWidth="1"/>
    <col min="6400" max="6400" width="15.44140625" style="19" customWidth="1"/>
    <col min="6401" max="6401" width="48" style="19" customWidth="1"/>
    <col min="6402" max="6631" width="9.109375" style="19"/>
    <col min="6632" max="6632" width="9.109375" style="19" customWidth="1"/>
    <col min="6633" max="6635" width="19" style="19" customWidth="1"/>
    <col min="6636" max="6636" width="15" style="19" bestFit="1" customWidth="1"/>
    <col min="6637" max="6637" width="11.109375" style="19" bestFit="1" customWidth="1"/>
    <col min="6638" max="6638" width="28.88671875" style="19" customWidth="1"/>
    <col min="6639" max="6639" width="16.109375" style="19" customWidth="1"/>
    <col min="6640" max="6640" width="41.44140625" style="19" customWidth="1"/>
    <col min="6641" max="6641" width="14.88671875" style="19" customWidth="1"/>
    <col min="6642" max="6642" width="17.6640625" style="19" customWidth="1"/>
    <col min="6643" max="6647" width="17" style="19" customWidth="1"/>
    <col min="6648" max="6648" width="24" style="19" bestFit="1" customWidth="1"/>
    <col min="6649" max="6650" width="17.88671875" style="19" customWidth="1"/>
    <col min="6651" max="6651" width="16.33203125" style="19" customWidth="1"/>
    <col min="6652" max="6652" width="12.5546875" style="19" bestFit="1" customWidth="1"/>
    <col min="6653" max="6653" width="13.33203125" style="19" customWidth="1"/>
    <col min="6654" max="6654" width="11.33203125" style="19" customWidth="1"/>
    <col min="6655" max="6655" width="13.33203125" style="19" customWidth="1"/>
    <col min="6656" max="6656" width="15.44140625" style="19" customWidth="1"/>
    <col min="6657" max="6657" width="48" style="19" customWidth="1"/>
    <col min="6658" max="6887" width="9.109375" style="19"/>
    <col min="6888" max="6888" width="9.109375" style="19" customWidth="1"/>
    <col min="6889" max="6891" width="19" style="19" customWidth="1"/>
    <col min="6892" max="6892" width="15" style="19" bestFit="1" customWidth="1"/>
    <col min="6893" max="6893" width="11.109375" style="19" bestFit="1" customWidth="1"/>
    <col min="6894" max="6894" width="28.88671875" style="19" customWidth="1"/>
    <col min="6895" max="6895" width="16.109375" style="19" customWidth="1"/>
    <col min="6896" max="6896" width="41.44140625" style="19" customWidth="1"/>
    <col min="6897" max="6897" width="14.88671875" style="19" customWidth="1"/>
    <col min="6898" max="6898" width="17.6640625" style="19" customWidth="1"/>
    <col min="6899" max="6903" width="17" style="19" customWidth="1"/>
    <col min="6904" max="6904" width="24" style="19" bestFit="1" customWidth="1"/>
    <col min="6905" max="6906" width="17.88671875" style="19" customWidth="1"/>
    <col min="6907" max="6907" width="16.33203125" style="19" customWidth="1"/>
    <col min="6908" max="6908" width="12.5546875" style="19" bestFit="1" customWidth="1"/>
    <col min="6909" max="6909" width="13.33203125" style="19" customWidth="1"/>
    <col min="6910" max="6910" width="11.33203125" style="19" customWidth="1"/>
    <col min="6911" max="6911" width="13.33203125" style="19" customWidth="1"/>
    <col min="6912" max="6912" width="15.44140625" style="19" customWidth="1"/>
    <col min="6913" max="6913" width="48" style="19" customWidth="1"/>
    <col min="6914" max="7143" width="9.109375" style="19"/>
    <col min="7144" max="7144" width="9.109375" style="19" customWidth="1"/>
    <col min="7145" max="7147" width="19" style="19" customWidth="1"/>
    <col min="7148" max="7148" width="15" style="19" bestFit="1" customWidth="1"/>
    <col min="7149" max="7149" width="11.109375" style="19" bestFit="1" customWidth="1"/>
    <col min="7150" max="7150" width="28.88671875" style="19" customWidth="1"/>
    <col min="7151" max="7151" width="16.109375" style="19" customWidth="1"/>
    <col min="7152" max="7152" width="41.44140625" style="19" customWidth="1"/>
    <col min="7153" max="7153" width="14.88671875" style="19" customWidth="1"/>
    <col min="7154" max="7154" width="17.6640625" style="19" customWidth="1"/>
    <col min="7155" max="7159" width="17" style="19" customWidth="1"/>
    <col min="7160" max="7160" width="24" style="19" bestFit="1" customWidth="1"/>
    <col min="7161" max="7162" width="17.88671875" style="19" customWidth="1"/>
    <col min="7163" max="7163" width="16.33203125" style="19" customWidth="1"/>
    <col min="7164" max="7164" width="12.5546875" style="19" bestFit="1" customWidth="1"/>
    <col min="7165" max="7165" width="13.33203125" style="19" customWidth="1"/>
    <col min="7166" max="7166" width="11.33203125" style="19" customWidth="1"/>
    <col min="7167" max="7167" width="13.33203125" style="19" customWidth="1"/>
    <col min="7168" max="7168" width="15.44140625" style="19" customWidth="1"/>
    <col min="7169" max="7169" width="48" style="19" customWidth="1"/>
    <col min="7170" max="7399" width="9.109375" style="19"/>
    <col min="7400" max="7400" width="9.109375" style="19" customWidth="1"/>
    <col min="7401" max="7403" width="19" style="19" customWidth="1"/>
    <col min="7404" max="7404" width="15" style="19" bestFit="1" customWidth="1"/>
    <col min="7405" max="7405" width="11.109375" style="19" bestFit="1" customWidth="1"/>
    <col min="7406" max="7406" width="28.88671875" style="19" customWidth="1"/>
    <col min="7407" max="7407" width="16.109375" style="19" customWidth="1"/>
    <col min="7408" max="7408" width="41.44140625" style="19" customWidth="1"/>
    <col min="7409" max="7409" width="14.88671875" style="19" customWidth="1"/>
    <col min="7410" max="7410" width="17.6640625" style="19" customWidth="1"/>
    <col min="7411" max="7415" width="17" style="19" customWidth="1"/>
    <col min="7416" max="7416" width="24" style="19" bestFit="1" customWidth="1"/>
    <col min="7417" max="7418" width="17.88671875" style="19" customWidth="1"/>
    <col min="7419" max="7419" width="16.33203125" style="19" customWidth="1"/>
    <col min="7420" max="7420" width="12.5546875" style="19" bestFit="1" customWidth="1"/>
    <col min="7421" max="7421" width="13.33203125" style="19" customWidth="1"/>
    <col min="7422" max="7422" width="11.33203125" style="19" customWidth="1"/>
    <col min="7423" max="7423" width="13.33203125" style="19" customWidth="1"/>
    <col min="7424" max="7424" width="15.44140625" style="19" customWidth="1"/>
    <col min="7425" max="7425" width="48" style="19" customWidth="1"/>
    <col min="7426" max="7655" width="9.109375" style="19"/>
    <col min="7656" max="7656" width="9.109375" style="19" customWidth="1"/>
    <col min="7657" max="7659" width="19" style="19" customWidth="1"/>
    <col min="7660" max="7660" width="15" style="19" bestFit="1" customWidth="1"/>
    <col min="7661" max="7661" width="11.109375" style="19" bestFit="1" customWidth="1"/>
    <col min="7662" max="7662" width="28.88671875" style="19" customWidth="1"/>
    <col min="7663" max="7663" width="16.109375" style="19" customWidth="1"/>
    <col min="7664" max="7664" width="41.44140625" style="19" customWidth="1"/>
    <col min="7665" max="7665" width="14.88671875" style="19" customWidth="1"/>
    <col min="7666" max="7666" width="17.6640625" style="19" customWidth="1"/>
    <col min="7667" max="7671" width="17" style="19" customWidth="1"/>
    <col min="7672" max="7672" width="24" style="19" bestFit="1" customWidth="1"/>
    <col min="7673" max="7674" width="17.88671875" style="19" customWidth="1"/>
    <col min="7675" max="7675" width="16.33203125" style="19" customWidth="1"/>
    <col min="7676" max="7676" width="12.5546875" style="19" bestFit="1" customWidth="1"/>
    <col min="7677" max="7677" width="13.33203125" style="19" customWidth="1"/>
    <col min="7678" max="7678" width="11.33203125" style="19" customWidth="1"/>
    <col min="7679" max="7679" width="13.33203125" style="19" customWidth="1"/>
    <col min="7680" max="7680" width="15.44140625" style="19" customWidth="1"/>
    <col min="7681" max="7681" width="48" style="19" customWidth="1"/>
    <col min="7682" max="7911" width="9.109375" style="19"/>
    <col min="7912" max="7912" width="9.109375" style="19" customWidth="1"/>
    <col min="7913" max="7915" width="19" style="19" customWidth="1"/>
    <col min="7916" max="7916" width="15" style="19" bestFit="1" customWidth="1"/>
    <col min="7917" max="7917" width="11.109375" style="19" bestFit="1" customWidth="1"/>
    <col min="7918" max="7918" width="28.88671875" style="19" customWidth="1"/>
    <col min="7919" max="7919" width="16.109375" style="19" customWidth="1"/>
    <col min="7920" max="7920" width="41.44140625" style="19" customWidth="1"/>
    <col min="7921" max="7921" width="14.88671875" style="19" customWidth="1"/>
    <col min="7922" max="7922" width="17.6640625" style="19" customWidth="1"/>
    <col min="7923" max="7927" width="17" style="19" customWidth="1"/>
    <col min="7928" max="7928" width="24" style="19" bestFit="1" customWidth="1"/>
    <col min="7929" max="7930" width="17.88671875" style="19" customWidth="1"/>
    <col min="7931" max="7931" width="16.33203125" style="19" customWidth="1"/>
    <col min="7932" max="7932" width="12.5546875" style="19" bestFit="1" customWidth="1"/>
    <col min="7933" max="7933" width="13.33203125" style="19" customWidth="1"/>
    <col min="7934" max="7934" width="11.33203125" style="19" customWidth="1"/>
    <col min="7935" max="7935" width="13.33203125" style="19" customWidth="1"/>
    <col min="7936" max="7936" width="15.44140625" style="19" customWidth="1"/>
    <col min="7937" max="7937" width="48" style="19" customWidth="1"/>
    <col min="7938" max="8167" width="9.109375" style="19"/>
    <col min="8168" max="8168" width="9.109375" style="19" customWidth="1"/>
    <col min="8169" max="8171" width="19" style="19" customWidth="1"/>
    <col min="8172" max="8172" width="15" style="19" bestFit="1" customWidth="1"/>
    <col min="8173" max="8173" width="11.109375" style="19" bestFit="1" customWidth="1"/>
    <col min="8174" max="8174" width="28.88671875" style="19" customWidth="1"/>
    <col min="8175" max="8175" width="16.109375" style="19" customWidth="1"/>
    <col min="8176" max="8176" width="41.44140625" style="19" customWidth="1"/>
    <col min="8177" max="8177" width="14.88671875" style="19" customWidth="1"/>
    <col min="8178" max="8178" width="17.6640625" style="19" customWidth="1"/>
    <col min="8179" max="8183" width="17" style="19" customWidth="1"/>
    <col min="8184" max="8184" width="24" style="19" bestFit="1" customWidth="1"/>
    <col min="8185" max="8186" width="17.88671875" style="19" customWidth="1"/>
    <col min="8187" max="8187" width="16.33203125" style="19" customWidth="1"/>
    <col min="8188" max="8188" width="12.5546875" style="19" bestFit="1" customWidth="1"/>
    <col min="8189" max="8189" width="13.33203125" style="19" customWidth="1"/>
    <col min="8190" max="8190" width="11.33203125" style="19" customWidth="1"/>
    <col min="8191" max="8191" width="13.33203125" style="19" customWidth="1"/>
    <col min="8192" max="8192" width="15.44140625" style="19" customWidth="1"/>
    <col min="8193" max="8193" width="48" style="19" customWidth="1"/>
    <col min="8194" max="8423" width="9.109375" style="19"/>
    <col min="8424" max="8424" width="9.109375" style="19" customWidth="1"/>
    <col min="8425" max="8427" width="19" style="19" customWidth="1"/>
    <col min="8428" max="8428" width="15" style="19" bestFit="1" customWidth="1"/>
    <col min="8429" max="8429" width="11.109375" style="19" bestFit="1" customWidth="1"/>
    <col min="8430" max="8430" width="28.88671875" style="19" customWidth="1"/>
    <col min="8431" max="8431" width="16.109375" style="19" customWidth="1"/>
    <col min="8432" max="8432" width="41.44140625" style="19" customWidth="1"/>
    <col min="8433" max="8433" width="14.88671875" style="19" customWidth="1"/>
    <col min="8434" max="8434" width="17.6640625" style="19" customWidth="1"/>
    <col min="8435" max="8439" width="17" style="19" customWidth="1"/>
    <col min="8440" max="8440" width="24" style="19" bestFit="1" customWidth="1"/>
    <col min="8441" max="8442" width="17.88671875" style="19" customWidth="1"/>
    <col min="8443" max="8443" width="16.33203125" style="19" customWidth="1"/>
    <col min="8444" max="8444" width="12.5546875" style="19" bestFit="1" customWidth="1"/>
    <col min="8445" max="8445" width="13.33203125" style="19" customWidth="1"/>
    <col min="8446" max="8446" width="11.33203125" style="19" customWidth="1"/>
    <col min="8447" max="8447" width="13.33203125" style="19" customWidth="1"/>
    <col min="8448" max="8448" width="15.44140625" style="19" customWidth="1"/>
    <col min="8449" max="8449" width="48" style="19" customWidth="1"/>
    <col min="8450" max="8679" width="9.109375" style="19"/>
    <col min="8680" max="8680" width="9.109375" style="19" customWidth="1"/>
    <col min="8681" max="8683" width="19" style="19" customWidth="1"/>
    <col min="8684" max="8684" width="15" style="19" bestFit="1" customWidth="1"/>
    <col min="8685" max="8685" width="11.109375" style="19" bestFit="1" customWidth="1"/>
    <col min="8686" max="8686" width="28.88671875" style="19" customWidth="1"/>
    <col min="8687" max="8687" width="16.109375" style="19" customWidth="1"/>
    <col min="8688" max="8688" width="41.44140625" style="19" customWidth="1"/>
    <col min="8689" max="8689" width="14.88671875" style="19" customWidth="1"/>
    <col min="8690" max="8690" width="17.6640625" style="19" customWidth="1"/>
    <col min="8691" max="8695" width="17" style="19" customWidth="1"/>
    <col min="8696" max="8696" width="24" style="19" bestFit="1" customWidth="1"/>
    <col min="8697" max="8698" width="17.88671875" style="19" customWidth="1"/>
    <col min="8699" max="8699" width="16.33203125" style="19" customWidth="1"/>
    <col min="8700" max="8700" width="12.5546875" style="19" bestFit="1" customWidth="1"/>
    <col min="8701" max="8701" width="13.33203125" style="19" customWidth="1"/>
    <col min="8702" max="8702" width="11.33203125" style="19" customWidth="1"/>
    <col min="8703" max="8703" width="13.33203125" style="19" customWidth="1"/>
    <col min="8704" max="8704" width="15.44140625" style="19" customWidth="1"/>
    <col min="8705" max="8705" width="48" style="19" customWidth="1"/>
    <col min="8706" max="8935" width="9.109375" style="19"/>
    <col min="8936" max="8936" width="9.109375" style="19" customWidth="1"/>
    <col min="8937" max="8939" width="19" style="19" customWidth="1"/>
    <col min="8940" max="8940" width="15" style="19" bestFit="1" customWidth="1"/>
    <col min="8941" max="8941" width="11.109375" style="19" bestFit="1" customWidth="1"/>
    <col min="8942" max="8942" width="28.88671875" style="19" customWidth="1"/>
    <col min="8943" max="8943" width="16.109375" style="19" customWidth="1"/>
    <col min="8944" max="8944" width="41.44140625" style="19" customWidth="1"/>
    <col min="8945" max="8945" width="14.88671875" style="19" customWidth="1"/>
    <col min="8946" max="8946" width="17.6640625" style="19" customWidth="1"/>
    <col min="8947" max="8951" width="17" style="19" customWidth="1"/>
    <col min="8952" max="8952" width="24" style="19" bestFit="1" customWidth="1"/>
    <col min="8953" max="8954" width="17.88671875" style="19" customWidth="1"/>
    <col min="8955" max="8955" width="16.33203125" style="19" customWidth="1"/>
    <col min="8956" max="8956" width="12.5546875" style="19" bestFit="1" customWidth="1"/>
    <col min="8957" max="8957" width="13.33203125" style="19" customWidth="1"/>
    <col min="8958" max="8958" width="11.33203125" style="19" customWidth="1"/>
    <col min="8959" max="8959" width="13.33203125" style="19" customWidth="1"/>
    <col min="8960" max="8960" width="15.44140625" style="19" customWidth="1"/>
    <col min="8961" max="8961" width="48" style="19" customWidth="1"/>
    <col min="8962" max="9191" width="9.109375" style="19"/>
    <col min="9192" max="9192" width="9.109375" style="19" customWidth="1"/>
    <col min="9193" max="9195" width="19" style="19" customWidth="1"/>
    <col min="9196" max="9196" width="15" style="19" bestFit="1" customWidth="1"/>
    <col min="9197" max="9197" width="11.109375" style="19" bestFit="1" customWidth="1"/>
    <col min="9198" max="9198" width="28.88671875" style="19" customWidth="1"/>
    <col min="9199" max="9199" width="16.109375" style="19" customWidth="1"/>
    <col min="9200" max="9200" width="41.44140625" style="19" customWidth="1"/>
    <col min="9201" max="9201" width="14.88671875" style="19" customWidth="1"/>
    <col min="9202" max="9202" width="17.6640625" style="19" customWidth="1"/>
    <col min="9203" max="9207" width="17" style="19" customWidth="1"/>
    <col min="9208" max="9208" width="24" style="19" bestFit="1" customWidth="1"/>
    <col min="9209" max="9210" width="17.88671875" style="19" customWidth="1"/>
    <col min="9211" max="9211" width="16.33203125" style="19" customWidth="1"/>
    <col min="9212" max="9212" width="12.5546875" style="19" bestFit="1" customWidth="1"/>
    <col min="9213" max="9213" width="13.33203125" style="19" customWidth="1"/>
    <col min="9214" max="9214" width="11.33203125" style="19" customWidth="1"/>
    <col min="9215" max="9215" width="13.33203125" style="19" customWidth="1"/>
    <col min="9216" max="9216" width="15.44140625" style="19" customWidth="1"/>
    <col min="9217" max="9217" width="48" style="19" customWidth="1"/>
    <col min="9218" max="9447" width="9.109375" style="19"/>
    <col min="9448" max="9448" width="9.109375" style="19" customWidth="1"/>
    <col min="9449" max="9451" width="19" style="19" customWidth="1"/>
    <col min="9452" max="9452" width="15" style="19" bestFit="1" customWidth="1"/>
    <col min="9453" max="9453" width="11.109375" style="19" bestFit="1" customWidth="1"/>
    <col min="9454" max="9454" width="28.88671875" style="19" customWidth="1"/>
    <col min="9455" max="9455" width="16.109375" style="19" customWidth="1"/>
    <col min="9456" max="9456" width="41.44140625" style="19" customWidth="1"/>
    <col min="9457" max="9457" width="14.88671875" style="19" customWidth="1"/>
    <col min="9458" max="9458" width="17.6640625" style="19" customWidth="1"/>
    <col min="9459" max="9463" width="17" style="19" customWidth="1"/>
    <col min="9464" max="9464" width="24" style="19" bestFit="1" customWidth="1"/>
    <col min="9465" max="9466" width="17.88671875" style="19" customWidth="1"/>
    <col min="9467" max="9467" width="16.33203125" style="19" customWidth="1"/>
    <col min="9468" max="9468" width="12.5546875" style="19" bestFit="1" customWidth="1"/>
    <col min="9469" max="9469" width="13.33203125" style="19" customWidth="1"/>
    <col min="9470" max="9470" width="11.33203125" style="19" customWidth="1"/>
    <col min="9471" max="9471" width="13.33203125" style="19" customWidth="1"/>
    <col min="9472" max="9472" width="15.44140625" style="19" customWidth="1"/>
    <col min="9473" max="9473" width="48" style="19" customWidth="1"/>
    <col min="9474" max="9703" width="9.109375" style="19"/>
    <col min="9704" max="9704" width="9.109375" style="19" customWidth="1"/>
    <col min="9705" max="9707" width="19" style="19" customWidth="1"/>
    <col min="9708" max="9708" width="15" style="19" bestFit="1" customWidth="1"/>
    <col min="9709" max="9709" width="11.109375" style="19" bestFit="1" customWidth="1"/>
    <col min="9710" max="9710" width="28.88671875" style="19" customWidth="1"/>
    <col min="9711" max="9711" width="16.109375" style="19" customWidth="1"/>
    <col min="9712" max="9712" width="41.44140625" style="19" customWidth="1"/>
    <col min="9713" max="9713" width="14.88671875" style="19" customWidth="1"/>
    <col min="9714" max="9714" width="17.6640625" style="19" customWidth="1"/>
    <col min="9715" max="9719" width="17" style="19" customWidth="1"/>
    <col min="9720" max="9720" width="24" style="19" bestFit="1" customWidth="1"/>
    <col min="9721" max="9722" width="17.88671875" style="19" customWidth="1"/>
    <col min="9723" max="9723" width="16.33203125" style="19" customWidth="1"/>
    <col min="9724" max="9724" width="12.5546875" style="19" bestFit="1" customWidth="1"/>
    <col min="9725" max="9725" width="13.33203125" style="19" customWidth="1"/>
    <col min="9726" max="9726" width="11.33203125" style="19" customWidth="1"/>
    <col min="9727" max="9727" width="13.33203125" style="19" customWidth="1"/>
    <col min="9728" max="9728" width="15.44140625" style="19" customWidth="1"/>
    <col min="9729" max="9729" width="48" style="19" customWidth="1"/>
    <col min="9730" max="9959" width="9.109375" style="19"/>
    <col min="9960" max="9960" width="9.109375" style="19" customWidth="1"/>
    <col min="9961" max="9963" width="19" style="19" customWidth="1"/>
    <col min="9964" max="9964" width="15" style="19" bestFit="1" customWidth="1"/>
    <col min="9965" max="9965" width="11.109375" style="19" bestFit="1" customWidth="1"/>
    <col min="9966" max="9966" width="28.88671875" style="19" customWidth="1"/>
    <col min="9967" max="9967" width="16.109375" style="19" customWidth="1"/>
    <col min="9968" max="9968" width="41.44140625" style="19" customWidth="1"/>
    <col min="9969" max="9969" width="14.88671875" style="19" customWidth="1"/>
    <col min="9970" max="9970" width="17.6640625" style="19" customWidth="1"/>
    <col min="9971" max="9975" width="17" style="19" customWidth="1"/>
    <col min="9976" max="9976" width="24" style="19" bestFit="1" customWidth="1"/>
    <col min="9977" max="9978" width="17.88671875" style="19" customWidth="1"/>
    <col min="9979" max="9979" width="16.33203125" style="19" customWidth="1"/>
    <col min="9980" max="9980" width="12.5546875" style="19" bestFit="1" customWidth="1"/>
    <col min="9981" max="9981" width="13.33203125" style="19" customWidth="1"/>
    <col min="9982" max="9982" width="11.33203125" style="19" customWidth="1"/>
    <col min="9983" max="9983" width="13.33203125" style="19" customWidth="1"/>
    <col min="9984" max="9984" width="15.44140625" style="19" customWidth="1"/>
    <col min="9985" max="9985" width="48" style="19" customWidth="1"/>
    <col min="9986" max="10215" width="9.109375" style="19"/>
    <col min="10216" max="10216" width="9.109375" style="19" customWidth="1"/>
    <col min="10217" max="10219" width="19" style="19" customWidth="1"/>
    <col min="10220" max="10220" width="15" style="19" bestFit="1" customWidth="1"/>
    <col min="10221" max="10221" width="11.109375" style="19" bestFit="1" customWidth="1"/>
    <col min="10222" max="10222" width="28.88671875" style="19" customWidth="1"/>
    <col min="10223" max="10223" width="16.109375" style="19" customWidth="1"/>
    <col min="10224" max="10224" width="41.44140625" style="19" customWidth="1"/>
    <col min="10225" max="10225" width="14.88671875" style="19" customWidth="1"/>
    <col min="10226" max="10226" width="17.6640625" style="19" customWidth="1"/>
    <col min="10227" max="10231" width="17" style="19" customWidth="1"/>
    <col min="10232" max="10232" width="24" style="19" bestFit="1" customWidth="1"/>
    <col min="10233" max="10234" width="17.88671875" style="19" customWidth="1"/>
    <col min="10235" max="10235" width="16.33203125" style="19" customWidth="1"/>
    <col min="10236" max="10236" width="12.5546875" style="19" bestFit="1" customWidth="1"/>
    <col min="10237" max="10237" width="13.33203125" style="19" customWidth="1"/>
    <col min="10238" max="10238" width="11.33203125" style="19" customWidth="1"/>
    <col min="10239" max="10239" width="13.33203125" style="19" customWidth="1"/>
    <col min="10240" max="10240" width="15.44140625" style="19" customWidth="1"/>
    <col min="10241" max="10241" width="48" style="19" customWidth="1"/>
    <col min="10242" max="10471" width="9.109375" style="19"/>
    <col min="10472" max="10472" width="9.109375" style="19" customWidth="1"/>
    <col min="10473" max="10475" width="19" style="19" customWidth="1"/>
    <col min="10476" max="10476" width="15" style="19" bestFit="1" customWidth="1"/>
    <col min="10477" max="10477" width="11.109375" style="19" bestFit="1" customWidth="1"/>
    <col min="10478" max="10478" width="28.88671875" style="19" customWidth="1"/>
    <col min="10479" max="10479" width="16.109375" style="19" customWidth="1"/>
    <col min="10480" max="10480" width="41.44140625" style="19" customWidth="1"/>
    <col min="10481" max="10481" width="14.88671875" style="19" customWidth="1"/>
    <col min="10482" max="10482" width="17.6640625" style="19" customWidth="1"/>
    <col min="10483" max="10487" width="17" style="19" customWidth="1"/>
    <col min="10488" max="10488" width="24" style="19" bestFit="1" customWidth="1"/>
    <col min="10489" max="10490" width="17.88671875" style="19" customWidth="1"/>
    <col min="10491" max="10491" width="16.33203125" style="19" customWidth="1"/>
    <col min="10492" max="10492" width="12.5546875" style="19" bestFit="1" customWidth="1"/>
    <col min="10493" max="10493" width="13.33203125" style="19" customWidth="1"/>
    <col min="10494" max="10494" width="11.33203125" style="19" customWidth="1"/>
    <col min="10495" max="10495" width="13.33203125" style="19" customWidth="1"/>
    <col min="10496" max="10496" width="15.44140625" style="19" customWidth="1"/>
    <col min="10497" max="10497" width="48" style="19" customWidth="1"/>
    <col min="10498" max="10727" width="9.109375" style="19"/>
    <col min="10728" max="10728" width="9.109375" style="19" customWidth="1"/>
    <col min="10729" max="10731" width="19" style="19" customWidth="1"/>
    <col min="10732" max="10732" width="15" style="19" bestFit="1" customWidth="1"/>
    <col min="10733" max="10733" width="11.109375" style="19" bestFit="1" customWidth="1"/>
    <col min="10734" max="10734" width="28.88671875" style="19" customWidth="1"/>
    <col min="10735" max="10735" width="16.109375" style="19" customWidth="1"/>
    <col min="10736" max="10736" width="41.44140625" style="19" customWidth="1"/>
    <col min="10737" max="10737" width="14.88671875" style="19" customWidth="1"/>
    <col min="10738" max="10738" width="17.6640625" style="19" customWidth="1"/>
    <col min="10739" max="10743" width="17" style="19" customWidth="1"/>
    <col min="10744" max="10744" width="24" style="19" bestFit="1" customWidth="1"/>
    <col min="10745" max="10746" width="17.88671875" style="19" customWidth="1"/>
    <col min="10747" max="10747" width="16.33203125" style="19" customWidth="1"/>
    <col min="10748" max="10748" width="12.5546875" style="19" bestFit="1" customWidth="1"/>
    <col min="10749" max="10749" width="13.33203125" style="19" customWidth="1"/>
    <col min="10750" max="10750" width="11.33203125" style="19" customWidth="1"/>
    <col min="10751" max="10751" width="13.33203125" style="19" customWidth="1"/>
    <col min="10752" max="10752" width="15.44140625" style="19" customWidth="1"/>
    <col min="10753" max="10753" width="48" style="19" customWidth="1"/>
    <col min="10754" max="10983" width="9.109375" style="19"/>
    <col min="10984" max="10984" width="9.109375" style="19" customWidth="1"/>
    <col min="10985" max="10987" width="19" style="19" customWidth="1"/>
    <col min="10988" max="10988" width="15" style="19" bestFit="1" customWidth="1"/>
    <col min="10989" max="10989" width="11.109375" style="19" bestFit="1" customWidth="1"/>
    <col min="10990" max="10990" width="28.88671875" style="19" customWidth="1"/>
    <col min="10991" max="10991" width="16.109375" style="19" customWidth="1"/>
    <col min="10992" max="10992" width="41.44140625" style="19" customWidth="1"/>
    <col min="10993" max="10993" width="14.88671875" style="19" customWidth="1"/>
    <col min="10994" max="10994" width="17.6640625" style="19" customWidth="1"/>
    <col min="10995" max="10999" width="17" style="19" customWidth="1"/>
    <col min="11000" max="11000" width="24" style="19" bestFit="1" customWidth="1"/>
    <col min="11001" max="11002" width="17.88671875" style="19" customWidth="1"/>
    <col min="11003" max="11003" width="16.33203125" style="19" customWidth="1"/>
    <col min="11004" max="11004" width="12.5546875" style="19" bestFit="1" customWidth="1"/>
    <col min="11005" max="11005" width="13.33203125" style="19" customWidth="1"/>
    <col min="11006" max="11006" width="11.33203125" style="19" customWidth="1"/>
    <col min="11007" max="11007" width="13.33203125" style="19" customWidth="1"/>
    <col min="11008" max="11008" width="15.44140625" style="19" customWidth="1"/>
    <col min="11009" max="11009" width="48" style="19" customWidth="1"/>
    <col min="11010" max="11239" width="9.109375" style="19"/>
    <col min="11240" max="11240" width="9.109375" style="19" customWidth="1"/>
    <col min="11241" max="11243" width="19" style="19" customWidth="1"/>
    <col min="11244" max="11244" width="15" style="19" bestFit="1" customWidth="1"/>
    <col min="11245" max="11245" width="11.109375" style="19" bestFit="1" customWidth="1"/>
    <col min="11246" max="11246" width="28.88671875" style="19" customWidth="1"/>
    <col min="11247" max="11247" width="16.109375" style="19" customWidth="1"/>
    <col min="11248" max="11248" width="41.44140625" style="19" customWidth="1"/>
    <col min="11249" max="11249" width="14.88671875" style="19" customWidth="1"/>
    <col min="11250" max="11250" width="17.6640625" style="19" customWidth="1"/>
    <col min="11251" max="11255" width="17" style="19" customWidth="1"/>
    <col min="11256" max="11256" width="24" style="19" bestFit="1" customWidth="1"/>
    <col min="11257" max="11258" width="17.88671875" style="19" customWidth="1"/>
    <col min="11259" max="11259" width="16.33203125" style="19" customWidth="1"/>
    <col min="11260" max="11260" width="12.5546875" style="19" bestFit="1" customWidth="1"/>
    <col min="11261" max="11261" width="13.33203125" style="19" customWidth="1"/>
    <col min="11262" max="11262" width="11.33203125" style="19" customWidth="1"/>
    <col min="11263" max="11263" width="13.33203125" style="19" customWidth="1"/>
    <col min="11264" max="11264" width="15.44140625" style="19" customWidth="1"/>
    <col min="11265" max="11265" width="48" style="19" customWidth="1"/>
    <col min="11266" max="11495" width="9.109375" style="19"/>
    <col min="11496" max="11496" width="9.109375" style="19" customWidth="1"/>
    <col min="11497" max="11499" width="19" style="19" customWidth="1"/>
    <col min="11500" max="11500" width="15" style="19" bestFit="1" customWidth="1"/>
    <col min="11501" max="11501" width="11.109375" style="19" bestFit="1" customWidth="1"/>
    <col min="11502" max="11502" width="28.88671875" style="19" customWidth="1"/>
    <col min="11503" max="11503" width="16.109375" style="19" customWidth="1"/>
    <col min="11504" max="11504" width="41.44140625" style="19" customWidth="1"/>
    <col min="11505" max="11505" width="14.88671875" style="19" customWidth="1"/>
    <col min="11506" max="11506" width="17.6640625" style="19" customWidth="1"/>
    <col min="11507" max="11511" width="17" style="19" customWidth="1"/>
    <col min="11512" max="11512" width="24" style="19" bestFit="1" customWidth="1"/>
    <col min="11513" max="11514" width="17.88671875" style="19" customWidth="1"/>
    <col min="11515" max="11515" width="16.33203125" style="19" customWidth="1"/>
    <col min="11516" max="11516" width="12.5546875" style="19" bestFit="1" customWidth="1"/>
    <col min="11517" max="11517" width="13.33203125" style="19" customWidth="1"/>
    <col min="11518" max="11518" width="11.33203125" style="19" customWidth="1"/>
    <col min="11519" max="11519" width="13.33203125" style="19" customWidth="1"/>
    <col min="11520" max="11520" width="15.44140625" style="19" customWidth="1"/>
    <col min="11521" max="11521" width="48" style="19" customWidth="1"/>
    <col min="11522" max="11751" width="9.109375" style="19"/>
    <col min="11752" max="11752" width="9.109375" style="19" customWidth="1"/>
    <col min="11753" max="11755" width="19" style="19" customWidth="1"/>
    <col min="11756" max="11756" width="15" style="19" bestFit="1" customWidth="1"/>
    <col min="11757" max="11757" width="11.109375" style="19" bestFit="1" customWidth="1"/>
    <col min="11758" max="11758" width="28.88671875" style="19" customWidth="1"/>
    <col min="11759" max="11759" width="16.109375" style="19" customWidth="1"/>
    <col min="11760" max="11760" width="41.44140625" style="19" customWidth="1"/>
    <col min="11761" max="11761" width="14.88671875" style="19" customWidth="1"/>
    <col min="11762" max="11762" width="17.6640625" style="19" customWidth="1"/>
    <col min="11763" max="11767" width="17" style="19" customWidth="1"/>
    <col min="11768" max="11768" width="24" style="19" bestFit="1" customWidth="1"/>
    <col min="11769" max="11770" width="17.88671875" style="19" customWidth="1"/>
    <col min="11771" max="11771" width="16.33203125" style="19" customWidth="1"/>
    <col min="11772" max="11772" width="12.5546875" style="19" bestFit="1" customWidth="1"/>
    <col min="11773" max="11773" width="13.33203125" style="19" customWidth="1"/>
    <col min="11774" max="11774" width="11.33203125" style="19" customWidth="1"/>
    <col min="11775" max="11775" width="13.33203125" style="19" customWidth="1"/>
    <col min="11776" max="11776" width="15.44140625" style="19" customWidth="1"/>
    <col min="11777" max="11777" width="48" style="19" customWidth="1"/>
    <col min="11778" max="12007" width="9.109375" style="19"/>
    <col min="12008" max="12008" width="9.109375" style="19" customWidth="1"/>
    <col min="12009" max="12011" width="19" style="19" customWidth="1"/>
    <col min="12012" max="12012" width="15" style="19" bestFit="1" customWidth="1"/>
    <col min="12013" max="12013" width="11.109375" style="19" bestFit="1" customWidth="1"/>
    <col min="12014" max="12014" width="28.88671875" style="19" customWidth="1"/>
    <col min="12015" max="12015" width="16.109375" style="19" customWidth="1"/>
    <col min="12016" max="12016" width="41.44140625" style="19" customWidth="1"/>
    <col min="12017" max="12017" width="14.88671875" style="19" customWidth="1"/>
    <col min="12018" max="12018" width="17.6640625" style="19" customWidth="1"/>
    <col min="12019" max="12023" width="17" style="19" customWidth="1"/>
    <col min="12024" max="12024" width="24" style="19" bestFit="1" customWidth="1"/>
    <col min="12025" max="12026" width="17.88671875" style="19" customWidth="1"/>
    <col min="12027" max="12027" width="16.33203125" style="19" customWidth="1"/>
    <col min="12028" max="12028" width="12.5546875" style="19" bestFit="1" customWidth="1"/>
    <col min="12029" max="12029" width="13.33203125" style="19" customWidth="1"/>
    <col min="12030" max="12030" width="11.33203125" style="19" customWidth="1"/>
    <col min="12031" max="12031" width="13.33203125" style="19" customWidth="1"/>
    <col min="12032" max="12032" width="15.44140625" style="19" customWidth="1"/>
    <col min="12033" max="12033" width="48" style="19" customWidth="1"/>
    <col min="12034" max="12263" width="9.109375" style="19"/>
    <col min="12264" max="12264" width="9.109375" style="19" customWidth="1"/>
    <col min="12265" max="12267" width="19" style="19" customWidth="1"/>
    <col min="12268" max="12268" width="15" style="19" bestFit="1" customWidth="1"/>
    <col min="12269" max="12269" width="11.109375" style="19" bestFit="1" customWidth="1"/>
    <col min="12270" max="12270" width="28.88671875" style="19" customWidth="1"/>
    <col min="12271" max="12271" width="16.109375" style="19" customWidth="1"/>
    <col min="12272" max="12272" width="41.44140625" style="19" customWidth="1"/>
    <col min="12273" max="12273" width="14.88671875" style="19" customWidth="1"/>
    <col min="12274" max="12274" width="17.6640625" style="19" customWidth="1"/>
    <col min="12275" max="12279" width="17" style="19" customWidth="1"/>
    <col min="12280" max="12280" width="24" style="19" bestFit="1" customWidth="1"/>
    <col min="12281" max="12282" width="17.88671875" style="19" customWidth="1"/>
    <col min="12283" max="12283" width="16.33203125" style="19" customWidth="1"/>
    <col min="12284" max="12284" width="12.5546875" style="19" bestFit="1" customWidth="1"/>
    <col min="12285" max="12285" width="13.33203125" style="19" customWidth="1"/>
    <col min="12286" max="12286" width="11.33203125" style="19" customWidth="1"/>
    <col min="12287" max="12287" width="13.33203125" style="19" customWidth="1"/>
    <col min="12288" max="12288" width="15.44140625" style="19" customWidth="1"/>
    <col min="12289" max="12289" width="48" style="19" customWidth="1"/>
    <col min="12290" max="12519" width="9.109375" style="19"/>
    <col min="12520" max="12520" width="9.109375" style="19" customWidth="1"/>
    <col min="12521" max="12523" width="19" style="19" customWidth="1"/>
    <col min="12524" max="12524" width="15" style="19" bestFit="1" customWidth="1"/>
    <col min="12525" max="12525" width="11.109375" style="19" bestFit="1" customWidth="1"/>
    <col min="12526" max="12526" width="28.88671875" style="19" customWidth="1"/>
    <col min="12527" max="12527" width="16.109375" style="19" customWidth="1"/>
    <col min="12528" max="12528" width="41.44140625" style="19" customWidth="1"/>
    <col min="12529" max="12529" width="14.88671875" style="19" customWidth="1"/>
    <col min="12530" max="12530" width="17.6640625" style="19" customWidth="1"/>
    <col min="12531" max="12535" width="17" style="19" customWidth="1"/>
    <col min="12536" max="12536" width="24" style="19" bestFit="1" customWidth="1"/>
    <col min="12537" max="12538" width="17.88671875" style="19" customWidth="1"/>
    <col min="12539" max="12539" width="16.33203125" style="19" customWidth="1"/>
    <col min="12540" max="12540" width="12.5546875" style="19" bestFit="1" customWidth="1"/>
    <col min="12541" max="12541" width="13.33203125" style="19" customWidth="1"/>
    <col min="12542" max="12542" width="11.33203125" style="19" customWidth="1"/>
    <col min="12543" max="12543" width="13.33203125" style="19" customWidth="1"/>
    <col min="12544" max="12544" width="15.44140625" style="19" customWidth="1"/>
    <col min="12545" max="12545" width="48" style="19" customWidth="1"/>
    <col min="12546" max="12775" width="9.109375" style="19"/>
    <col min="12776" max="12776" width="9.109375" style="19" customWidth="1"/>
    <col min="12777" max="12779" width="19" style="19" customWidth="1"/>
    <col min="12780" max="12780" width="15" style="19" bestFit="1" customWidth="1"/>
    <col min="12781" max="12781" width="11.109375" style="19" bestFit="1" customWidth="1"/>
    <col min="12782" max="12782" width="28.88671875" style="19" customWidth="1"/>
    <col min="12783" max="12783" width="16.109375" style="19" customWidth="1"/>
    <col min="12784" max="12784" width="41.44140625" style="19" customWidth="1"/>
    <col min="12785" max="12785" width="14.88671875" style="19" customWidth="1"/>
    <col min="12786" max="12786" width="17.6640625" style="19" customWidth="1"/>
    <col min="12787" max="12791" width="17" style="19" customWidth="1"/>
    <col min="12792" max="12792" width="24" style="19" bestFit="1" customWidth="1"/>
    <col min="12793" max="12794" width="17.88671875" style="19" customWidth="1"/>
    <col min="12795" max="12795" width="16.33203125" style="19" customWidth="1"/>
    <col min="12796" max="12796" width="12.5546875" style="19" bestFit="1" customWidth="1"/>
    <col min="12797" max="12797" width="13.33203125" style="19" customWidth="1"/>
    <col min="12798" max="12798" width="11.33203125" style="19" customWidth="1"/>
    <col min="12799" max="12799" width="13.33203125" style="19" customWidth="1"/>
    <col min="12800" max="12800" width="15.44140625" style="19" customWidth="1"/>
    <col min="12801" max="12801" width="48" style="19" customWidth="1"/>
    <col min="12802" max="13031" width="9.109375" style="19"/>
    <col min="13032" max="13032" width="9.109375" style="19" customWidth="1"/>
    <col min="13033" max="13035" width="19" style="19" customWidth="1"/>
    <col min="13036" max="13036" width="15" style="19" bestFit="1" customWidth="1"/>
    <col min="13037" max="13037" width="11.109375" style="19" bestFit="1" customWidth="1"/>
    <col min="13038" max="13038" width="28.88671875" style="19" customWidth="1"/>
    <col min="13039" max="13039" width="16.109375" style="19" customWidth="1"/>
    <col min="13040" max="13040" width="41.44140625" style="19" customWidth="1"/>
    <col min="13041" max="13041" width="14.88671875" style="19" customWidth="1"/>
    <col min="13042" max="13042" width="17.6640625" style="19" customWidth="1"/>
    <col min="13043" max="13047" width="17" style="19" customWidth="1"/>
    <col min="13048" max="13048" width="24" style="19" bestFit="1" customWidth="1"/>
    <col min="13049" max="13050" width="17.88671875" style="19" customWidth="1"/>
    <col min="13051" max="13051" width="16.33203125" style="19" customWidth="1"/>
    <col min="13052" max="13052" width="12.5546875" style="19" bestFit="1" customWidth="1"/>
    <col min="13053" max="13053" width="13.33203125" style="19" customWidth="1"/>
    <col min="13054" max="13054" width="11.33203125" style="19" customWidth="1"/>
    <col min="13055" max="13055" width="13.33203125" style="19" customWidth="1"/>
    <col min="13056" max="13056" width="15.44140625" style="19" customWidth="1"/>
    <col min="13057" max="13057" width="48" style="19" customWidth="1"/>
    <col min="13058" max="13287" width="9.109375" style="19"/>
    <col min="13288" max="13288" width="9.109375" style="19" customWidth="1"/>
    <col min="13289" max="13291" width="19" style="19" customWidth="1"/>
    <col min="13292" max="13292" width="15" style="19" bestFit="1" customWidth="1"/>
    <col min="13293" max="13293" width="11.109375" style="19" bestFit="1" customWidth="1"/>
    <col min="13294" max="13294" width="28.88671875" style="19" customWidth="1"/>
    <col min="13295" max="13295" width="16.109375" style="19" customWidth="1"/>
    <col min="13296" max="13296" width="41.44140625" style="19" customWidth="1"/>
    <col min="13297" max="13297" width="14.88671875" style="19" customWidth="1"/>
    <col min="13298" max="13298" width="17.6640625" style="19" customWidth="1"/>
    <col min="13299" max="13303" width="17" style="19" customWidth="1"/>
    <col min="13304" max="13304" width="24" style="19" bestFit="1" customWidth="1"/>
    <col min="13305" max="13306" width="17.88671875" style="19" customWidth="1"/>
    <col min="13307" max="13307" width="16.33203125" style="19" customWidth="1"/>
    <col min="13308" max="13308" width="12.5546875" style="19" bestFit="1" customWidth="1"/>
    <col min="13309" max="13309" width="13.33203125" style="19" customWidth="1"/>
    <col min="13310" max="13310" width="11.33203125" style="19" customWidth="1"/>
    <col min="13311" max="13311" width="13.33203125" style="19" customWidth="1"/>
    <col min="13312" max="13312" width="15.44140625" style="19" customWidth="1"/>
    <col min="13313" max="13313" width="48" style="19" customWidth="1"/>
    <col min="13314" max="13543" width="9.109375" style="19"/>
    <col min="13544" max="13544" width="9.109375" style="19" customWidth="1"/>
    <col min="13545" max="13547" width="19" style="19" customWidth="1"/>
    <col min="13548" max="13548" width="15" style="19" bestFit="1" customWidth="1"/>
    <col min="13549" max="13549" width="11.109375" style="19" bestFit="1" customWidth="1"/>
    <col min="13550" max="13550" width="28.88671875" style="19" customWidth="1"/>
    <col min="13551" max="13551" width="16.109375" style="19" customWidth="1"/>
    <col min="13552" max="13552" width="41.44140625" style="19" customWidth="1"/>
    <col min="13553" max="13553" width="14.88671875" style="19" customWidth="1"/>
    <col min="13554" max="13554" width="17.6640625" style="19" customWidth="1"/>
    <col min="13555" max="13559" width="17" style="19" customWidth="1"/>
    <col min="13560" max="13560" width="24" style="19" bestFit="1" customWidth="1"/>
    <col min="13561" max="13562" width="17.88671875" style="19" customWidth="1"/>
    <col min="13563" max="13563" width="16.33203125" style="19" customWidth="1"/>
    <col min="13564" max="13564" width="12.5546875" style="19" bestFit="1" customWidth="1"/>
    <col min="13565" max="13565" width="13.33203125" style="19" customWidth="1"/>
    <col min="13566" max="13566" width="11.33203125" style="19" customWidth="1"/>
    <col min="13567" max="13567" width="13.33203125" style="19" customWidth="1"/>
    <col min="13568" max="13568" width="15.44140625" style="19" customWidth="1"/>
    <col min="13569" max="13569" width="48" style="19" customWidth="1"/>
    <col min="13570" max="13799" width="9.109375" style="19"/>
    <col min="13800" max="13800" width="9.109375" style="19" customWidth="1"/>
    <col min="13801" max="13803" width="19" style="19" customWidth="1"/>
    <col min="13804" max="13804" width="15" style="19" bestFit="1" customWidth="1"/>
    <col min="13805" max="13805" width="11.109375" style="19" bestFit="1" customWidth="1"/>
    <col min="13806" max="13806" width="28.88671875" style="19" customWidth="1"/>
    <col min="13807" max="13807" width="16.109375" style="19" customWidth="1"/>
    <col min="13808" max="13808" width="41.44140625" style="19" customWidth="1"/>
    <col min="13809" max="13809" width="14.88671875" style="19" customWidth="1"/>
    <col min="13810" max="13810" width="17.6640625" style="19" customWidth="1"/>
    <col min="13811" max="13815" width="17" style="19" customWidth="1"/>
    <col min="13816" max="13816" width="24" style="19" bestFit="1" customWidth="1"/>
    <col min="13817" max="13818" width="17.88671875" style="19" customWidth="1"/>
    <col min="13819" max="13819" width="16.33203125" style="19" customWidth="1"/>
    <col min="13820" max="13820" width="12.5546875" style="19" bestFit="1" customWidth="1"/>
    <col min="13821" max="13821" width="13.33203125" style="19" customWidth="1"/>
    <col min="13822" max="13822" width="11.33203125" style="19" customWidth="1"/>
    <col min="13823" max="13823" width="13.33203125" style="19" customWidth="1"/>
    <col min="13824" max="13824" width="15.44140625" style="19" customWidth="1"/>
    <col min="13825" max="13825" width="48" style="19" customWidth="1"/>
    <col min="13826" max="14055" width="9.109375" style="19"/>
    <col min="14056" max="14056" width="9.109375" style="19" customWidth="1"/>
    <col min="14057" max="14059" width="19" style="19" customWidth="1"/>
    <col min="14060" max="14060" width="15" style="19" bestFit="1" customWidth="1"/>
    <col min="14061" max="14061" width="11.109375" style="19" bestFit="1" customWidth="1"/>
    <col min="14062" max="14062" width="28.88671875" style="19" customWidth="1"/>
    <col min="14063" max="14063" width="16.109375" style="19" customWidth="1"/>
    <col min="14064" max="14064" width="41.44140625" style="19" customWidth="1"/>
    <col min="14065" max="14065" width="14.88671875" style="19" customWidth="1"/>
    <col min="14066" max="14066" width="17.6640625" style="19" customWidth="1"/>
    <col min="14067" max="14071" width="17" style="19" customWidth="1"/>
    <col min="14072" max="14072" width="24" style="19" bestFit="1" customWidth="1"/>
    <col min="14073" max="14074" width="17.88671875" style="19" customWidth="1"/>
    <col min="14075" max="14075" width="16.33203125" style="19" customWidth="1"/>
    <col min="14076" max="14076" width="12.5546875" style="19" bestFit="1" customWidth="1"/>
    <col min="14077" max="14077" width="13.33203125" style="19" customWidth="1"/>
    <col min="14078" max="14078" width="11.33203125" style="19" customWidth="1"/>
    <col min="14079" max="14079" width="13.33203125" style="19" customWidth="1"/>
    <col min="14080" max="14080" width="15.44140625" style="19" customWidth="1"/>
    <col min="14081" max="14081" width="48" style="19" customWidth="1"/>
    <col min="14082" max="14311" width="9.109375" style="19"/>
    <col min="14312" max="14312" width="9.109375" style="19" customWidth="1"/>
    <col min="14313" max="14315" width="19" style="19" customWidth="1"/>
    <col min="14316" max="14316" width="15" style="19" bestFit="1" customWidth="1"/>
    <col min="14317" max="14317" width="11.109375" style="19" bestFit="1" customWidth="1"/>
    <col min="14318" max="14318" width="28.88671875" style="19" customWidth="1"/>
    <col min="14319" max="14319" width="16.109375" style="19" customWidth="1"/>
    <col min="14320" max="14320" width="41.44140625" style="19" customWidth="1"/>
    <col min="14321" max="14321" width="14.88671875" style="19" customWidth="1"/>
    <col min="14322" max="14322" width="17.6640625" style="19" customWidth="1"/>
    <col min="14323" max="14327" width="17" style="19" customWidth="1"/>
    <col min="14328" max="14328" width="24" style="19" bestFit="1" customWidth="1"/>
    <col min="14329" max="14330" width="17.88671875" style="19" customWidth="1"/>
    <col min="14331" max="14331" width="16.33203125" style="19" customWidth="1"/>
    <col min="14332" max="14332" width="12.5546875" style="19" bestFit="1" customWidth="1"/>
    <col min="14333" max="14333" width="13.33203125" style="19" customWidth="1"/>
    <col min="14334" max="14334" width="11.33203125" style="19" customWidth="1"/>
    <col min="14335" max="14335" width="13.33203125" style="19" customWidth="1"/>
    <col min="14336" max="14336" width="15.44140625" style="19" customWidth="1"/>
    <col min="14337" max="14337" width="48" style="19" customWidth="1"/>
    <col min="14338" max="14567" width="9.109375" style="19"/>
    <col min="14568" max="14568" width="9.109375" style="19" customWidth="1"/>
    <col min="14569" max="14571" width="19" style="19" customWidth="1"/>
    <col min="14572" max="14572" width="15" style="19" bestFit="1" customWidth="1"/>
    <col min="14573" max="14573" width="11.109375" style="19" bestFit="1" customWidth="1"/>
    <col min="14574" max="14574" width="28.88671875" style="19" customWidth="1"/>
    <col min="14575" max="14575" width="16.109375" style="19" customWidth="1"/>
    <col min="14576" max="14576" width="41.44140625" style="19" customWidth="1"/>
    <col min="14577" max="14577" width="14.88671875" style="19" customWidth="1"/>
    <col min="14578" max="14578" width="17.6640625" style="19" customWidth="1"/>
    <col min="14579" max="14583" width="17" style="19" customWidth="1"/>
    <col min="14584" max="14584" width="24" style="19" bestFit="1" customWidth="1"/>
    <col min="14585" max="14586" width="17.88671875" style="19" customWidth="1"/>
    <col min="14587" max="14587" width="16.33203125" style="19" customWidth="1"/>
    <col min="14588" max="14588" width="12.5546875" style="19" bestFit="1" customWidth="1"/>
    <col min="14589" max="14589" width="13.33203125" style="19" customWidth="1"/>
    <col min="14590" max="14590" width="11.33203125" style="19" customWidth="1"/>
    <col min="14591" max="14591" width="13.33203125" style="19" customWidth="1"/>
    <col min="14592" max="14592" width="15.44140625" style="19" customWidth="1"/>
    <col min="14593" max="14593" width="48" style="19" customWidth="1"/>
    <col min="14594" max="14823" width="9.109375" style="19"/>
    <col min="14824" max="14824" width="9.109375" style="19" customWidth="1"/>
    <col min="14825" max="14827" width="19" style="19" customWidth="1"/>
    <col min="14828" max="14828" width="15" style="19" bestFit="1" customWidth="1"/>
    <col min="14829" max="14829" width="11.109375" style="19" bestFit="1" customWidth="1"/>
    <col min="14830" max="14830" width="28.88671875" style="19" customWidth="1"/>
    <col min="14831" max="14831" width="16.109375" style="19" customWidth="1"/>
    <col min="14832" max="14832" width="41.44140625" style="19" customWidth="1"/>
    <col min="14833" max="14833" width="14.88671875" style="19" customWidth="1"/>
    <col min="14834" max="14834" width="17.6640625" style="19" customWidth="1"/>
    <col min="14835" max="14839" width="17" style="19" customWidth="1"/>
    <col min="14840" max="14840" width="24" style="19" bestFit="1" customWidth="1"/>
    <col min="14841" max="14842" width="17.88671875" style="19" customWidth="1"/>
    <col min="14843" max="14843" width="16.33203125" style="19" customWidth="1"/>
    <col min="14844" max="14844" width="12.5546875" style="19" bestFit="1" customWidth="1"/>
    <col min="14845" max="14845" width="13.33203125" style="19" customWidth="1"/>
    <col min="14846" max="14846" width="11.33203125" style="19" customWidth="1"/>
    <col min="14847" max="14847" width="13.33203125" style="19" customWidth="1"/>
    <col min="14848" max="14848" width="15.44140625" style="19" customWidth="1"/>
    <col min="14849" max="14849" width="48" style="19" customWidth="1"/>
    <col min="14850" max="15079" width="9.109375" style="19"/>
    <col min="15080" max="15080" width="9.109375" style="19" customWidth="1"/>
    <col min="15081" max="15083" width="19" style="19" customWidth="1"/>
    <col min="15084" max="15084" width="15" style="19" bestFit="1" customWidth="1"/>
    <col min="15085" max="15085" width="11.109375" style="19" bestFit="1" customWidth="1"/>
    <col min="15086" max="15086" width="28.88671875" style="19" customWidth="1"/>
    <col min="15087" max="15087" width="16.109375" style="19" customWidth="1"/>
    <col min="15088" max="15088" width="41.44140625" style="19" customWidth="1"/>
    <col min="15089" max="15089" width="14.88671875" style="19" customWidth="1"/>
    <col min="15090" max="15090" width="17.6640625" style="19" customWidth="1"/>
    <col min="15091" max="15095" width="17" style="19" customWidth="1"/>
    <col min="15096" max="15096" width="24" style="19" bestFit="1" customWidth="1"/>
    <col min="15097" max="15098" width="17.88671875" style="19" customWidth="1"/>
    <col min="15099" max="15099" width="16.33203125" style="19" customWidth="1"/>
    <col min="15100" max="15100" width="12.5546875" style="19" bestFit="1" customWidth="1"/>
    <col min="15101" max="15101" width="13.33203125" style="19" customWidth="1"/>
    <col min="15102" max="15102" width="11.33203125" style="19" customWidth="1"/>
    <col min="15103" max="15103" width="13.33203125" style="19" customWidth="1"/>
    <col min="15104" max="15104" width="15.44140625" style="19" customWidth="1"/>
    <col min="15105" max="15105" width="48" style="19" customWidth="1"/>
    <col min="15106" max="15335" width="9.109375" style="19"/>
    <col min="15336" max="15336" width="9.109375" style="19" customWidth="1"/>
    <col min="15337" max="15339" width="19" style="19" customWidth="1"/>
    <col min="15340" max="15340" width="15" style="19" bestFit="1" customWidth="1"/>
    <col min="15341" max="15341" width="11.109375" style="19" bestFit="1" customWidth="1"/>
    <col min="15342" max="15342" width="28.88671875" style="19" customWidth="1"/>
    <col min="15343" max="15343" width="16.109375" style="19" customWidth="1"/>
    <col min="15344" max="15344" width="41.44140625" style="19" customWidth="1"/>
    <col min="15345" max="15345" width="14.88671875" style="19" customWidth="1"/>
    <col min="15346" max="15346" width="17.6640625" style="19" customWidth="1"/>
    <col min="15347" max="15351" width="17" style="19" customWidth="1"/>
    <col min="15352" max="15352" width="24" style="19" bestFit="1" customWidth="1"/>
    <col min="15353" max="15354" width="17.88671875" style="19" customWidth="1"/>
    <col min="15355" max="15355" width="16.33203125" style="19" customWidth="1"/>
    <col min="15356" max="15356" width="12.5546875" style="19" bestFit="1" customWidth="1"/>
    <col min="15357" max="15357" width="13.33203125" style="19" customWidth="1"/>
    <col min="15358" max="15358" width="11.33203125" style="19" customWidth="1"/>
    <col min="15359" max="15359" width="13.33203125" style="19" customWidth="1"/>
    <col min="15360" max="15360" width="15.44140625" style="19" customWidth="1"/>
    <col min="15361" max="15361" width="48" style="19" customWidth="1"/>
    <col min="15362" max="15591" width="9.109375" style="19"/>
    <col min="15592" max="15592" width="9.109375" style="19" customWidth="1"/>
    <col min="15593" max="15595" width="19" style="19" customWidth="1"/>
    <col min="15596" max="15596" width="15" style="19" bestFit="1" customWidth="1"/>
    <col min="15597" max="15597" width="11.109375" style="19" bestFit="1" customWidth="1"/>
    <col min="15598" max="15598" width="28.88671875" style="19" customWidth="1"/>
    <col min="15599" max="15599" width="16.109375" style="19" customWidth="1"/>
    <col min="15600" max="15600" width="41.44140625" style="19" customWidth="1"/>
    <col min="15601" max="15601" width="14.88671875" style="19" customWidth="1"/>
    <col min="15602" max="15602" width="17.6640625" style="19" customWidth="1"/>
    <col min="15603" max="15607" width="17" style="19" customWidth="1"/>
    <col min="15608" max="15608" width="24" style="19" bestFit="1" customWidth="1"/>
    <col min="15609" max="15610" width="17.88671875" style="19" customWidth="1"/>
    <col min="15611" max="15611" width="16.33203125" style="19" customWidth="1"/>
    <col min="15612" max="15612" width="12.5546875" style="19" bestFit="1" customWidth="1"/>
    <col min="15613" max="15613" width="13.33203125" style="19" customWidth="1"/>
    <col min="15614" max="15614" width="11.33203125" style="19" customWidth="1"/>
    <col min="15615" max="15615" width="13.33203125" style="19" customWidth="1"/>
    <col min="15616" max="15616" width="15.44140625" style="19" customWidth="1"/>
    <col min="15617" max="15617" width="48" style="19" customWidth="1"/>
    <col min="15618" max="15847" width="9.109375" style="19"/>
    <col min="15848" max="15848" width="9.109375" style="19" customWidth="1"/>
    <col min="15849" max="15851" width="19" style="19" customWidth="1"/>
    <col min="15852" max="15852" width="15" style="19" bestFit="1" customWidth="1"/>
    <col min="15853" max="15853" width="11.109375" style="19" bestFit="1" customWidth="1"/>
    <col min="15854" max="15854" width="28.88671875" style="19" customWidth="1"/>
    <col min="15855" max="15855" width="16.109375" style="19" customWidth="1"/>
    <col min="15856" max="15856" width="41.44140625" style="19" customWidth="1"/>
    <col min="15857" max="15857" width="14.88671875" style="19" customWidth="1"/>
    <col min="15858" max="15858" width="17.6640625" style="19" customWidth="1"/>
    <col min="15859" max="15863" width="17" style="19" customWidth="1"/>
    <col min="15864" max="15864" width="24" style="19" bestFit="1" customWidth="1"/>
    <col min="15865" max="15866" width="17.88671875" style="19" customWidth="1"/>
    <col min="15867" max="15867" width="16.33203125" style="19" customWidth="1"/>
    <col min="15868" max="15868" width="12.5546875" style="19" bestFit="1" customWidth="1"/>
    <col min="15869" max="15869" width="13.33203125" style="19" customWidth="1"/>
    <col min="15870" max="15870" width="11.33203125" style="19" customWidth="1"/>
    <col min="15871" max="15871" width="13.33203125" style="19" customWidth="1"/>
    <col min="15872" max="15872" width="15.44140625" style="19" customWidth="1"/>
    <col min="15873" max="15873" width="48" style="19" customWidth="1"/>
    <col min="15874" max="16103" width="9.109375" style="19"/>
    <col min="16104" max="16104" width="9.109375" style="19" customWidth="1"/>
    <col min="16105" max="16107" width="19" style="19" customWidth="1"/>
    <col min="16108" max="16108" width="15" style="19" bestFit="1" customWidth="1"/>
    <col min="16109" max="16109" width="11.109375" style="19" bestFit="1" customWidth="1"/>
    <col min="16110" max="16110" width="28.88671875" style="19" customWidth="1"/>
    <col min="16111" max="16111" width="16.109375" style="19" customWidth="1"/>
    <col min="16112" max="16112" width="41.44140625" style="19" customWidth="1"/>
    <col min="16113" max="16113" width="14.88671875" style="19" customWidth="1"/>
    <col min="16114" max="16114" width="17.6640625" style="19" customWidth="1"/>
    <col min="16115" max="16119" width="17" style="19" customWidth="1"/>
    <col min="16120" max="16120" width="24" style="19" bestFit="1" customWidth="1"/>
    <col min="16121" max="16122" width="17.88671875" style="19" customWidth="1"/>
    <col min="16123" max="16123" width="16.33203125" style="19" customWidth="1"/>
    <col min="16124" max="16124" width="12.5546875" style="19" bestFit="1" customWidth="1"/>
    <col min="16125" max="16125" width="13.33203125" style="19" customWidth="1"/>
    <col min="16126" max="16126" width="11.33203125" style="19" customWidth="1"/>
    <col min="16127" max="16127" width="13.33203125" style="19" customWidth="1"/>
    <col min="16128" max="16128" width="15.44140625" style="19" customWidth="1"/>
    <col min="16129" max="16129" width="48" style="19" customWidth="1"/>
    <col min="16130" max="16384" width="9.109375" style="19"/>
  </cols>
  <sheetData>
    <row r="1" spans="1:7" ht="21" customHeight="1">
      <c r="A1" s="18" t="s">
        <v>155</v>
      </c>
      <c r="B1" s="18"/>
    </row>
    <row r="2" spans="1:7" ht="16.2">
      <c r="A2" s="20"/>
      <c r="B2" s="20"/>
      <c r="C2" s="21"/>
      <c r="D2" s="21"/>
      <c r="E2" s="21"/>
      <c r="F2" s="394" t="str">
        <f>本紙!AR6</f>
        <v>Ver.3.50</v>
      </c>
      <c r="G2" s="395" t="str">
        <f>本紙!AU6</f>
        <v>(2023.9.27～)</v>
      </c>
    </row>
    <row r="3" spans="1:7" ht="19.5" customHeight="1">
      <c r="A3" s="23"/>
      <c r="B3" s="881" t="s">
        <v>156</v>
      </c>
      <c r="C3" s="882"/>
      <c r="D3" s="24" t="s">
        <v>157</v>
      </c>
      <c r="E3" s="25" t="s">
        <v>158</v>
      </c>
      <c r="F3" s="25" t="s">
        <v>159</v>
      </c>
      <c r="G3" s="26"/>
    </row>
    <row r="4" spans="1:7" s="27" customFormat="1" ht="23.25" customHeight="1">
      <c r="A4" s="883" t="s">
        <v>0</v>
      </c>
      <c r="B4" s="884" t="s">
        <v>160</v>
      </c>
      <c r="C4" s="885"/>
      <c r="D4" s="890" t="s">
        <v>740</v>
      </c>
      <c r="E4" s="893" t="s">
        <v>161</v>
      </c>
      <c r="F4" s="894" t="s">
        <v>162</v>
      </c>
      <c r="G4" s="883" t="s">
        <v>163</v>
      </c>
    </row>
    <row r="5" spans="1:7" s="27" customFormat="1" ht="23.25" customHeight="1">
      <c r="A5" s="883"/>
      <c r="B5" s="886"/>
      <c r="C5" s="887"/>
      <c r="D5" s="891"/>
      <c r="E5" s="894"/>
      <c r="F5" s="894"/>
      <c r="G5" s="883"/>
    </row>
    <row r="6" spans="1:7" s="27" customFormat="1" ht="23.25" customHeight="1">
      <c r="A6" s="883"/>
      <c r="B6" s="886"/>
      <c r="C6" s="887"/>
      <c r="D6" s="891"/>
      <c r="E6" s="894"/>
      <c r="F6" s="894"/>
      <c r="G6" s="883"/>
    </row>
    <row r="7" spans="1:7" s="27" customFormat="1" ht="33.75" customHeight="1">
      <c r="A7" s="883"/>
      <c r="B7" s="888"/>
      <c r="C7" s="889"/>
      <c r="D7" s="892"/>
      <c r="E7" s="894"/>
      <c r="F7" s="894"/>
      <c r="G7" s="883"/>
    </row>
    <row r="8" spans="1:7" ht="16.5" customHeight="1">
      <c r="A8" s="28" t="s">
        <v>164</v>
      </c>
      <c r="B8" s="895" t="s">
        <v>401</v>
      </c>
      <c r="C8" s="896"/>
      <c r="D8" s="29" t="s">
        <v>165</v>
      </c>
      <c r="E8" s="29" t="s">
        <v>166</v>
      </c>
      <c r="F8" s="29"/>
      <c r="G8" s="30"/>
    </row>
    <row r="9" spans="1:7" ht="16.5" customHeight="1">
      <c r="A9" s="31">
        <v>1</v>
      </c>
      <c r="B9" s="879" t="s">
        <v>1098</v>
      </c>
      <c r="C9" s="880"/>
      <c r="D9" s="281"/>
      <c r="E9" s="209"/>
      <c r="F9" s="209"/>
      <c r="G9" s="210"/>
    </row>
    <row r="10" spans="1:7" ht="17.25" customHeight="1">
      <c r="A10" s="31">
        <v>2</v>
      </c>
      <c r="B10" s="879"/>
      <c r="C10" s="880"/>
      <c r="D10" s="281"/>
      <c r="E10" s="209"/>
      <c r="F10" s="209"/>
      <c r="G10" s="210"/>
    </row>
    <row r="11" spans="1:7" ht="17.25" customHeight="1">
      <c r="A11" s="31">
        <v>3</v>
      </c>
      <c r="B11" s="879"/>
      <c r="C11" s="880"/>
      <c r="D11" s="281"/>
      <c r="E11" s="209"/>
      <c r="F11" s="209"/>
      <c r="G11" s="210"/>
    </row>
    <row r="12" spans="1:7" ht="17.25" customHeight="1">
      <c r="A12" s="31">
        <v>4</v>
      </c>
      <c r="B12" s="879"/>
      <c r="C12" s="880"/>
      <c r="D12" s="281"/>
      <c r="E12" s="209"/>
      <c r="F12" s="209"/>
      <c r="G12" s="210"/>
    </row>
    <row r="13" spans="1:7" ht="17.25" customHeight="1">
      <c r="A13" s="31">
        <v>5</v>
      </c>
      <c r="B13" s="879"/>
      <c r="C13" s="880"/>
      <c r="D13" s="281"/>
      <c r="E13" s="209"/>
      <c r="F13" s="209"/>
      <c r="G13" s="210"/>
    </row>
    <row r="14" spans="1:7" ht="17.25" customHeight="1">
      <c r="A14" s="31">
        <v>6</v>
      </c>
      <c r="B14" s="879"/>
      <c r="C14" s="880"/>
      <c r="D14" s="281"/>
      <c r="E14" s="209"/>
      <c r="F14" s="209"/>
      <c r="G14" s="210"/>
    </row>
    <row r="15" spans="1:7" ht="17.25" customHeight="1">
      <c r="A15" s="31">
        <v>7</v>
      </c>
      <c r="B15" s="879"/>
      <c r="C15" s="880"/>
      <c r="D15" s="281"/>
      <c r="E15" s="209"/>
      <c r="F15" s="209"/>
      <c r="G15" s="210"/>
    </row>
    <row r="16" spans="1:7" ht="16.5" customHeight="1">
      <c r="A16" s="31">
        <v>8</v>
      </c>
      <c r="B16" s="879"/>
      <c r="C16" s="880"/>
      <c r="D16" s="281"/>
      <c r="E16" s="209"/>
      <c r="F16" s="209"/>
      <c r="G16" s="210"/>
    </row>
    <row r="17" spans="1:7" ht="17.25" customHeight="1">
      <c r="A17" s="31">
        <v>9</v>
      </c>
      <c r="B17" s="879"/>
      <c r="C17" s="880"/>
      <c r="D17" s="281"/>
      <c r="E17" s="209"/>
      <c r="F17" s="209"/>
      <c r="G17" s="210"/>
    </row>
    <row r="18" spans="1:7" ht="17.25" customHeight="1">
      <c r="A18" s="31">
        <v>10</v>
      </c>
      <c r="B18" s="879"/>
      <c r="C18" s="880"/>
      <c r="D18" s="281"/>
      <c r="E18" s="209"/>
      <c r="F18" s="209"/>
      <c r="G18" s="210"/>
    </row>
    <row r="19" spans="1:7" ht="17.25" customHeight="1">
      <c r="A19" s="31">
        <v>11</v>
      </c>
      <c r="B19" s="879"/>
      <c r="C19" s="880"/>
      <c r="D19" s="281"/>
      <c r="E19" s="209"/>
      <c r="F19" s="209"/>
      <c r="G19" s="210"/>
    </row>
    <row r="20" spans="1:7" ht="17.25" customHeight="1">
      <c r="A20" s="31">
        <v>12</v>
      </c>
      <c r="B20" s="879"/>
      <c r="C20" s="880"/>
      <c r="D20" s="281"/>
      <c r="E20" s="209"/>
      <c r="F20" s="209"/>
      <c r="G20" s="210"/>
    </row>
    <row r="21" spans="1:7" ht="17.25" customHeight="1">
      <c r="A21" s="31">
        <v>13</v>
      </c>
      <c r="B21" s="879"/>
      <c r="C21" s="880"/>
      <c r="D21" s="281"/>
      <c r="E21" s="209"/>
      <c r="F21" s="209"/>
      <c r="G21" s="210"/>
    </row>
    <row r="22" spans="1:7" ht="17.25" customHeight="1">
      <c r="A22" s="31">
        <v>14</v>
      </c>
      <c r="B22" s="879"/>
      <c r="C22" s="880"/>
      <c r="D22" s="281"/>
      <c r="E22" s="209"/>
      <c r="F22" s="209"/>
      <c r="G22" s="210"/>
    </row>
    <row r="23" spans="1:7" ht="17.25" customHeight="1">
      <c r="A23" s="31">
        <v>15</v>
      </c>
      <c r="B23" s="879"/>
      <c r="C23" s="880"/>
      <c r="D23" s="281"/>
      <c r="E23" s="209"/>
      <c r="F23" s="209"/>
      <c r="G23" s="210"/>
    </row>
    <row r="24" spans="1:7" ht="17.25" customHeight="1">
      <c r="A24" s="31">
        <v>16</v>
      </c>
      <c r="B24" s="879"/>
      <c r="C24" s="880"/>
      <c r="D24" s="281"/>
      <c r="E24" s="209"/>
      <c r="F24" s="209"/>
      <c r="G24" s="210"/>
    </row>
    <row r="25" spans="1:7" ht="17.25" customHeight="1">
      <c r="A25" s="31">
        <v>17</v>
      </c>
      <c r="B25" s="879"/>
      <c r="C25" s="880"/>
      <c r="D25" s="281"/>
      <c r="E25" s="209"/>
      <c r="F25" s="209"/>
      <c r="G25" s="210"/>
    </row>
    <row r="26" spans="1:7" ht="17.25" customHeight="1">
      <c r="A26" s="31">
        <v>18</v>
      </c>
      <c r="B26" s="879"/>
      <c r="C26" s="880"/>
      <c r="D26" s="281"/>
      <c r="E26" s="209"/>
      <c r="F26" s="209"/>
      <c r="G26" s="210"/>
    </row>
    <row r="27" spans="1:7" ht="17.25" customHeight="1">
      <c r="A27" s="31">
        <v>19</v>
      </c>
      <c r="B27" s="879"/>
      <c r="C27" s="880"/>
      <c r="D27" s="281"/>
      <c r="E27" s="209"/>
      <c r="F27" s="209"/>
      <c r="G27" s="210"/>
    </row>
    <row r="28" spans="1:7" ht="17.25" customHeight="1">
      <c r="A28" s="31">
        <v>20</v>
      </c>
      <c r="B28" s="879"/>
      <c r="C28" s="880"/>
      <c r="D28" s="281"/>
      <c r="E28" s="209"/>
      <c r="F28" s="209"/>
      <c r="G28" s="210"/>
    </row>
    <row r="29" spans="1:7" ht="17.25" customHeight="1">
      <c r="A29" s="31">
        <v>21</v>
      </c>
      <c r="B29" s="879"/>
      <c r="C29" s="880"/>
      <c r="D29" s="281"/>
      <c r="E29" s="209"/>
      <c r="F29" s="209"/>
      <c r="G29" s="210"/>
    </row>
    <row r="30" spans="1:7" ht="17.25" customHeight="1">
      <c r="A30" s="31">
        <v>22</v>
      </c>
      <c r="B30" s="879"/>
      <c r="C30" s="880"/>
      <c r="D30" s="281"/>
      <c r="E30" s="209"/>
      <c r="F30" s="209"/>
      <c r="G30" s="210"/>
    </row>
    <row r="31" spans="1:7" ht="17.25" customHeight="1">
      <c r="A31" s="31">
        <v>23</v>
      </c>
      <c r="B31" s="879"/>
      <c r="C31" s="880"/>
      <c r="D31" s="281"/>
      <c r="E31" s="209"/>
      <c r="F31" s="209"/>
      <c r="G31" s="210"/>
    </row>
    <row r="32" spans="1:7" ht="17.25" customHeight="1">
      <c r="A32" s="31">
        <v>24</v>
      </c>
      <c r="B32" s="879"/>
      <c r="C32" s="880"/>
      <c r="D32" s="281"/>
      <c r="E32" s="209"/>
      <c r="F32" s="209"/>
      <c r="G32" s="210"/>
    </row>
    <row r="33" spans="1:45" ht="17.25" customHeight="1">
      <c r="A33" s="31">
        <v>25</v>
      </c>
      <c r="B33" s="879"/>
      <c r="C33" s="880"/>
      <c r="D33" s="281"/>
      <c r="E33" s="209"/>
      <c r="F33" s="209"/>
      <c r="G33" s="210"/>
    </row>
    <row r="34" spans="1:45" ht="17.25" customHeight="1">
      <c r="A34" s="31">
        <v>26</v>
      </c>
      <c r="B34" s="879"/>
      <c r="C34" s="880"/>
      <c r="D34" s="281"/>
      <c r="E34" s="209"/>
      <c r="F34" s="209"/>
      <c r="G34" s="210"/>
    </row>
    <row r="35" spans="1:45" ht="16.5" customHeight="1">
      <c r="A35" s="31">
        <v>27</v>
      </c>
      <c r="B35" s="879"/>
      <c r="C35" s="880"/>
      <c r="D35" s="281"/>
      <c r="E35" s="209"/>
      <c r="F35" s="209"/>
      <c r="G35" s="210"/>
    </row>
    <row r="36" spans="1:45" ht="17.25" customHeight="1">
      <c r="A36" s="31">
        <v>28</v>
      </c>
      <c r="B36" s="879"/>
      <c r="C36" s="880"/>
      <c r="D36" s="281"/>
      <c r="E36" s="209"/>
      <c r="F36" s="209"/>
      <c r="G36" s="210"/>
    </row>
    <row r="37" spans="1:45" ht="17.25" customHeight="1">
      <c r="A37" s="31">
        <v>29</v>
      </c>
      <c r="B37" s="879"/>
      <c r="C37" s="880"/>
      <c r="D37" s="281"/>
      <c r="E37" s="209"/>
      <c r="F37" s="209"/>
      <c r="G37" s="210"/>
      <c r="S37" s="32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</row>
    <row r="38" spans="1:45" ht="17.25" customHeight="1">
      <c r="A38" s="31">
        <v>30</v>
      </c>
      <c r="B38" s="879"/>
      <c r="C38" s="880"/>
      <c r="D38" s="281"/>
      <c r="E38" s="209"/>
      <c r="F38" s="209"/>
      <c r="G38" s="210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</row>
    <row r="39" spans="1:45" ht="17.25" hidden="1" customHeight="1" outlineLevel="1">
      <c r="A39" s="31">
        <v>31</v>
      </c>
      <c r="B39" s="879"/>
      <c r="C39" s="880"/>
      <c r="D39" s="281"/>
      <c r="E39" s="209"/>
      <c r="F39" s="209"/>
      <c r="G39" s="210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</row>
    <row r="40" spans="1:45" ht="17.25" hidden="1" customHeight="1" outlineLevel="1">
      <c r="A40" s="31">
        <v>32</v>
      </c>
      <c r="B40" s="879"/>
      <c r="C40" s="880"/>
      <c r="D40" s="281"/>
      <c r="E40" s="209"/>
      <c r="F40" s="209"/>
      <c r="G40" s="210"/>
      <c r="K40" s="103"/>
      <c r="L40" s="104"/>
    </row>
    <row r="41" spans="1:45" ht="17.25" hidden="1" customHeight="1" outlineLevel="1">
      <c r="A41" s="31">
        <v>33</v>
      </c>
      <c r="B41" s="879"/>
      <c r="C41" s="880"/>
      <c r="D41" s="281"/>
      <c r="E41" s="209"/>
      <c r="F41" s="209"/>
      <c r="G41" s="210"/>
    </row>
    <row r="42" spans="1:45" ht="17.25" hidden="1" customHeight="1" outlineLevel="1">
      <c r="A42" s="31">
        <v>34</v>
      </c>
      <c r="B42" s="879"/>
      <c r="C42" s="880"/>
      <c r="D42" s="281"/>
      <c r="E42" s="209"/>
      <c r="F42" s="209"/>
      <c r="G42" s="210"/>
    </row>
    <row r="43" spans="1:45" ht="17.25" hidden="1" customHeight="1" outlineLevel="1">
      <c r="A43" s="31">
        <v>35</v>
      </c>
      <c r="B43" s="879"/>
      <c r="C43" s="880"/>
      <c r="D43" s="281"/>
      <c r="E43" s="209"/>
      <c r="F43" s="209"/>
      <c r="G43" s="210"/>
    </row>
    <row r="44" spans="1:45" ht="17.25" hidden="1" customHeight="1" outlineLevel="1">
      <c r="A44" s="31">
        <v>36</v>
      </c>
      <c r="B44" s="879"/>
      <c r="C44" s="880"/>
      <c r="D44" s="281"/>
      <c r="E44" s="209"/>
      <c r="F44" s="209"/>
      <c r="G44" s="210"/>
    </row>
    <row r="45" spans="1:45" ht="17.25" hidden="1" customHeight="1" outlineLevel="1">
      <c r="A45" s="31">
        <v>37</v>
      </c>
      <c r="B45" s="879"/>
      <c r="C45" s="880"/>
      <c r="D45" s="281"/>
      <c r="E45" s="209"/>
      <c r="F45" s="209"/>
      <c r="G45" s="210"/>
    </row>
    <row r="46" spans="1:45" ht="17.25" hidden="1" customHeight="1" outlineLevel="1">
      <c r="A46" s="31">
        <v>38</v>
      </c>
      <c r="B46" s="879"/>
      <c r="C46" s="880"/>
      <c r="D46" s="281"/>
      <c r="E46" s="209"/>
      <c r="F46" s="209"/>
      <c r="G46" s="210"/>
    </row>
    <row r="47" spans="1:45" ht="17.25" hidden="1" customHeight="1" outlineLevel="1">
      <c r="A47" s="31">
        <v>39</v>
      </c>
      <c r="B47" s="879"/>
      <c r="C47" s="880"/>
      <c r="D47" s="281"/>
      <c r="E47" s="209"/>
      <c r="F47" s="209"/>
      <c r="G47" s="210"/>
    </row>
    <row r="48" spans="1:45" ht="17.25" hidden="1" customHeight="1" outlineLevel="1">
      <c r="A48" s="31">
        <v>40</v>
      </c>
      <c r="B48" s="879"/>
      <c r="C48" s="880"/>
      <c r="D48" s="281"/>
      <c r="E48" s="209"/>
      <c r="F48" s="209"/>
      <c r="G48" s="210"/>
    </row>
    <row r="49" spans="1:7" ht="17.25" hidden="1" customHeight="1" outlineLevel="1">
      <c r="A49" s="31">
        <v>41</v>
      </c>
      <c r="B49" s="879"/>
      <c r="C49" s="880"/>
      <c r="D49" s="281"/>
      <c r="E49" s="209"/>
      <c r="F49" s="209"/>
      <c r="G49" s="210"/>
    </row>
    <row r="50" spans="1:7" ht="17.25" hidden="1" customHeight="1" outlineLevel="1">
      <c r="A50" s="31">
        <v>42</v>
      </c>
      <c r="B50" s="879"/>
      <c r="C50" s="880"/>
      <c r="D50" s="281"/>
      <c r="E50" s="209"/>
      <c r="F50" s="209"/>
      <c r="G50" s="210"/>
    </row>
    <row r="51" spans="1:7" ht="17.25" hidden="1" customHeight="1" outlineLevel="1">
      <c r="A51" s="31">
        <v>43</v>
      </c>
      <c r="B51" s="879"/>
      <c r="C51" s="880"/>
      <c r="D51" s="281"/>
      <c r="E51" s="209"/>
      <c r="F51" s="209"/>
      <c r="G51" s="210"/>
    </row>
    <row r="52" spans="1:7" ht="17.25" hidden="1" customHeight="1" outlineLevel="1">
      <c r="A52" s="31">
        <v>44</v>
      </c>
      <c r="B52" s="879"/>
      <c r="C52" s="880"/>
      <c r="D52" s="281"/>
      <c r="E52" s="209"/>
      <c r="F52" s="209"/>
      <c r="G52" s="210"/>
    </row>
    <row r="53" spans="1:7" ht="17.25" hidden="1" customHeight="1" outlineLevel="1">
      <c r="A53" s="31">
        <v>45</v>
      </c>
      <c r="B53" s="879"/>
      <c r="C53" s="880"/>
      <c r="D53" s="281"/>
      <c r="E53" s="209"/>
      <c r="F53" s="209"/>
      <c r="G53" s="210"/>
    </row>
    <row r="54" spans="1:7" ht="17.25" hidden="1" customHeight="1" outlineLevel="1">
      <c r="A54" s="31">
        <v>46</v>
      </c>
      <c r="B54" s="879"/>
      <c r="C54" s="880"/>
      <c r="D54" s="281"/>
      <c r="E54" s="209"/>
      <c r="F54" s="209"/>
      <c r="G54" s="210"/>
    </row>
    <row r="55" spans="1:7" ht="17.25" hidden="1" customHeight="1" outlineLevel="1">
      <c r="A55" s="31">
        <v>47</v>
      </c>
      <c r="B55" s="879"/>
      <c r="C55" s="880"/>
      <c r="D55" s="281"/>
      <c r="E55" s="209"/>
      <c r="F55" s="209"/>
      <c r="G55" s="210"/>
    </row>
    <row r="56" spans="1:7" ht="17.25" hidden="1" customHeight="1" outlineLevel="1">
      <c r="A56" s="31">
        <v>48</v>
      </c>
      <c r="B56" s="879"/>
      <c r="C56" s="880"/>
      <c r="D56" s="281"/>
      <c r="E56" s="209"/>
      <c r="F56" s="209"/>
      <c r="G56" s="210"/>
    </row>
    <row r="57" spans="1:7" ht="17.25" hidden="1" customHeight="1" outlineLevel="1">
      <c r="A57" s="31">
        <v>49</v>
      </c>
      <c r="B57" s="879"/>
      <c r="C57" s="880"/>
      <c r="D57" s="281"/>
      <c r="E57" s="209"/>
      <c r="F57" s="209"/>
      <c r="G57" s="210"/>
    </row>
    <row r="58" spans="1:7" ht="17.25" hidden="1" customHeight="1" outlineLevel="1">
      <c r="A58" s="31">
        <v>50</v>
      </c>
      <c r="B58" s="879"/>
      <c r="C58" s="880"/>
      <c r="D58" s="281"/>
      <c r="E58" s="209"/>
      <c r="F58" s="209"/>
      <c r="G58" s="210"/>
    </row>
    <row r="59" spans="1:7" ht="17.25" hidden="1" customHeight="1" outlineLevel="1">
      <c r="A59" s="31">
        <v>51</v>
      </c>
      <c r="B59" s="879"/>
      <c r="C59" s="880"/>
      <c r="D59" s="281"/>
      <c r="E59" s="209"/>
      <c r="F59" s="209"/>
      <c r="G59" s="210"/>
    </row>
    <row r="60" spans="1:7" ht="17.25" hidden="1" customHeight="1" outlineLevel="1">
      <c r="A60" s="31">
        <v>52</v>
      </c>
      <c r="B60" s="879"/>
      <c r="C60" s="880"/>
      <c r="D60" s="281"/>
      <c r="E60" s="209"/>
      <c r="F60" s="209"/>
      <c r="G60" s="210"/>
    </row>
    <row r="61" spans="1:7" ht="17.25" hidden="1" customHeight="1" outlineLevel="1">
      <c r="A61" s="31">
        <v>53</v>
      </c>
      <c r="B61" s="879"/>
      <c r="C61" s="880"/>
      <c r="D61" s="281"/>
      <c r="E61" s="209"/>
      <c r="F61" s="209"/>
      <c r="G61" s="210"/>
    </row>
    <row r="62" spans="1:7" ht="17.25" hidden="1" customHeight="1" outlineLevel="1">
      <c r="A62" s="31">
        <v>54</v>
      </c>
      <c r="B62" s="879"/>
      <c r="C62" s="880"/>
      <c r="D62" s="281"/>
      <c r="E62" s="209"/>
      <c r="F62" s="209"/>
      <c r="G62" s="210"/>
    </row>
    <row r="63" spans="1:7" ht="17.25" hidden="1" customHeight="1" outlineLevel="1">
      <c r="A63" s="31">
        <v>55</v>
      </c>
      <c r="B63" s="879"/>
      <c r="C63" s="880"/>
      <c r="D63" s="281"/>
      <c r="E63" s="209"/>
      <c r="F63" s="209"/>
      <c r="G63" s="210"/>
    </row>
    <row r="64" spans="1:7" ht="17.25" hidden="1" customHeight="1" outlineLevel="1">
      <c r="A64" s="31">
        <v>56</v>
      </c>
      <c r="B64" s="879"/>
      <c r="C64" s="880"/>
      <c r="D64" s="281"/>
      <c r="E64" s="209"/>
      <c r="F64" s="209"/>
      <c r="G64" s="210"/>
    </row>
    <row r="65" spans="1:7" ht="17.25" hidden="1" customHeight="1" outlineLevel="1">
      <c r="A65" s="31">
        <v>57</v>
      </c>
      <c r="B65" s="879"/>
      <c r="C65" s="880"/>
      <c r="D65" s="281"/>
      <c r="E65" s="209"/>
      <c r="F65" s="209"/>
      <c r="G65" s="210"/>
    </row>
    <row r="66" spans="1:7" ht="17.25" hidden="1" customHeight="1" outlineLevel="1">
      <c r="A66" s="31">
        <v>58</v>
      </c>
      <c r="B66" s="879"/>
      <c r="C66" s="880"/>
      <c r="D66" s="281"/>
      <c r="E66" s="209"/>
      <c r="F66" s="209"/>
      <c r="G66" s="210"/>
    </row>
    <row r="67" spans="1:7" ht="17.25" hidden="1" customHeight="1" outlineLevel="1">
      <c r="A67" s="31">
        <v>59</v>
      </c>
      <c r="B67" s="879"/>
      <c r="C67" s="880"/>
      <c r="D67" s="281"/>
      <c r="E67" s="209"/>
      <c r="F67" s="209"/>
      <c r="G67" s="210"/>
    </row>
    <row r="68" spans="1:7" ht="17.25" hidden="1" customHeight="1" outlineLevel="1">
      <c r="A68" s="31">
        <v>60</v>
      </c>
      <c r="B68" s="879"/>
      <c r="C68" s="880"/>
      <c r="D68" s="281"/>
      <c r="E68" s="209"/>
      <c r="F68" s="209"/>
      <c r="G68" s="210"/>
    </row>
    <row r="69" spans="1:7" ht="17.25" hidden="1" customHeight="1" outlineLevel="1">
      <c r="A69" s="31">
        <v>61</v>
      </c>
      <c r="B69" s="879"/>
      <c r="C69" s="880"/>
      <c r="D69" s="281"/>
      <c r="E69" s="209"/>
      <c r="F69" s="209"/>
      <c r="G69" s="210"/>
    </row>
    <row r="70" spans="1:7" ht="17.25" hidden="1" customHeight="1" outlineLevel="1">
      <c r="A70" s="31">
        <v>62</v>
      </c>
      <c r="B70" s="879"/>
      <c r="C70" s="880"/>
      <c r="D70" s="281"/>
      <c r="E70" s="209"/>
      <c r="F70" s="209"/>
      <c r="G70" s="210"/>
    </row>
    <row r="71" spans="1:7" ht="17.25" hidden="1" customHeight="1" outlineLevel="1">
      <c r="A71" s="31">
        <v>63</v>
      </c>
      <c r="B71" s="879"/>
      <c r="C71" s="880"/>
      <c r="D71" s="281"/>
      <c r="E71" s="209"/>
      <c r="F71" s="209"/>
      <c r="G71" s="210"/>
    </row>
    <row r="72" spans="1:7" ht="17.25" hidden="1" customHeight="1" outlineLevel="1">
      <c r="A72" s="31">
        <v>64</v>
      </c>
      <c r="B72" s="879"/>
      <c r="C72" s="880"/>
      <c r="D72" s="281"/>
      <c r="E72" s="209"/>
      <c r="F72" s="209"/>
      <c r="G72" s="210"/>
    </row>
    <row r="73" spans="1:7" ht="17.25" hidden="1" customHeight="1" outlineLevel="1">
      <c r="A73" s="31">
        <v>65</v>
      </c>
      <c r="B73" s="879"/>
      <c r="C73" s="880"/>
      <c r="D73" s="281"/>
      <c r="E73" s="209"/>
      <c r="F73" s="209"/>
      <c r="G73" s="210"/>
    </row>
    <row r="74" spans="1:7" ht="17.25" hidden="1" customHeight="1" outlineLevel="1">
      <c r="A74" s="31">
        <v>66</v>
      </c>
      <c r="B74" s="879"/>
      <c r="C74" s="880"/>
      <c r="D74" s="281"/>
      <c r="E74" s="209"/>
      <c r="F74" s="209"/>
      <c r="G74" s="210"/>
    </row>
    <row r="75" spans="1:7" ht="17.25" hidden="1" customHeight="1" outlineLevel="1">
      <c r="A75" s="31">
        <v>67</v>
      </c>
      <c r="B75" s="879"/>
      <c r="C75" s="880"/>
      <c r="D75" s="281"/>
      <c r="E75" s="209"/>
      <c r="F75" s="209"/>
      <c r="G75" s="210"/>
    </row>
    <row r="76" spans="1:7" ht="17.25" hidden="1" customHeight="1" outlineLevel="1">
      <c r="A76" s="31">
        <v>68</v>
      </c>
      <c r="B76" s="879"/>
      <c r="C76" s="880"/>
      <c r="D76" s="281"/>
      <c r="E76" s="209"/>
      <c r="F76" s="209"/>
      <c r="G76" s="210"/>
    </row>
    <row r="77" spans="1:7" ht="17.25" hidden="1" customHeight="1" outlineLevel="1">
      <c r="A77" s="31">
        <v>69</v>
      </c>
      <c r="B77" s="879"/>
      <c r="C77" s="880"/>
      <c r="D77" s="281"/>
      <c r="E77" s="209"/>
      <c r="F77" s="209"/>
      <c r="G77" s="210"/>
    </row>
    <row r="78" spans="1:7" ht="17.25" hidden="1" customHeight="1" outlineLevel="1">
      <c r="A78" s="31">
        <v>70</v>
      </c>
      <c r="B78" s="879"/>
      <c r="C78" s="880"/>
      <c r="D78" s="281"/>
      <c r="E78" s="209"/>
      <c r="F78" s="209"/>
      <c r="G78" s="210"/>
    </row>
    <row r="79" spans="1:7" ht="17.25" hidden="1" customHeight="1" outlineLevel="1">
      <c r="A79" s="31">
        <v>71</v>
      </c>
      <c r="B79" s="879"/>
      <c r="C79" s="880"/>
      <c r="D79" s="281"/>
      <c r="E79" s="209"/>
      <c r="F79" s="209"/>
      <c r="G79" s="210"/>
    </row>
    <row r="80" spans="1:7" ht="17.25" hidden="1" customHeight="1" outlineLevel="1">
      <c r="A80" s="31">
        <v>72</v>
      </c>
      <c r="B80" s="879"/>
      <c r="C80" s="880"/>
      <c r="D80" s="281"/>
      <c r="E80" s="209"/>
      <c r="F80" s="209"/>
      <c r="G80" s="210"/>
    </row>
    <row r="81" spans="1:7" ht="17.25" hidden="1" customHeight="1" outlineLevel="1">
      <c r="A81" s="31">
        <v>73</v>
      </c>
      <c r="B81" s="879"/>
      <c r="C81" s="880"/>
      <c r="D81" s="281"/>
      <c r="E81" s="209"/>
      <c r="F81" s="209"/>
      <c r="G81" s="210"/>
    </row>
    <row r="82" spans="1:7" ht="17.25" hidden="1" customHeight="1" outlineLevel="1">
      <c r="A82" s="31">
        <v>74</v>
      </c>
      <c r="B82" s="879"/>
      <c r="C82" s="880"/>
      <c r="D82" s="281"/>
      <c r="E82" s="209"/>
      <c r="F82" s="209"/>
      <c r="G82" s="210"/>
    </row>
    <row r="83" spans="1:7" ht="17.25" hidden="1" customHeight="1" outlineLevel="1">
      <c r="A83" s="31">
        <v>75</v>
      </c>
      <c r="B83" s="879"/>
      <c r="C83" s="880"/>
      <c r="D83" s="281"/>
      <c r="E83" s="209"/>
      <c r="F83" s="209"/>
      <c r="G83" s="210"/>
    </row>
    <row r="84" spans="1:7" ht="17.25" hidden="1" customHeight="1" outlineLevel="1">
      <c r="A84" s="31">
        <v>76</v>
      </c>
      <c r="B84" s="879"/>
      <c r="C84" s="880"/>
      <c r="D84" s="281"/>
      <c r="E84" s="209"/>
      <c r="F84" s="209"/>
      <c r="G84" s="210"/>
    </row>
    <row r="85" spans="1:7" ht="17.25" hidden="1" customHeight="1" outlineLevel="1">
      <c r="A85" s="31">
        <v>77</v>
      </c>
      <c r="B85" s="879"/>
      <c r="C85" s="880"/>
      <c r="D85" s="281"/>
      <c r="E85" s="209"/>
      <c r="F85" s="209"/>
      <c r="G85" s="210"/>
    </row>
    <row r="86" spans="1:7" ht="17.25" hidden="1" customHeight="1" outlineLevel="1">
      <c r="A86" s="31">
        <v>78</v>
      </c>
      <c r="B86" s="879"/>
      <c r="C86" s="880"/>
      <c r="D86" s="281"/>
      <c r="E86" s="209"/>
      <c r="F86" s="209"/>
      <c r="G86" s="210"/>
    </row>
    <row r="87" spans="1:7" ht="17.25" hidden="1" customHeight="1" outlineLevel="1">
      <c r="A87" s="31">
        <v>79</v>
      </c>
      <c r="B87" s="879"/>
      <c r="C87" s="880"/>
      <c r="D87" s="281"/>
      <c r="E87" s="209"/>
      <c r="F87" s="209"/>
      <c r="G87" s="210"/>
    </row>
    <row r="88" spans="1:7" ht="17.25" hidden="1" customHeight="1" outlineLevel="1">
      <c r="A88" s="31">
        <v>80</v>
      </c>
      <c r="B88" s="879"/>
      <c r="C88" s="880"/>
      <c r="D88" s="281"/>
      <c r="E88" s="209"/>
      <c r="F88" s="209"/>
      <c r="G88" s="210"/>
    </row>
    <row r="89" spans="1:7" ht="17.25" hidden="1" customHeight="1" outlineLevel="1">
      <c r="A89" s="31">
        <v>81</v>
      </c>
      <c r="B89" s="879"/>
      <c r="C89" s="880"/>
      <c r="D89" s="281"/>
      <c r="E89" s="201"/>
      <c r="F89" s="201"/>
      <c r="G89" s="202"/>
    </row>
    <row r="90" spans="1:7" ht="17.25" hidden="1" customHeight="1" outlineLevel="1">
      <c r="A90" s="31">
        <v>82</v>
      </c>
      <c r="B90" s="879"/>
      <c r="C90" s="880"/>
      <c r="D90" s="281"/>
      <c r="E90" s="201"/>
      <c r="F90" s="201"/>
      <c r="G90" s="202"/>
    </row>
    <row r="91" spans="1:7" ht="17.25" hidden="1" customHeight="1" outlineLevel="1">
      <c r="A91" s="31">
        <v>83</v>
      </c>
      <c r="B91" s="879"/>
      <c r="C91" s="880"/>
      <c r="D91" s="281"/>
      <c r="E91" s="201"/>
      <c r="F91" s="201"/>
      <c r="G91" s="202"/>
    </row>
    <row r="92" spans="1:7" ht="17.25" hidden="1" customHeight="1" outlineLevel="1">
      <c r="A92" s="31">
        <v>84</v>
      </c>
      <c r="B92" s="879"/>
      <c r="C92" s="880"/>
      <c r="D92" s="281"/>
      <c r="E92" s="201"/>
      <c r="F92" s="201"/>
      <c r="G92" s="202"/>
    </row>
    <row r="93" spans="1:7" ht="17.25" hidden="1" customHeight="1" outlineLevel="1">
      <c r="A93" s="31">
        <v>85</v>
      </c>
      <c r="B93" s="879"/>
      <c r="C93" s="880"/>
      <c r="D93" s="281"/>
      <c r="E93" s="201"/>
      <c r="F93" s="201"/>
      <c r="G93" s="202"/>
    </row>
    <row r="94" spans="1:7" ht="17.25" hidden="1" customHeight="1" outlineLevel="1">
      <c r="A94" s="31">
        <v>86</v>
      </c>
      <c r="B94" s="879"/>
      <c r="C94" s="880"/>
      <c r="D94" s="281"/>
      <c r="E94" s="201"/>
      <c r="F94" s="201"/>
      <c r="G94" s="202"/>
    </row>
    <row r="95" spans="1:7" ht="17.25" hidden="1" customHeight="1" outlineLevel="1">
      <c r="A95" s="31">
        <v>87</v>
      </c>
      <c r="B95" s="879"/>
      <c r="C95" s="880"/>
      <c r="D95" s="281"/>
      <c r="E95" s="201"/>
      <c r="F95" s="201"/>
      <c r="G95" s="202"/>
    </row>
    <row r="96" spans="1:7" ht="17.25" hidden="1" customHeight="1" outlineLevel="1">
      <c r="A96" s="31">
        <v>88</v>
      </c>
      <c r="B96" s="879"/>
      <c r="C96" s="880"/>
      <c r="D96" s="281"/>
      <c r="E96" s="201"/>
      <c r="F96" s="201"/>
      <c r="G96" s="202"/>
    </row>
    <row r="97" spans="1:7" ht="17.25" hidden="1" customHeight="1" outlineLevel="1">
      <c r="A97" s="31">
        <v>89</v>
      </c>
      <c r="B97" s="879"/>
      <c r="C97" s="880"/>
      <c r="D97" s="281"/>
      <c r="E97" s="201"/>
      <c r="F97" s="201"/>
      <c r="G97" s="202"/>
    </row>
    <row r="98" spans="1:7" ht="17.25" hidden="1" customHeight="1" outlineLevel="1">
      <c r="A98" s="31">
        <v>90</v>
      </c>
      <c r="B98" s="879"/>
      <c r="C98" s="880"/>
      <c r="D98" s="281"/>
      <c r="E98" s="201"/>
      <c r="F98" s="201"/>
      <c r="G98" s="202"/>
    </row>
    <row r="99" spans="1:7" ht="17.25" hidden="1" customHeight="1" outlineLevel="1">
      <c r="A99" s="31">
        <v>91</v>
      </c>
      <c r="B99" s="879"/>
      <c r="C99" s="880"/>
      <c r="D99" s="281"/>
      <c r="E99" s="201"/>
      <c r="F99" s="201"/>
      <c r="G99" s="202"/>
    </row>
    <row r="100" spans="1:7" ht="17.25" hidden="1" customHeight="1" outlineLevel="1">
      <c r="A100" s="31">
        <v>92</v>
      </c>
      <c r="B100" s="879"/>
      <c r="C100" s="880"/>
      <c r="D100" s="281"/>
      <c r="E100" s="201"/>
      <c r="F100" s="201"/>
      <c r="G100" s="202"/>
    </row>
    <row r="101" spans="1:7" ht="17.25" hidden="1" customHeight="1" outlineLevel="1">
      <c r="A101" s="31">
        <v>93</v>
      </c>
      <c r="B101" s="879"/>
      <c r="C101" s="880"/>
      <c r="D101" s="281"/>
      <c r="E101" s="201"/>
      <c r="F101" s="201"/>
      <c r="G101" s="202"/>
    </row>
    <row r="102" spans="1:7" ht="17.25" hidden="1" customHeight="1" outlineLevel="1">
      <c r="A102" s="31">
        <v>94</v>
      </c>
      <c r="B102" s="879"/>
      <c r="C102" s="880"/>
      <c r="D102" s="281"/>
      <c r="E102" s="201"/>
      <c r="F102" s="201"/>
      <c r="G102" s="202"/>
    </row>
    <row r="103" spans="1:7" ht="17.25" hidden="1" customHeight="1" outlineLevel="1">
      <c r="A103" s="31">
        <v>95</v>
      </c>
      <c r="B103" s="879"/>
      <c r="C103" s="880"/>
      <c r="D103" s="281"/>
      <c r="E103" s="201"/>
      <c r="F103" s="201"/>
      <c r="G103" s="202"/>
    </row>
    <row r="104" spans="1:7" ht="17.25" hidden="1" customHeight="1" outlineLevel="1">
      <c r="A104" s="31">
        <v>96</v>
      </c>
      <c r="B104" s="879"/>
      <c r="C104" s="880"/>
      <c r="D104" s="281"/>
      <c r="E104" s="201"/>
      <c r="F104" s="201"/>
      <c r="G104" s="202"/>
    </row>
    <row r="105" spans="1:7" ht="17.25" hidden="1" customHeight="1" outlineLevel="1">
      <c r="A105" s="31">
        <v>97</v>
      </c>
      <c r="B105" s="879"/>
      <c r="C105" s="880"/>
      <c r="D105" s="281"/>
      <c r="E105" s="201"/>
      <c r="F105" s="201"/>
      <c r="G105" s="202"/>
    </row>
    <row r="106" spans="1:7" ht="17.25" hidden="1" customHeight="1" outlineLevel="1">
      <c r="A106" s="31">
        <v>98</v>
      </c>
      <c r="B106" s="879"/>
      <c r="C106" s="880"/>
      <c r="D106" s="281"/>
      <c r="E106" s="201"/>
      <c r="F106" s="201"/>
      <c r="G106" s="202"/>
    </row>
    <row r="107" spans="1:7" ht="17.25" hidden="1" customHeight="1" outlineLevel="1">
      <c r="A107" s="31">
        <v>99</v>
      </c>
      <c r="B107" s="879"/>
      <c r="C107" s="880"/>
      <c r="D107" s="281"/>
      <c r="E107" s="203"/>
      <c r="F107" s="203"/>
      <c r="G107" s="204"/>
    </row>
    <row r="108" spans="1:7" collapsed="1">
      <c r="A108" s="105" t="s">
        <v>566</v>
      </c>
      <c r="D108" s="279"/>
    </row>
  </sheetData>
  <sheetProtection algorithmName="SHA-512" hashValue="LNBplgq7t4GiaGWtdT5FyRIMByjJo3X8SdTvxpDbB42nEuto5tSonWYW0tU00CUKjOW7ZJ6oQXoj8Bm9I3OFeg==" saltValue="5lsq8le8pzfi8gpfrzIHJw==" spinCount="100000" sheet="1" objects="1" scenarios="1"/>
  <mergeCells count="107">
    <mergeCell ref="B104:C104"/>
    <mergeCell ref="B105:C105"/>
    <mergeCell ref="B106:C106"/>
    <mergeCell ref="B107:C107"/>
    <mergeCell ref="B99:C99"/>
    <mergeCell ref="B100:C100"/>
    <mergeCell ref="B101:C101"/>
    <mergeCell ref="B102:C102"/>
    <mergeCell ref="B103:C103"/>
    <mergeCell ref="B94:C94"/>
    <mergeCell ref="B95:C95"/>
    <mergeCell ref="B96:C96"/>
    <mergeCell ref="B97:C97"/>
    <mergeCell ref="B98:C98"/>
    <mergeCell ref="B89:C89"/>
    <mergeCell ref="B90:C90"/>
    <mergeCell ref="B91:C91"/>
    <mergeCell ref="B92:C92"/>
    <mergeCell ref="B93:C93"/>
    <mergeCell ref="B85:C85"/>
    <mergeCell ref="B86:C86"/>
    <mergeCell ref="B87:C87"/>
    <mergeCell ref="B88:C88"/>
    <mergeCell ref="B79:C79"/>
    <mergeCell ref="B80:C80"/>
    <mergeCell ref="B81:C81"/>
    <mergeCell ref="B82:C82"/>
    <mergeCell ref="B83:C83"/>
    <mergeCell ref="B76:C76"/>
    <mergeCell ref="B77:C77"/>
    <mergeCell ref="B78:C78"/>
    <mergeCell ref="B69:C69"/>
    <mergeCell ref="B70:C70"/>
    <mergeCell ref="B71:C71"/>
    <mergeCell ref="B72:C72"/>
    <mergeCell ref="B73:C73"/>
    <mergeCell ref="B84:C84"/>
    <mergeCell ref="B67:C67"/>
    <mergeCell ref="B68:C68"/>
    <mergeCell ref="B59:C59"/>
    <mergeCell ref="B60:C60"/>
    <mergeCell ref="B61:C61"/>
    <mergeCell ref="B62:C62"/>
    <mergeCell ref="B63:C63"/>
    <mergeCell ref="B74:C74"/>
    <mergeCell ref="B75:C75"/>
    <mergeCell ref="B58:C58"/>
    <mergeCell ref="B49:C49"/>
    <mergeCell ref="B50:C50"/>
    <mergeCell ref="B51:C51"/>
    <mergeCell ref="B52:C52"/>
    <mergeCell ref="B53:C53"/>
    <mergeCell ref="B64:C64"/>
    <mergeCell ref="B65:C65"/>
    <mergeCell ref="B66:C66"/>
    <mergeCell ref="B37:C37"/>
    <mergeCell ref="B38:C38"/>
    <mergeCell ref="B31:C31"/>
    <mergeCell ref="B32:C32"/>
    <mergeCell ref="B33:C33"/>
    <mergeCell ref="B54:C54"/>
    <mergeCell ref="B55:C55"/>
    <mergeCell ref="B56:C56"/>
    <mergeCell ref="B57:C57"/>
    <mergeCell ref="B44:C44"/>
    <mergeCell ref="B45:C45"/>
    <mergeCell ref="B46:C46"/>
    <mergeCell ref="B47:C47"/>
    <mergeCell ref="B48:C48"/>
    <mergeCell ref="B39:C39"/>
    <mergeCell ref="B40:C40"/>
    <mergeCell ref="B41:C41"/>
    <mergeCell ref="B42:C42"/>
    <mergeCell ref="B43:C43"/>
    <mergeCell ref="B34:C34"/>
    <mergeCell ref="B35:C35"/>
    <mergeCell ref="B36:C36"/>
    <mergeCell ref="D4:D7"/>
    <mergeCell ref="E4:E7"/>
    <mergeCell ref="B18:C18"/>
    <mergeCell ref="G4:G7"/>
    <mergeCell ref="B8:C8"/>
    <mergeCell ref="B9:C9"/>
    <mergeCell ref="B10:C10"/>
    <mergeCell ref="B11:C11"/>
    <mergeCell ref="B12:C12"/>
    <mergeCell ref="F4:F7"/>
    <mergeCell ref="B13:C13"/>
    <mergeCell ref="B14:C14"/>
    <mergeCell ref="B15:C15"/>
    <mergeCell ref="B16:C16"/>
    <mergeCell ref="B17:C17"/>
    <mergeCell ref="B30:C30"/>
    <mergeCell ref="B28:C28"/>
    <mergeCell ref="B29:C29"/>
    <mergeCell ref="B3:C3"/>
    <mergeCell ref="A4:A7"/>
    <mergeCell ref="B4:C7"/>
    <mergeCell ref="B19:C19"/>
    <mergeCell ref="B20:C20"/>
    <mergeCell ref="B21:C21"/>
    <mergeCell ref="B22:C22"/>
    <mergeCell ref="B23:C23"/>
    <mergeCell ref="B24:C24"/>
    <mergeCell ref="B25:C25"/>
    <mergeCell ref="B26:C26"/>
    <mergeCell ref="B27:C27"/>
  </mergeCells>
  <phoneticPr fontId="18"/>
  <dataValidations count="3">
    <dataValidation type="list" allowBlank="1" showInputMessage="1" showErrorMessage="1" sqref="WKS982769:WKS982812 WAW982769:WAW982812 VRA982769:VRA982812 VHE982769:VHE982812 UXI982769:UXI982812 UNM982769:UNM982812 UDQ982769:UDQ982812 TTU982769:TTU982812 TJY982769:TJY982812 TAC982769:TAC982812 SQG982769:SQG982812 SGK982769:SGK982812 RWO982769:RWO982812 RMS982769:RMS982812 RCW982769:RCW982812 QTA982769:QTA982812 QJE982769:QJE982812 PZI982769:PZI982812 PPM982769:PPM982812 PFQ982769:PFQ982812 OVU982769:OVU982812 OLY982769:OLY982812 OCC982769:OCC982812 NSG982769:NSG982812 NIK982769:NIK982812 MYO982769:MYO982812 MOS982769:MOS982812 MEW982769:MEW982812 LVA982769:LVA982812 LLE982769:LLE982812 LBI982769:LBI982812 KRM982769:KRM982812 KHQ982769:KHQ982812 JXU982769:JXU982812 JNY982769:JNY982812 JEC982769:JEC982812 IUG982769:IUG982812 IKK982769:IKK982812 IAO982769:IAO982812 HQS982769:HQS982812 HGW982769:HGW982812 GXA982769:GXA982812 GNE982769:GNE982812 GDI982769:GDI982812 FTM982769:FTM982812 FJQ982769:FJQ982812 EZU982769:EZU982812 EPY982769:EPY982812 EGC982769:EGC982812 DWG982769:DWG982812 DMK982769:DMK982812 DCO982769:DCO982812 CSS982769:CSS982812 CIW982769:CIW982812 BZA982769:BZA982812 BPE982769:BPE982812 BFI982769:BFI982812 AVM982769:AVM982812 ALQ982769:ALQ982812 ABU982769:ABU982812 RY982769:RY982812 IC982769:IC982812 WUO917233:WUO917276 WKS917233:WKS917276 WAW917233:WAW917276 VRA917233:VRA917276 VHE917233:VHE917276 UXI917233:UXI917276 UNM917233:UNM917276 UDQ917233:UDQ917276 TTU917233:TTU917276 TJY917233:TJY917276 TAC917233:TAC917276 SQG917233:SQG917276 SGK917233:SGK917276 RWO917233:RWO917276 RMS917233:RMS917276 RCW917233:RCW917276 QTA917233:QTA917276 QJE917233:QJE917276 PZI917233:PZI917276 PPM917233:PPM917276 PFQ917233:PFQ917276 OVU917233:OVU917276 OLY917233:OLY917276 OCC917233:OCC917276 NSG917233:NSG917276 NIK917233:NIK917276 MYO917233:MYO917276 MOS917233:MOS917276 MEW917233:MEW917276 LVA917233:LVA917276 LLE917233:LLE917276 LBI917233:LBI917276 KRM917233:KRM917276 KHQ917233:KHQ917276 JXU917233:JXU917276 JNY917233:JNY917276 JEC917233:JEC917276 IUG917233:IUG917276 IKK917233:IKK917276 IAO917233:IAO917276 HQS917233:HQS917276 HGW917233:HGW917276 GXA917233:GXA917276 GNE917233:GNE917276 GDI917233:GDI917276 FTM917233:FTM917276 FJQ917233:FJQ917276 EZU917233:EZU917276 EPY917233:EPY917276 EGC917233:EGC917276 DWG917233:DWG917276 DMK917233:DMK917276 DCO917233:DCO917276 CSS917233:CSS917276 CIW917233:CIW917276 BZA917233:BZA917276 BPE917233:BPE917276 BFI917233:BFI917276 AVM917233:AVM917276 ALQ917233:ALQ917276 ABU917233:ABU917276 RY917233:RY917276 IC917233:IC917276 WUO851697:WUO851740 WKS851697:WKS851740 WAW851697:WAW851740 VRA851697:VRA851740 VHE851697:VHE851740 UXI851697:UXI851740 UNM851697:UNM851740 UDQ851697:UDQ851740 TTU851697:TTU851740 TJY851697:TJY851740 TAC851697:TAC851740 SQG851697:SQG851740 SGK851697:SGK851740 RWO851697:RWO851740 RMS851697:RMS851740 RCW851697:RCW851740 QTA851697:QTA851740 QJE851697:QJE851740 PZI851697:PZI851740 PPM851697:PPM851740 PFQ851697:PFQ851740 OVU851697:OVU851740 OLY851697:OLY851740 OCC851697:OCC851740 NSG851697:NSG851740 NIK851697:NIK851740 MYO851697:MYO851740 MOS851697:MOS851740 MEW851697:MEW851740 LVA851697:LVA851740 LLE851697:LLE851740 LBI851697:LBI851740 KRM851697:KRM851740 KHQ851697:KHQ851740 JXU851697:JXU851740 JNY851697:JNY851740 JEC851697:JEC851740 IUG851697:IUG851740 IKK851697:IKK851740 IAO851697:IAO851740 HQS851697:HQS851740 HGW851697:HGW851740 GXA851697:GXA851740 GNE851697:GNE851740 GDI851697:GDI851740 FTM851697:FTM851740 FJQ851697:FJQ851740 EZU851697:EZU851740 EPY851697:EPY851740 EGC851697:EGC851740 DWG851697:DWG851740 DMK851697:DMK851740 DCO851697:DCO851740 CSS851697:CSS851740 CIW851697:CIW851740 BZA851697:BZA851740 BPE851697:BPE851740 BFI851697:BFI851740 AVM851697:AVM851740 ALQ851697:ALQ851740 ABU851697:ABU851740 RY851697:RY851740 IC851697:IC851740 WUO786161:WUO786204 WKS786161:WKS786204 WAW786161:WAW786204 VRA786161:VRA786204 VHE786161:VHE786204 UXI786161:UXI786204 UNM786161:UNM786204 UDQ786161:UDQ786204 TTU786161:TTU786204 TJY786161:TJY786204 TAC786161:TAC786204 SQG786161:SQG786204 SGK786161:SGK786204 RWO786161:RWO786204 RMS786161:RMS786204 RCW786161:RCW786204 QTA786161:QTA786204 QJE786161:QJE786204 PZI786161:PZI786204 PPM786161:PPM786204 PFQ786161:PFQ786204 OVU786161:OVU786204 OLY786161:OLY786204 OCC786161:OCC786204 NSG786161:NSG786204 NIK786161:NIK786204 MYO786161:MYO786204 MOS786161:MOS786204 MEW786161:MEW786204 LVA786161:LVA786204 LLE786161:LLE786204 LBI786161:LBI786204 KRM786161:KRM786204 KHQ786161:KHQ786204 JXU786161:JXU786204 JNY786161:JNY786204 JEC786161:JEC786204 IUG786161:IUG786204 IKK786161:IKK786204 IAO786161:IAO786204 HQS786161:HQS786204 HGW786161:HGW786204 GXA786161:GXA786204 GNE786161:GNE786204 GDI786161:GDI786204 FTM786161:FTM786204 FJQ786161:FJQ786204 EZU786161:EZU786204 EPY786161:EPY786204 EGC786161:EGC786204 DWG786161:DWG786204 DMK786161:DMK786204 DCO786161:DCO786204 CSS786161:CSS786204 CIW786161:CIW786204 BZA786161:BZA786204 BPE786161:BPE786204 BFI786161:BFI786204 AVM786161:AVM786204 ALQ786161:ALQ786204 ABU786161:ABU786204 RY786161:RY786204 IC786161:IC786204 WUO720625:WUO720668 WKS720625:WKS720668 WAW720625:WAW720668 VRA720625:VRA720668 VHE720625:VHE720668 UXI720625:UXI720668 UNM720625:UNM720668 UDQ720625:UDQ720668 TTU720625:TTU720668 TJY720625:TJY720668 TAC720625:TAC720668 SQG720625:SQG720668 SGK720625:SGK720668 RWO720625:RWO720668 RMS720625:RMS720668 RCW720625:RCW720668 QTA720625:QTA720668 QJE720625:QJE720668 PZI720625:PZI720668 PPM720625:PPM720668 PFQ720625:PFQ720668 OVU720625:OVU720668 OLY720625:OLY720668 OCC720625:OCC720668 NSG720625:NSG720668 NIK720625:NIK720668 MYO720625:MYO720668 MOS720625:MOS720668 MEW720625:MEW720668 LVA720625:LVA720668 LLE720625:LLE720668 LBI720625:LBI720668 KRM720625:KRM720668 KHQ720625:KHQ720668 JXU720625:JXU720668 JNY720625:JNY720668 JEC720625:JEC720668 IUG720625:IUG720668 IKK720625:IKK720668 IAO720625:IAO720668 HQS720625:HQS720668 HGW720625:HGW720668 GXA720625:GXA720668 GNE720625:GNE720668 GDI720625:GDI720668 FTM720625:FTM720668 FJQ720625:FJQ720668 EZU720625:EZU720668 EPY720625:EPY720668 EGC720625:EGC720668 DWG720625:DWG720668 DMK720625:DMK720668 DCO720625:DCO720668 CSS720625:CSS720668 CIW720625:CIW720668 BZA720625:BZA720668 BPE720625:BPE720668 BFI720625:BFI720668 AVM720625:AVM720668 ALQ720625:ALQ720668 ABU720625:ABU720668 RY720625:RY720668 IC720625:IC720668 WUO655089:WUO655132 WKS655089:WKS655132 WAW655089:WAW655132 VRA655089:VRA655132 VHE655089:VHE655132 UXI655089:UXI655132 UNM655089:UNM655132 UDQ655089:UDQ655132 TTU655089:TTU655132 TJY655089:TJY655132 TAC655089:TAC655132 SQG655089:SQG655132 SGK655089:SGK655132 RWO655089:RWO655132 RMS655089:RMS655132 RCW655089:RCW655132 QTA655089:QTA655132 QJE655089:QJE655132 PZI655089:PZI655132 PPM655089:PPM655132 PFQ655089:PFQ655132 OVU655089:OVU655132 OLY655089:OLY655132 OCC655089:OCC655132 NSG655089:NSG655132 NIK655089:NIK655132 MYO655089:MYO655132 MOS655089:MOS655132 MEW655089:MEW655132 LVA655089:LVA655132 LLE655089:LLE655132 LBI655089:LBI655132 KRM655089:KRM655132 KHQ655089:KHQ655132 JXU655089:JXU655132 JNY655089:JNY655132 JEC655089:JEC655132 IUG655089:IUG655132 IKK655089:IKK655132 IAO655089:IAO655132 HQS655089:HQS655132 HGW655089:HGW655132 GXA655089:GXA655132 GNE655089:GNE655132 GDI655089:GDI655132 FTM655089:FTM655132 FJQ655089:FJQ655132 EZU655089:EZU655132 EPY655089:EPY655132 EGC655089:EGC655132 DWG655089:DWG655132 DMK655089:DMK655132 DCO655089:DCO655132 CSS655089:CSS655132 CIW655089:CIW655132 BZA655089:BZA655132 BPE655089:BPE655132 BFI655089:BFI655132 AVM655089:AVM655132 ALQ655089:ALQ655132 ABU655089:ABU655132 RY655089:RY655132 IC655089:IC655132 WUO589553:WUO589596 WKS589553:WKS589596 WAW589553:WAW589596 VRA589553:VRA589596 VHE589553:VHE589596 UXI589553:UXI589596 UNM589553:UNM589596 UDQ589553:UDQ589596 TTU589553:TTU589596 TJY589553:TJY589596 TAC589553:TAC589596 SQG589553:SQG589596 SGK589553:SGK589596 RWO589553:RWO589596 RMS589553:RMS589596 RCW589553:RCW589596 QTA589553:QTA589596 QJE589553:QJE589596 PZI589553:PZI589596 PPM589553:PPM589596 PFQ589553:PFQ589596 OVU589553:OVU589596 OLY589553:OLY589596 OCC589553:OCC589596 NSG589553:NSG589596 NIK589553:NIK589596 MYO589553:MYO589596 MOS589553:MOS589596 MEW589553:MEW589596 LVA589553:LVA589596 LLE589553:LLE589596 LBI589553:LBI589596 KRM589553:KRM589596 KHQ589553:KHQ589596 JXU589553:JXU589596 JNY589553:JNY589596 JEC589553:JEC589596 IUG589553:IUG589596 IKK589553:IKK589596 IAO589553:IAO589596 HQS589553:HQS589596 HGW589553:HGW589596 GXA589553:GXA589596 GNE589553:GNE589596 GDI589553:GDI589596 FTM589553:FTM589596 FJQ589553:FJQ589596 EZU589553:EZU589596 EPY589553:EPY589596 EGC589553:EGC589596 DWG589553:DWG589596 DMK589553:DMK589596 DCO589553:DCO589596 CSS589553:CSS589596 CIW589553:CIW589596 BZA589553:BZA589596 BPE589553:BPE589596 BFI589553:BFI589596 AVM589553:AVM589596 ALQ589553:ALQ589596 ABU589553:ABU589596 RY589553:RY589596 IC589553:IC589596 WUO524017:WUO524060 WKS524017:WKS524060 WAW524017:WAW524060 VRA524017:VRA524060 VHE524017:VHE524060 UXI524017:UXI524060 UNM524017:UNM524060 UDQ524017:UDQ524060 TTU524017:TTU524060 TJY524017:TJY524060 TAC524017:TAC524060 SQG524017:SQG524060 SGK524017:SGK524060 RWO524017:RWO524060 RMS524017:RMS524060 RCW524017:RCW524060 QTA524017:QTA524060 QJE524017:QJE524060 PZI524017:PZI524060 PPM524017:PPM524060 PFQ524017:PFQ524060 OVU524017:OVU524060 OLY524017:OLY524060 OCC524017:OCC524060 NSG524017:NSG524060 NIK524017:NIK524060 MYO524017:MYO524060 MOS524017:MOS524060 MEW524017:MEW524060 LVA524017:LVA524060 LLE524017:LLE524060 LBI524017:LBI524060 KRM524017:KRM524060 KHQ524017:KHQ524060 JXU524017:JXU524060 JNY524017:JNY524060 JEC524017:JEC524060 IUG524017:IUG524060 IKK524017:IKK524060 IAO524017:IAO524060 HQS524017:HQS524060 HGW524017:HGW524060 GXA524017:GXA524060 GNE524017:GNE524060 GDI524017:GDI524060 FTM524017:FTM524060 FJQ524017:FJQ524060 EZU524017:EZU524060 EPY524017:EPY524060 EGC524017:EGC524060 DWG524017:DWG524060 DMK524017:DMK524060 DCO524017:DCO524060 CSS524017:CSS524060 CIW524017:CIW524060 BZA524017:BZA524060 BPE524017:BPE524060 BFI524017:BFI524060 AVM524017:AVM524060 ALQ524017:ALQ524060 ABU524017:ABU524060 RY524017:RY524060 IC524017:IC524060 WUO458481:WUO458524 WKS458481:WKS458524 WAW458481:WAW458524 VRA458481:VRA458524 VHE458481:VHE458524 UXI458481:UXI458524 UNM458481:UNM458524 UDQ458481:UDQ458524 TTU458481:TTU458524 TJY458481:TJY458524 TAC458481:TAC458524 SQG458481:SQG458524 SGK458481:SGK458524 RWO458481:RWO458524 RMS458481:RMS458524 RCW458481:RCW458524 QTA458481:QTA458524 QJE458481:QJE458524 PZI458481:PZI458524 PPM458481:PPM458524 PFQ458481:PFQ458524 OVU458481:OVU458524 OLY458481:OLY458524 OCC458481:OCC458524 NSG458481:NSG458524 NIK458481:NIK458524 MYO458481:MYO458524 MOS458481:MOS458524 MEW458481:MEW458524 LVA458481:LVA458524 LLE458481:LLE458524 LBI458481:LBI458524 KRM458481:KRM458524 KHQ458481:KHQ458524 JXU458481:JXU458524 JNY458481:JNY458524 JEC458481:JEC458524 IUG458481:IUG458524 IKK458481:IKK458524 IAO458481:IAO458524 HQS458481:HQS458524 HGW458481:HGW458524 GXA458481:GXA458524 GNE458481:GNE458524 GDI458481:GDI458524 FTM458481:FTM458524 FJQ458481:FJQ458524 EZU458481:EZU458524 EPY458481:EPY458524 EGC458481:EGC458524 DWG458481:DWG458524 DMK458481:DMK458524 DCO458481:DCO458524 CSS458481:CSS458524 CIW458481:CIW458524 BZA458481:BZA458524 BPE458481:BPE458524 BFI458481:BFI458524 AVM458481:AVM458524 ALQ458481:ALQ458524 ABU458481:ABU458524 RY458481:RY458524 IC458481:IC458524 WUO392945:WUO392988 WKS392945:WKS392988 WAW392945:WAW392988 VRA392945:VRA392988 VHE392945:VHE392988 UXI392945:UXI392988 UNM392945:UNM392988 UDQ392945:UDQ392988 TTU392945:TTU392988 TJY392945:TJY392988 TAC392945:TAC392988 SQG392945:SQG392988 SGK392945:SGK392988 RWO392945:RWO392988 RMS392945:RMS392988 RCW392945:RCW392988 QTA392945:QTA392988 QJE392945:QJE392988 PZI392945:PZI392988 PPM392945:PPM392988 PFQ392945:PFQ392988 OVU392945:OVU392988 OLY392945:OLY392988 OCC392945:OCC392988 NSG392945:NSG392988 NIK392945:NIK392988 MYO392945:MYO392988 MOS392945:MOS392988 MEW392945:MEW392988 LVA392945:LVA392988 LLE392945:LLE392988 LBI392945:LBI392988 KRM392945:KRM392988 KHQ392945:KHQ392988 JXU392945:JXU392988 JNY392945:JNY392988 JEC392945:JEC392988 IUG392945:IUG392988 IKK392945:IKK392988 IAO392945:IAO392988 HQS392945:HQS392988 HGW392945:HGW392988 GXA392945:GXA392988 GNE392945:GNE392988 GDI392945:GDI392988 FTM392945:FTM392988 FJQ392945:FJQ392988 EZU392945:EZU392988 EPY392945:EPY392988 EGC392945:EGC392988 DWG392945:DWG392988 DMK392945:DMK392988 DCO392945:DCO392988 CSS392945:CSS392988 CIW392945:CIW392988 BZA392945:BZA392988 BPE392945:BPE392988 BFI392945:BFI392988 AVM392945:AVM392988 ALQ392945:ALQ392988 ABU392945:ABU392988 RY392945:RY392988 IC392945:IC392988 WUO327409:WUO327452 WKS327409:WKS327452 WAW327409:WAW327452 VRA327409:VRA327452 VHE327409:VHE327452 UXI327409:UXI327452 UNM327409:UNM327452 UDQ327409:UDQ327452 TTU327409:TTU327452 TJY327409:TJY327452 TAC327409:TAC327452 SQG327409:SQG327452 SGK327409:SGK327452 RWO327409:RWO327452 RMS327409:RMS327452 RCW327409:RCW327452 QTA327409:QTA327452 QJE327409:QJE327452 PZI327409:PZI327452 PPM327409:PPM327452 PFQ327409:PFQ327452 OVU327409:OVU327452 OLY327409:OLY327452 OCC327409:OCC327452 NSG327409:NSG327452 NIK327409:NIK327452 MYO327409:MYO327452 MOS327409:MOS327452 MEW327409:MEW327452 LVA327409:LVA327452 LLE327409:LLE327452 LBI327409:LBI327452 KRM327409:KRM327452 KHQ327409:KHQ327452 JXU327409:JXU327452 JNY327409:JNY327452 JEC327409:JEC327452 IUG327409:IUG327452 IKK327409:IKK327452 IAO327409:IAO327452 HQS327409:HQS327452 HGW327409:HGW327452 GXA327409:GXA327452 GNE327409:GNE327452 GDI327409:GDI327452 FTM327409:FTM327452 FJQ327409:FJQ327452 EZU327409:EZU327452 EPY327409:EPY327452 EGC327409:EGC327452 DWG327409:DWG327452 DMK327409:DMK327452 DCO327409:DCO327452 CSS327409:CSS327452 CIW327409:CIW327452 BZA327409:BZA327452 BPE327409:BPE327452 BFI327409:BFI327452 AVM327409:AVM327452 ALQ327409:ALQ327452 ABU327409:ABU327452 RY327409:RY327452 IC327409:IC327452 WUO261873:WUO261916 WKS261873:WKS261916 WAW261873:WAW261916 VRA261873:VRA261916 VHE261873:VHE261916 UXI261873:UXI261916 UNM261873:UNM261916 UDQ261873:UDQ261916 TTU261873:TTU261916 TJY261873:TJY261916 TAC261873:TAC261916 SQG261873:SQG261916 SGK261873:SGK261916 RWO261873:RWO261916 RMS261873:RMS261916 RCW261873:RCW261916 QTA261873:QTA261916 QJE261873:QJE261916 PZI261873:PZI261916 PPM261873:PPM261916 PFQ261873:PFQ261916 OVU261873:OVU261916 OLY261873:OLY261916 OCC261873:OCC261916 NSG261873:NSG261916 NIK261873:NIK261916 MYO261873:MYO261916 MOS261873:MOS261916 MEW261873:MEW261916 LVA261873:LVA261916 LLE261873:LLE261916 LBI261873:LBI261916 KRM261873:KRM261916 KHQ261873:KHQ261916 JXU261873:JXU261916 JNY261873:JNY261916 JEC261873:JEC261916 IUG261873:IUG261916 IKK261873:IKK261916 IAO261873:IAO261916 HQS261873:HQS261916 HGW261873:HGW261916 GXA261873:GXA261916 GNE261873:GNE261916 GDI261873:GDI261916 FTM261873:FTM261916 FJQ261873:FJQ261916 EZU261873:EZU261916 EPY261873:EPY261916 EGC261873:EGC261916 DWG261873:DWG261916 DMK261873:DMK261916 DCO261873:DCO261916 CSS261873:CSS261916 CIW261873:CIW261916 BZA261873:BZA261916 BPE261873:BPE261916 BFI261873:BFI261916 AVM261873:AVM261916 ALQ261873:ALQ261916 ABU261873:ABU261916 RY261873:RY261916 IC261873:IC261916 WUO196337:WUO196380 WKS196337:WKS196380 WAW196337:WAW196380 VRA196337:VRA196380 VHE196337:VHE196380 UXI196337:UXI196380 UNM196337:UNM196380 UDQ196337:UDQ196380 TTU196337:TTU196380 TJY196337:TJY196380 TAC196337:TAC196380 SQG196337:SQG196380 SGK196337:SGK196380 RWO196337:RWO196380 RMS196337:RMS196380 RCW196337:RCW196380 QTA196337:QTA196380 QJE196337:QJE196380 PZI196337:PZI196380 PPM196337:PPM196380 PFQ196337:PFQ196380 OVU196337:OVU196380 OLY196337:OLY196380 OCC196337:OCC196380 NSG196337:NSG196380 NIK196337:NIK196380 MYO196337:MYO196380 MOS196337:MOS196380 MEW196337:MEW196380 LVA196337:LVA196380 LLE196337:LLE196380 LBI196337:LBI196380 KRM196337:KRM196380 KHQ196337:KHQ196380 JXU196337:JXU196380 JNY196337:JNY196380 JEC196337:JEC196380 IUG196337:IUG196380 IKK196337:IKK196380 IAO196337:IAO196380 HQS196337:HQS196380 HGW196337:HGW196380 GXA196337:GXA196380 GNE196337:GNE196380 GDI196337:GDI196380 FTM196337:FTM196380 FJQ196337:FJQ196380 EZU196337:EZU196380 EPY196337:EPY196380 EGC196337:EGC196380 DWG196337:DWG196380 DMK196337:DMK196380 DCO196337:DCO196380 CSS196337:CSS196380 CIW196337:CIW196380 BZA196337:BZA196380 BPE196337:BPE196380 BFI196337:BFI196380 AVM196337:AVM196380 ALQ196337:ALQ196380 ABU196337:ABU196380 RY196337:RY196380 IC196337:IC196380 WUO130801:WUO130844 WKS130801:WKS130844 WAW130801:WAW130844 VRA130801:VRA130844 VHE130801:VHE130844 UXI130801:UXI130844 UNM130801:UNM130844 UDQ130801:UDQ130844 TTU130801:TTU130844 TJY130801:TJY130844 TAC130801:TAC130844 SQG130801:SQG130844 SGK130801:SGK130844 RWO130801:RWO130844 RMS130801:RMS130844 RCW130801:RCW130844 QTA130801:QTA130844 QJE130801:QJE130844 PZI130801:PZI130844 PPM130801:PPM130844 PFQ130801:PFQ130844 OVU130801:OVU130844 OLY130801:OLY130844 OCC130801:OCC130844 NSG130801:NSG130844 NIK130801:NIK130844 MYO130801:MYO130844 MOS130801:MOS130844 MEW130801:MEW130844 LVA130801:LVA130844 LLE130801:LLE130844 LBI130801:LBI130844 KRM130801:KRM130844 KHQ130801:KHQ130844 JXU130801:JXU130844 JNY130801:JNY130844 JEC130801:JEC130844 IUG130801:IUG130844 IKK130801:IKK130844 IAO130801:IAO130844 HQS130801:HQS130844 HGW130801:HGW130844 GXA130801:GXA130844 GNE130801:GNE130844 GDI130801:GDI130844 FTM130801:FTM130844 FJQ130801:FJQ130844 EZU130801:EZU130844 EPY130801:EPY130844 EGC130801:EGC130844 DWG130801:DWG130844 DMK130801:DMK130844 DCO130801:DCO130844 CSS130801:CSS130844 CIW130801:CIW130844 BZA130801:BZA130844 BPE130801:BPE130844 BFI130801:BFI130844 AVM130801:AVM130844 ALQ130801:ALQ130844 ABU130801:ABU130844 RY130801:RY130844 IC130801:IC130844 WUO65265:WUO65308 WKS65265:WKS65308 WAW65265:WAW65308 VRA65265:VRA65308 VHE65265:VHE65308 UXI65265:UXI65308 UNM65265:UNM65308 UDQ65265:UDQ65308 TTU65265:TTU65308 TJY65265:TJY65308 TAC65265:TAC65308 SQG65265:SQG65308 SGK65265:SGK65308 RWO65265:RWO65308 RMS65265:RMS65308 RCW65265:RCW65308 QTA65265:QTA65308 QJE65265:QJE65308 PZI65265:PZI65308 PPM65265:PPM65308 PFQ65265:PFQ65308 OVU65265:OVU65308 OLY65265:OLY65308 OCC65265:OCC65308 NSG65265:NSG65308 NIK65265:NIK65308 MYO65265:MYO65308 MOS65265:MOS65308 MEW65265:MEW65308 LVA65265:LVA65308 LLE65265:LLE65308 LBI65265:LBI65308 KRM65265:KRM65308 KHQ65265:KHQ65308 JXU65265:JXU65308 JNY65265:JNY65308 JEC65265:JEC65308 IUG65265:IUG65308 IKK65265:IKK65308 IAO65265:IAO65308 HQS65265:HQS65308 HGW65265:HGW65308 GXA65265:GXA65308 GNE65265:GNE65308 GDI65265:GDI65308 FTM65265:FTM65308 FJQ65265:FJQ65308 EZU65265:EZU65308 EPY65265:EPY65308 EGC65265:EGC65308 DWG65265:DWG65308 DMK65265:DMK65308 DCO65265:DCO65308 CSS65265:CSS65308 CIW65265:CIW65308 BZA65265:BZA65308 BPE65265:BPE65308 BFI65265:BFI65308 AVM65265:AVM65308 ALQ65265:ALQ65308 ABU65265:ABU65308 RY65265:RY65308 IC65265:IC65308 WUO982769:WUO982812 WUO10:WUO15 IC10:IC15 RY10:RY15 ABU10:ABU15 ALQ10:ALQ15 AVM10:AVM15 BFI10:BFI15 BPE10:BPE15 BZA10:BZA15 CIW10:CIW15 CSS10:CSS15 DCO10:DCO15 DMK10:DMK15 DWG10:DWG15 EGC10:EGC15 EPY10:EPY15 EZU10:EZU15 FJQ10:FJQ15 FTM10:FTM15 GDI10:GDI15 GNE10:GNE15 GXA10:GXA15 HGW10:HGW15 HQS10:HQS15 IAO10:IAO15 IKK10:IKK15 IUG10:IUG15 JEC10:JEC15 JNY10:JNY15 JXU10:JXU15 KHQ10:KHQ15 KRM10:KRM15 LBI10:LBI15 LLE10:LLE15 LVA10:LVA15 MEW10:MEW15 MOS10:MOS15 MYO10:MYO15 NIK10:NIK15 NSG10:NSG15 OCC10:OCC15 OLY10:OLY15 OVU10:OVU15 PFQ10:PFQ15 PPM10:PPM15 PZI10:PZI15 QJE10:QJE15 QTA10:QTA15 RCW10:RCW15 RMS10:RMS15 RWO10:RWO15 SGK10:SGK15 SQG10:SQG15 TAC10:TAC15 TJY10:TJY15 TTU10:TTU15 UDQ10:UDQ15 UNM10:UNM15 UXI10:UXI15 VHE10:VHE15 VRA10:VRA15 WAW10:WAW15 WKS10:WKS15 WUO17:WUO34 WKS17:WKS34 WAW17:WAW34 VRA17:VRA34 VHE17:VHE34 UXI17:UXI34 UNM17:UNM34 UDQ17:UDQ34 TTU17:TTU34 TJY17:TJY34 TAC17:TAC34 SQG17:SQG34 SGK17:SGK34 RWO17:RWO34 RMS17:RMS34 RCW17:RCW34 QTA17:QTA34 QJE17:QJE34 PZI17:PZI34 PPM17:PPM34 PFQ17:PFQ34 OVU17:OVU34 OLY17:OLY34 OCC17:OCC34 NSG17:NSG34 NIK17:NIK34 MYO17:MYO34 MOS17:MOS34 MEW17:MEW34 LVA17:LVA34 LLE17:LLE34 LBI17:LBI34 KRM17:KRM34 KHQ17:KHQ34 JXU17:JXU34 JNY17:JNY34 JEC17:JEC34 IUG17:IUG34 IKK17:IKK34 IAO17:IAO34 HQS17:HQS34 HGW17:HGW34 GXA17:GXA34 GNE17:GNE34 GDI17:GDI34 FTM17:FTM34 FJQ17:FJQ34 EZU17:EZU34 EPY17:EPY34 EGC17:EGC34 DWG17:DWG34 DMK17:DMK34 DCO17:DCO34 CSS17:CSS34 CIW17:CIW34 BZA17:BZA34 BPE17:BPE34 BFI17:BFI34 AVM17:AVM34 ALQ17:ALQ34 ABU17:ABU34 RY17:RY34 IC17:IC34 WVE982769:WVE982812 IU65265:IU65308 SQ65265:SQ65308 ACM65265:ACM65308 AMI65265:AMI65308 AWE65265:AWE65308 BGA65265:BGA65308 BPW65265:BPW65308 BZS65265:BZS65308 CJO65265:CJO65308 CTK65265:CTK65308 DDG65265:DDG65308 DNC65265:DNC65308 DWY65265:DWY65308 EGU65265:EGU65308 EQQ65265:EQQ65308 FAM65265:FAM65308 FKI65265:FKI65308 FUE65265:FUE65308 GEA65265:GEA65308 GNW65265:GNW65308 GXS65265:GXS65308 HHO65265:HHO65308 HRK65265:HRK65308 IBG65265:IBG65308 ILC65265:ILC65308 IUY65265:IUY65308 JEU65265:JEU65308 JOQ65265:JOQ65308 JYM65265:JYM65308 KII65265:KII65308 KSE65265:KSE65308 LCA65265:LCA65308 LLW65265:LLW65308 LVS65265:LVS65308 MFO65265:MFO65308 MPK65265:MPK65308 MZG65265:MZG65308 NJC65265:NJC65308 NSY65265:NSY65308 OCU65265:OCU65308 OMQ65265:OMQ65308 OWM65265:OWM65308 PGI65265:PGI65308 PQE65265:PQE65308 QAA65265:QAA65308 QJW65265:QJW65308 QTS65265:QTS65308 RDO65265:RDO65308 RNK65265:RNK65308 RXG65265:RXG65308 SHC65265:SHC65308 SQY65265:SQY65308 TAU65265:TAU65308 TKQ65265:TKQ65308 TUM65265:TUM65308 UEI65265:UEI65308 UOE65265:UOE65308 UYA65265:UYA65308 VHW65265:VHW65308 VRS65265:VRS65308 WBO65265:WBO65308 WLK65265:WLK65308 WVG65265:WVG65308 IU130801:IU130844 SQ130801:SQ130844 ACM130801:ACM130844 AMI130801:AMI130844 AWE130801:AWE130844 BGA130801:BGA130844 BPW130801:BPW130844 BZS130801:BZS130844 CJO130801:CJO130844 CTK130801:CTK130844 DDG130801:DDG130844 DNC130801:DNC130844 DWY130801:DWY130844 EGU130801:EGU130844 EQQ130801:EQQ130844 FAM130801:FAM130844 FKI130801:FKI130844 FUE130801:FUE130844 GEA130801:GEA130844 GNW130801:GNW130844 GXS130801:GXS130844 HHO130801:HHO130844 HRK130801:HRK130844 IBG130801:IBG130844 ILC130801:ILC130844 IUY130801:IUY130844 JEU130801:JEU130844 JOQ130801:JOQ130844 JYM130801:JYM130844 KII130801:KII130844 KSE130801:KSE130844 LCA130801:LCA130844 LLW130801:LLW130844 LVS130801:LVS130844 MFO130801:MFO130844 MPK130801:MPK130844 MZG130801:MZG130844 NJC130801:NJC130844 NSY130801:NSY130844 OCU130801:OCU130844 OMQ130801:OMQ130844 OWM130801:OWM130844 PGI130801:PGI130844 PQE130801:PQE130844 QAA130801:QAA130844 QJW130801:QJW130844 QTS130801:QTS130844 RDO130801:RDO130844 RNK130801:RNK130844 RXG130801:RXG130844 SHC130801:SHC130844 SQY130801:SQY130844 TAU130801:TAU130844 TKQ130801:TKQ130844 TUM130801:TUM130844 UEI130801:UEI130844 UOE130801:UOE130844 UYA130801:UYA130844 VHW130801:VHW130844 VRS130801:VRS130844 WBO130801:WBO130844 WLK130801:WLK130844 WVG130801:WVG130844 IU196337:IU196380 SQ196337:SQ196380 ACM196337:ACM196380 AMI196337:AMI196380 AWE196337:AWE196380 BGA196337:BGA196380 BPW196337:BPW196380 BZS196337:BZS196380 CJO196337:CJO196380 CTK196337:CTK196380 DDG196337:DDG196380 DNC196337:DNC196380 DWY196337:DWY196380 EGU196337:EGU196380 EQQ196337:EQQ196380 FAM196337:FAM196380 FKI196337:FKI196380 FUE196337:FUE196380 GEA196337:GEA196380 GNW196337:GNW196380 GXS196337:GXS196380 HHO196337:HHO196380 HRK196337:HRK196380 IBG196337:IBG196380 ILC196337:ILC196380 IUY196337:IUY196380 JEU196337:JEU196380 JOQ196337:JOQ196380 JYM196337:JYM196380 KII196337:KII196380 KSE196337:KSE196380 LCA196337:LCA196380 LLW196337:LLW196380 LVS196337:LVS196380 MFO196337:MFO196380 MPK196337:MPK196380 MZG196337:MZG196380 NJC196337:NJC196380 NSY196337:NSY196380 OCU196337:OCU196380 OMQ196337:OMQ196380 OWM196337:OWM196380 PGI196337:PGI196380 PQE196337:PQE196380 QAA196337:QAA196380 QJW196337:QJW196380 QTS196337:QTS196380 RDO196337:RDO196380 RNK196337:RNK196380 RXG196337:RXG196380 SHC196337:SHC196380 SQY196337:SQY196380 TAU196337:TAU196380 TKQ196337:TKQ196380 TUM196337:TUM196380 UEI196337:UEI196380 UOE196337:UOE196380 UYA196337:UYA196380 VHW196337:VHW196380 VRS196337:VRS196380 WBO196337:WBO196380 WLK196337:WLK196380 WVG196337:WVG196380 IU261873:IU261916 SQ261873:SQ261916 ACM261873:ACM261916 AMI261873:AMI261916 AWE261873:AWE261916 BGA261873:BGA261916 BPW261873:BPW261916 BZS261873:BZS261916 CJO261873:CJO261916 CTK261873:CTK261916 DDG261873:DDG261916 DNC261873:DNC261916 DWY261873:DWY261916 EGU261873:EGU261916 EQQ261873:EQQ261916 FAM261873:FAM261916 FKI261873:FKI261916 FUE261873:FUE261916 GEA261873:GEA261916 GNW261873:GNW261916 GXS261873:GXS261916 HHO261873:HHO261916 HRK261873:HRK261916 IBG261873:IBG261916 ILC261873:ILC261916 IUY261873:IUY261916 JEU261873:JEU261916 JOQ261873:JOQ261916 JYM261873:JYM261916 KII261873:KII261916 KSE261873:KSE261916 LCA261873:LCA261916 LLW261873:LLW261916 LVS261873:LVS261916 MFO261873:MFO261916 MPK261873:MPK261916 MZG261873:MZG261916 NJC261873:NJC261916 NSY261873:NSY261916 OCU261873:OCU261916 OMQ261873:OMQ261916 OWM261873:OWM261916 PGI261873:PGI261916 PQE261873:PQE261916 QAA261873:QAA261916 QJW261873:QJW261916 QTS261873:QTS261916 RDO261873:RDO261916 RNK261873:RNK261916 RXG261873:RXG261916 SHC261873:SHC261916 SQY261873:SQY261916 TAU261873:TAU261916 TKQ261873:TKQ261916 TUM261873:TUM261916 UEI261873:UEI261916 UOE261873:UOE261916 UYA261873:UYA261916 VHW261873:VHW261916 VRS261873:VRS261916 WBO261873:WBO261916 WLK261873:WLK261916 WVG261873:WVG261916 IU327409:IU327452 SQ327409:SQ327452 ACM327409:ACM327452 AMI327409:AMI327452 AWE327409:AWE327452 BGA327409:BGA327452 BPW327409:BPW327452 BZS327409:BZS327452 CJO327409:CJO327452 CTK327409:CTK327452 DDG327409:DDG327452 DNC327409:DNC327452 DWY327409:DWY327452 EGU327409:EGU327452 EQQ327409:EQQ327452 FAM327409:FAM327452 FKI327409:FKI327452 FUE327409:FUE327452 GEA327409:GEA327452 GNW327409:GNW327452 GXS327409:GXS327452 HHO327409:HHO327452 HRK327409:HRK327452 IBG327409:IBG327452 ILC327409:ILC327452 IUY327409:IUY327452 JEU327409:JEU327452 JOQ327409:JOQ327452 JYM327409:JYM327452 KII327409:KII327452 KSE327409:KSE327452 LCA327409:LCA327452 LLW327409:LLW327452 LVS327409:LVS327452 MFO327409:MFO327452 MPK327409:MPK327452 MZG327409:MZG327452 NJC327409:NJC327452 NSY327409:NSY327452 OCU327409:OCU327452 OMQ327409:OMQ327452 OWM327409:OWM327452 PGI327409:PGI327452 PQE327409:PQE327452 QAA327409:QAA327452 QJW327409:QJW327452 QTS327409:QTS327452 RDO327409:RDO327452 RNK327409:RNK327452 RXG327409:RXG327452 SHC327409:SHC327452 SQY327409:SQY327452 TAU327409:TAU327452 TKQ327409:TKQ327452 TUM327409:TUM327452 UEI327409:UEI327452 UOE327409:UOE327452 UYA327409:UYA327452 VHW327409:VHW327452 VRS327409:VRS327452 WBO327409:WBO327452 WLK327409:WLK327452 WVG327409:WVG327452 IU392945:IU392988 SQ392945:SQ392988 ACM392945:ACM392988 AMI392945:AMI392988 AWE392945:AWE392988 BGA392945:BGA392988 BPW392945:BPW392988 BZS392945:BZS392988 CJO392945:CJO392988 CTK392945:CTK392988 DDG392945:DDG392988 DNC392945:DNC392988 DWY392945:DWY392988 EGU392945:EGU392988 EQQ392945:EQQ392988 FAM392945:FAM392988 FKI392945:FKI392988 FUE392945:FUE392988 GEA392945:GEA392988 GNW392945:GNW392988 GXS392945:GXS392988 HHO392945:HHO392988 HRK392945:HRK392988 IBG392945:IBG392988 ILC392945:ILC392988 IUY392945:IUY392988 JEU392945:JEU392988 JOQ392945:JOQ392988 JYM392945:JYM392988 KII392945:KII392988 KSE392945:KSE392988 LCA392945:LCA392988 LLW392945:LLW392988 LVS392945:LVS392988 MFO392945:MFO392988 MPK392945:MPK392988 MZG392945:MZG392988 NJC392945:NJC392988 NSY392945:NSY392988 OCU392945:OCU392988 OMQ392945:OMQ392988 OWM392945:OWM392988 PGI392945:PGI392988 PQE392945:PQE392988 QAA392945:QAA392988 QJW392945:QJW392988 QTS392945:QTS392988 RDO392945:RDO392988 RNK392945:RNK392988 RXG392945:RXG392988 SHC392945:SHC392988 SQY392945:SQY392988 TAU392945:TAU392988 TKQ392945:TKQ392988 TUM392945:TUM392988 UEI392945:UEI392988 UOE392945:UOE392988 UYA392945:UYA392988 VHW392945:VHW392988 VRS392945:VRS392988 WBO392945:WBO392988 WLK392945:WLK392988 WVG392945:WVG392988 IU458481:IU458524 SQ458481:SQ458524 ACM458481:ACM458524 AMI458481:AMI458524 AWE458481:AWE458524 BGA458481:BGA458524 BPW458481:BPW458524 BZS458481:BZS458524 CJO458481:CJO458524 CTK458481:CTK458524 DDG458481:DDG458524 DNC458481:DNC458524 DWY458481:DWY458524 EGU458481:EGU458524 EQQ458481:EQQ458524 FAM458481:FAM458524 FKI458481:FKI458524 FUE458481:FUE458524 GEA458481:GEA458524 GNW458481:GNW458524 GXS458481:GXS458524 HHO458481:HHO458524 HRK458481:HRK458524 IBG458481:IBG458524 ILC458481:ILC458524 IUY458481:IUY458524 JEU458481:JEU458524 JOQ458481:JOQ458524 JYM458481:JYM458524 KII458481:KII458524 KSE458481:KSE458524 LCA458481:LCA458524 LLW458481:LLW458524 LVS458481:LVS458524 MFO458481:MFO458524 MPK458481:MPK458524 MZG458481:MZG458524 NJC458481:NJC458524 NSY458481:NSY458524 OCU458481:OCU458524 OMQ458481:OMQ458524 OWM458481:OWM458524 PGI458481:PGI458524 PQE458481:PQE458524 QAA458481:QAA458524 QJW458481:QJW458524 QTS458481:QTS458524 RDO458481:RDO458524 RNK458481:RNK458524 RXG458481:RXG458524 SHC458481:SHC458524 SQY458481:SQY458524 TAU458481:TAU458524 TKQ458481:TKQ458524 TUM458481:TUM458524 UEI458481:UEI458524 UOE458481:UOE458524 UYA458481:UYA458524 VHW458481:VHW458524 VRS458481:VRS458524 WBO458481:WBO458524 WLK458481:WLK458524 WVG458481:WVG458524 IU524017:IU524060 SQ524017:SQ524060 ACM524017:ACM524060 AMI524017:AMI524060 AWE524017:AWE524060 BGA524017:BGA524060 BPW524017:BPW524060 BZS524017:BZS524060 CJO524017:CJO524060 CTK524017:CTK524060 DDG524017:DDG524060 DNC524017:DNC524060 DWY524017:DWY524060 EGU524017:EGU524060 EQQ524017:EQQ524060 FAM524017:FAM524060 FKI524017:FKI524060 FUE524017:FUE524060 GEA524017:GEA524060 GNW524017:GNW524060 GXS524017:GXS524060 HHO524017:HHO524060 HRK524017:HRK524060 IBG524017:IBG524060 ILC524017:ILC524060 IUY524017:IUY524060 JEU524017:JEU524060 JOQ524017:JOQ524060 JYM524017:JYM524060 KII524017:KII524060 KSE524017:KSE524060 LCA524017:LCA524060 LLW524017:LLW524060 LVS524017:LVS524060 MFO524017:MFO524060 MPK524017:MPK524060 MZG524017:MZG524060 NJC524017:NJC524060 NSY524017:NSY524060 OCU524017:OCU524060 OMQ524017:OMQ524060 OWM524017:OWM524060 PGI524017:PGI524060 PQE524017:PQE524060 QAA524017:QAA524060 QJW524017:QJW524060 QTS524017:QTS524060 RDO524017:RDO524060 RNK524017:RNK524060 RXG524017:RXG524060 SHC524017:SHC524060 SQY524017:SQY524060 TAU524017:TAU524060 TKQ524017:TKQ524060 TUM524017:TUM524060 UEI524017:UEI524060 UOE524017:UOE524060 UYA524017:UYA524060 VHW524017:VHW524060 VRS524017:VRS524060 WBO524017:WBO524060 WLK524017:WLK524060 WVG524017:WVG524060 IU589553:IU589596 SQ589553:SQ589596 ACM589553:ACM589596 AMI589553:AMI589596 AWE589553:AWE589596 BGA589553:BGA589596 BPW589553:BPW589596 BZS589553:BZS589596 CJO589553:CJO589596 CTK589553:CTK589596 DDG589553:DDG589596 DNC589553:DNC589596 DWY589553:DWY589596 EGU589553:EGU589596 EQQ589553:EQQ589596 FAM589553:FAM589596 FKI589553:FKI589596 FUE589553:FUE589596 GEA589553:GEA589596 GNW589553:GNW589596 GXS589553:GXS589596 HHO589553:HHO589596 HRK589553:HRK589596 IBG589553:IBG589596 ILC589553:ILC589596 IUY589553:IUY589596 JEU589553:JEU589596 JOQ589553:JOQ589596 JYM589553:JYM589596 KII589553:KII589596 KSE589553:KSE589596 LCA589553:LCA589596 LLW589553:LLW589596 LVS589553:LVS589596 MFO589553:MFO589596 MPK589553:MPK589596 MZG589553:MZG589596 NJC589553:NJC589596 NSY589553:NSY589596 OCU589553:OCU589596 OMQ589553:OMQ589596 OWM589553:OWM589596 PGI589553:PGI589596 PQE589553:PQE589596 QAA589553:QAA589596 QJW589553:QJW589596 QTS589553:QTS589596 RDO589553:RDO589596 RNK589553:RNK589596 RXG589553:RXG589596 SHC589553:SHC589596 SQY589553:SQY589596 TAU589553:TAU589596 TKQ589553:TKQ589596 TUM589553:TUM589596 UEI589553:UEI589596 UOE589553:UOE589596 UYA589553:UYA589596 VHW589553:VHW589596 VRS589553:VRS589596 WBO589553:WBO589596 WLK589553:WLK589596 WVG589553:WVG589596 IU655089:IU655132 SQ655089:SQ655132 ACM655089:ACM655132 AMI655089:AMI655132 AWE655089:AWE655132 BGA655089:BGA655132 BPW655089:BPW655132 BZS655089:BZS655132 CJO655089:CJO655132 CTK655089:CTK655132 DDG655089:DDG655132 DNC655089:DNC655132 DWY655089:DWY655132 EGU655089:EGU655132 EQQ655089:EQQ655132 FAM655089:FAM655132 FKI655089:FKI655132 FUE655089:FUE655132 GEA655089:GEA655132 GNW655089:GNW655132 GXS655089:GXS655132 HHO655089:HHO655132 HRK655089:HRK655132 IBG655089:IBG655132 ILC655089:ILC655132 IUY655089:IUY655132 JEU655089:JEU655132 JOQ655089:JOQ655132 JYM655089:JYM655132 KII655089:KII655132 KSE655089:KSE655132 LCA655089:LCA655132 LLW655089:LLW655132 LVS655089:LVS655132 MFO655089:MFO655132 MPK655089:MPK655132 MZG655089:MZG655132 NJC655089:NJC655132 NSY655089:NSY655132 OCU655089:OCU655132 OMQ655089:OMQ655132 OWM655089:OWM655132 PGI655089:PGI655132 PQE655089:PQE655132 QAA655089:QAA655132 QJW655089:QJW655132 QTS655089:QTS655132 RDO655089:RDO655132 RNK655089:RNK655132 RXG655089:RXG655132 SHC655089:SHC655132 SQY655089:SQY655132 TAU655089:TAU655132 TKQ655089:TKQ655132 TUM655089:TUM655132 UEI655089:UEI655132 UOE655089:UOE655132 UYA655089:UYA655132 VHW655089:VHW655132 VRS655089:VRS655132 WBO655089:WBO655132 WLK655089:WLK655132 WVG655089:WVG655132 IU720625:IU720668 SQ720625:SQ720668 ACM720625:ACM720668 AMI720625:AMI720668 AWE720625:AWE720668 BGA720625:BGA720668 BPW720625:BPW720668 BZS720625:BZS720668 CJO720625:CJO720668 CTK720625:CTK720668 DDG720625:DDG720668 DNC720625:DNC720668 DWY720625:DWY720668 EGU720625:EGU720668 EQQ720625:EQQ720668 FAM720625:FAM720668 FKI720625:FKI720668 FUE720625:FUE720668 GEA720625:GEA720668 GNW720625:GNW720668 GXS720625:GXS720668 HHO720625:HHO720668 HRK720625:HRK720668 IBG720625:IBG720668 ILC720625:ILC720668 IUY720625:IUY720668 JEU720625:JEU720668 JOQ720625:JOQ720668 JYM720625:JYM720668 KII720625:KII720668 KSE720625:KSE720668 LCA720625:LCA720668 LLW720625:LLW720668 LVS720625:LVS720668 MFO720625:MFO720668 MPK720625:MPK720668 MZG720625:MZG720668 NJC720625:NJC720668 NSY720625:NSY720668 OCU720625:OCU720668 OMQ720625:OMQ720668 OWM720625:OWM720668 PGI720625:PGI720668 PQE720625:PQE720668 QAA720625:QAA720668 QJW720625:QJW720668 QTS720625:QTS720668 RDO720625:RDO720668 RNK720625:RNK720668 RXG720625:RXG720668 SHC720625:SHC720668 SQY720625:SQY720668 TAU720625:TAU720668 TKQ720625:TKQ720668 TUM720625:TUM720668 UEI720625:UEI720668 UOE720625:UOE720668 UYA720625:UYA720668 VHW720625:VHW720668 VRS720625:VRS720668 WBO720625:WBO720668 WLK720625:WLK720668 WVG720625:WVG720668 IU786161:IU786204 SQ786161:SQ786204 ACM786161:ACM786204 AMI786161:AMI786204 AWE786161:AWE786204 BGA786161:BGA786204 BPW786161:BPW786204 BZS786161:BZS786204 CJO786161:CJO786204 CTK786161:CTK786204 DDG786161:DDG786204 DNC786161:DNC786204 DWY786161:DWY786204 EGU786161:EGU786204 EQQ786161:EQQ786204 FAM786161:FAM786204 FKI786161:FKI786204 FUE786161:FUE786204 GEA786161:GEA786204 GNW786161:GNW786204 GXS786161:GXS786204 HHO786161:HHO786204 HRK786161:HRK786204 IBG786161:IBG786204 ILC786161:ILC786204 IUY786161:IUY786204 JEU786161:JEU786204 JOQ786161:JOQ786204 JYM786161:JYM786204 KII786161:KII786204 KSE786161:KSE786204 LCA786161:LCA786204 LLW786161:LLW786204 LVS786161:LVS786204 MFO786161:MFO786204 MPK786161:MPK786204 MZG786161:MZG786204 NJC786161:NJC786204 NSY786161:NSY786204 OCU786161:OCU786204 OMQ786161:OMQ786204 OWM786161:OWM786204 PGI786161:PGI786204 PQE786161:PQE786204 QAA786161:QAA786204 QJW786161:QJW786204 QTS786161:QTS786204 RDO786161:RDO786204 RNK786161:RNK786204 RXG786161:RXG786204 SHC786161:SHC786204 SQY786161:SQY786204 TAU786161:TAU786204 TKQ786161:TKQ786204 TUM786161:TUM786204 UEI786161:UEI786204 UOE786161:UOE786204 UYA786161:UYA786204 VHW786161:VHW786204 VRS786161:VRS786204 WBO786161:WBO786204 WLK786161:WLK786204 WVG786161:WVG786204 IU851697:IU851740 SQ851697:SQ851740 ACM851697:ACM851740 AMI851697:AMI851740 AWE851697:AWE851740 BGA851697:BGA851740 BPW851697:BPW851740 BZS851697:BZS851740 CJO851697:CJO851740 CTK851697:CTK851740 DDG851697:DDG851740 DNC851697:DNC851740 DWY851697:DWY851740 EGU851697:EGU851740 EQQ851697:EQQ851740 FAM851697:FAM851740 FKI851697:FKI851740 FUE851697:FUE851740 GEA851697:GEA851740 GNW851697:GNW851740 GXS851697:GXS851740 HHO851697:HHO851740 HRK851697:HRK851740 IBG851697:IBG851740 ILC851697:ILC851740 IUY851697:IUY851740 JEU851697:JEU851740 JOQ851697:JOQ851740 JYM851697:JYM851740 KII851697:KII851740 KSE851697:KSE851740 LCA851697:LCA851740 LLW851697:LLW851740 LVS851697:LVS851740 MFO851697:MFO851740 MPK851697:MPK851740 MZG851697:MZG851740 NJC851697:NJC851740 NSY851697:NSY851740 OCU851697:OCU851740 OMQ851697:OMQ851740 OWM851697:OWM851740 PGI851697:PGI851740 PQE851697:PQE851740 QAA851697:QAA851740 QJW851697:QJW851740 QTS851697:QTS851740 RDO851697:RDO851740 RNK851697:RNK851740 RXG851697:RXG851740 SHC851697:SHC851740 SQY851697:SQY851740 TAU851697:TAU851740 TKQ851697:TKQ851740 TUM851697:TUM851740 UEI851697:UEI851740 UOE851697:UOE851740 UYA851697:UYA851740 VHW851697:VHW851740 VRS851697:VRS851740 WBO851697:WBO851740 WLK851697:WLK851740 WVG851697:WVG851740 IU917233:IU917276 SQ917233:SQ917276 ACM917233:ACM917276 AMI917233:AMI917276 AWE917233:AWE917276 BGA917233:BGA917276 BPW917233:BPW917276 BZS917233:BZS917276 CJO917233:CJO917276 CTK917233:CTK917276 DDG917233:DDG917276 DNC917233:DNC917276 DWY917233:DWY917276 EGU917233:EGU917276 EQQ917233:EQQ917276 FAM917233:FAM917276 FKI917233:FKI917276 FUE917233:FUE917276 GEA917233:GEA917276 GNW917233:GNW917276 GXS917233:GXS917276 HHO917233:HHO917276 HRK917233:HRK917276 IBG917233:IBG917276 ILC917233:ILC917276 IUY917233:IUY917276 JEU917233:JEU917276 JOQ917233:JOQ917276 JYM917233:JYM917276 KII917233:KII917276 KSE917233:KSE917276 LCA917233:LCA917276 LLW917233:LLW917276 LVS917233:LVS917276 MFO917233:MFO917276 MPK917233:MPK917276 MZG917233:MZG917276 NJC917233:NJC917276 NSY917233:NSY917276 OCU917233:OCU917276 OMQ917233:OMQ917276 OWM917233:OWM917276 PGI917233:PGI917276 PQE917233:PQE917276 QAA917233:QAA917276 QJW917233:QJW917276 QTS917233:QTS917276 RDO917233:RDO917276 RNK917233:RNK917276 RXG917233:RXG917276 SHC917233:SHC917276 SQY917233:SQY917276 TAU917233:TAU917276 TKQ917233:TKQ917276 TUM917233:TUM917276 UEI917233:UEI917276 UOE917233:UOE917276 UYA917233:UYA917276 VHW917233:VHW917276 VRS917233:VRS917276 WBO917233:WBO917276 WLK917233:WLK917276 WVG917233:WVG917276 IU982769:IU982812 SQ982769:SQ982812 ACM982769:ACM982812 AMI982769:AMI982812 AWE982769:AWE982812 BGA982769:BGA982812 BPW982769:BPW982812 BZS982769:BZS982812 CJO982769:CJO982812 CTK982769:CTK982812 DDG982769:DDG982812 DNC982769:DNC982812 DWY982769:DWY982812 EGU982769:EGU982812 EQQ982769:EQQ982812 FAM982769:FAM982812 FKI982769:FKI982812 FUE982769:FUE982812 GEA982769:GEA982812 GNW982769:GNW982812 GXS982769:GXS982812 HHO982769:HHO982812 HRK982769:HRK982812 IBG982769:IBG982812 ILC982769:ILC982812 IUY982769:IUY982812 JEU982769:JEU982812 JOQ982769:JOQ982812 JYM982769:JYM982812 KII982769:KII982812 KSE982769:KSE982812 LCA982769:LCA982812 LLW982769:LLW982812 LVS982769:LVS982812 MFO982769:MFO982812 MPK982769:MPK982812 MZG982769:MZG982812 NJC982769:NJC982812 NSY982769:NSY982812 OCU982769:OCU982812 OMQ982769:OMQ982812 OWM982769:OWM982812 PGI982769:PGI982812 PQE982769:PQE982812 QAA982769:QAA982812 QJW982769:QJW982812 QTS982769:QTS982812 RDO982769:RDO982812 RNK982769:RNK982812 RXG982769:RXG982812 SHC982769:SHC982812 SQY982769:SQY982812 TAU982769:TAU982812 TKQ982769:TKQ982812 TUM982769:TUM982812 UEI982769:UEI982812 UOE982769:UOE982812 UYA982769:UYA982812 VHW982769:VHW982812 VRS982769:VRS982812 WBO982769:WBO982812 WLK982769:WLK982812 WVG982769:WVG982812 IS65265:IS65308 SO65265:SO65308 ACK65265:ACK65308 AMG65265:AMG65308 AWC65265:AWC65308 BFY65265:BFY65308 BPU65265:BPU65308 BZQ65265:BZQ65308 CJM65265:CJM65308 CTI65265:CTI65308 DDE65265:DDE65308 DNA65265:DNA65308 DWW65265:DWW65308 EGS65265:EGS65308 EQO65265:EQO65308 FAK65265:FAK65308 FKG65265:FKG65308 FUC65265:FUC65308 GDY65265:GDY65308 GNU65265:GNU65308 GXQ65265:GXQ65308 HHM65265:HHM65308 HRI65265:HRI65308 IBE65265:IBE65308 ILA65265:ILA65308 IUW65265:IUW65308 JES65265:JES65308 JOO65265:JOO65308 JYK65265:JYK65308 KIG65265:KIG65308 KSC65265:KSC65308 LBY65265:LBY65308 LLU65265:LLU65308 LVQ65265:LVQ65308 MFM65265:MFM65308 MPI65265:MPI65308 MZE65265:MZE65308 NJA65265:NJA65308 NSW65265:NSW65308 OCS65265:OCS65308 OMO65265:OMO65308 OWK65265:OWK65308 PGG65265:PGG65308 PQC65265:PQC65308 PZY65265:PZY65308 QJU65265:QJU65308 QTQ65265:QTQ65308 RDM65265:RDM65308 RNI65265:RNI65308 RXE65265:RXE65308 SHA65265:SHA65308 SQW65265:SQW65308 TAS65265:TAS65308 TKO65265:TKO65308 TUK65265:TUK65308 UEG65265:UEG65308 UOC65265:UOC65308 UXY65265:UXY65308 VHU65265:VHU65308 VRQ65265:VRQ65308 WBM65265:WBM65308 WLI65265:WLI65308 WVE65265:WVE65308 IS130801:IS130844 SO130801:SO130844 ACK130801:ACK130844 AMG130801:AMG130844 AWC130801:AWC130844 BFY130801:BFY130844 BPU130801:BPU130844 BZQ130801:BZQ130844 CJM130801:CJM130844 CTI130801:CTI130844 DDE130801:DDE130844 DNA130801:DNA130844 DWW130801:DWW130844 EGS130801:EGS130844 EQO130801:EQO130844 FAK130801:FAK130844 FKG130801:FKG130844 FUC130801:FUC130844 GDY130801:GDY130844 GNU130801:GNU130844 GXQ130801:GXQ130844 HHM130801:HHM130844 HRI130801:HRI130844 IBE130801:IBE130844 ILA130801:ILA130844 IUW130801:IUW130844 JES130801:JES130844 JOO130801:JOO130844 JYK130801:JYK130844 KIG130801:KIG130844 KSC130801:KSC130844 LBY130801:LBY130844 LLU130801:LLU130844 LVQ130801:LVQ130844 MFM130801:MFM130844 MPI130801:MPI130844 MZE130801:MZE130844 NJA130801:NJA130844 NSW130801:NSW130844 OCS130801:OCS130844 OMO130801:OMO130844 OWK130801:OWK130844 PGG130801:PGG130844 PQC130801:PQC130844 PZY130801:PZY130844 QJU130801:QJU130844 QTQ130801:QTQ130844 RDM130801:RDM130844 RNI130801:RNI130844 RXE130801:RXE130844 SHA130801:SHA130844 SQW130801:SQW130844 TAS130801:TAS130844 TKO130801:TKO130844 TUK130801:TUK130844 UEG130801:UEG130844 UOC130801:UOC130844 UXY130801:UXY130844 VHU130801:VHU130844 VRQ130801:VRQ130844 WBM130801:WBM130844 WLI130801:WLI130844 WVE130801:WVE130844 IS196337:IS196380 SO196337:SO196380 ACK196337:ACK196380 AMG196337:AMG196380 AWC196337:AWC196380 BFY196337:BFY196380 BPU196337:BPU196380 BZQ196337:BZQ196380 CJM196337:CJM196380 CTI196337:CTI196380 DDE196337:DDE196380 DNA196337:DNA196380 DWW196337:DWW196380 EGS196337:EGS196380 EQO196337:EQO196380 FAK196337:FAK196380 FKG196337:FKG196380 FUC196337:FUC196380 GDY196337:GDY196380 GNU196337:GNU196380 GXQ196337:GXQ196380 HHM196337:HHM196380 HRI196337:HRI196380 IBE196337:IBE196380 ILA196337:ILA196380 IUW196337:IUW196380 JES196337:JES196380 JOO196337:JOO196380 JYK196337:JYK196380 KIG196337:KIG196380 KSC196337:KSC196380 LBY196337:LBY196380 LLU196337:LLU196380 LVQ196337:LVQ196380 MFM196337:MFM196380 MPI196337:MPI196380 MZE196337:MZE196380 NJA196337:NJA196380 NSW196337:NSW196380 OCS196337:OCS196380 OMO196337:OMO196380 OWK196337:OWK196380 PGG196337:PGG196380 PQC196337:PQC196380 PZY196337:PZY196380 QJU196337:QJU196380 QTQ196337:QTQ196380 RDM196337:RDM196380 RNI196337:RNI196380 RXE196337:RXE196380 SHA196337:SHA196380 SQW196337:SQW196380 TAS196337:TAS196380 TKO196337:TKO196380 TUK196337:TUK196380 UEG196337:UEG196380 UOC196337:UOC196380 UXY196337:UXY196380 VHU196337:VHU196380 VRQ196337:VRQ196380 WBM196337:WBM196380 WLI196337:WLI196380 WVE196337:WVE196380 IS261873:IS261916 SO261873:SO261916 ACK261873:ACK261916 AMG261873:AMG261916 AWC261873:AWC261916 BFY261873:BFY261916 BPU261873:BPU261916 BZQ261873:BZQ261916 CJM261873:CJM261916 CTI261873:CTI261916 DDE261873:DDE261916 DNA261873:DNA261916 DWW261873:DWW261916 EGS261873:EGS261916 EQO261873:EQO261916 FAK261873:FAK261916 FKG261873:FKG261916 FUC261873:FUC261916 GDY261873:GDY261916 GNU261873:GNU261916 GXQ261873:GXQ261916 HHM261873:HHM261916 HRI261873:HRI261916 IBE261873:IBE261916 ILA261873:ILA261916 IUW261873:IUW261916 JES261873:JES261916 JOO261873:JOO261916 JYK261873:JYK261916 KIG261873:KIG261916 KSC261873:KSC261916 LBY261873:LBY261916 LLU261873:LLU261916 LVQ261873:LVQ261916 MFM261873:MFM261916 MPI261873:MPI261916 MZE261873:MZE261916 NJA261873:NJA261916 NSW261873:NSW261916 OCS261873:OCS261916 OMO261873:OMO261916 OWK261873:OWK261916 PGG261873:PGG261916 PQC261873:PQC261916 PZY261873:PZY261916 QJU261873:QJU261916 QTQ261873:QTQ261916 RDM261873:RDM261916 RNI261873:RNI261916 RXE261873:RXE261916 SHA261873:SHA261916 SQW261873:SQW261916 TAS261873:TAS261916 TKO261873:TKO261916 TUK261873:TUK261916 UEG261873:UEG261916 UOC261873:UOC261916 UXY261873:UXY261916 VHU261873:VHU261916 VRQ261873:VRQ261916 WBM261873:WBM261916 WLI261873:WLI261916 WVE261873:WVE261916 IS327409:IS327452 SO327409:SO327452 ACK327409:ACK327452 AMG327409:AMG327452 AWC327409:AWC327452 BFY327409:BFY327452 BPU327409:BPU327452 BZQ327409:BZQ327452 CJM327409:CJM327452 CTI327409:CTI327452 DDE327409:DDE327452 DNA327409:DNA327452 DWW327409:DWW327452 EGS327409:EGS327452 EQO327409:EQO327452 FAK327409:FAK327452 FKG327409:FKG327452 FUC327409:FUC327452 GDY327409:GDY327452 GNU327409:GNU327452 GXQ327409:GXQ327452 HHM327409:HHM327452 HRI327409:HRI327452 IBE327409:IBE327452 ILA327409:ILA327452 IUW327409:IUW327452 JES327409:JES327452 JOO327409:JOO327452 JYK327409:JYK327452 KIG327409:KIG327452 KSC327409:KSC327452 LBY327409:LBY327452 LLU327409:LLU327452 LVQ327409:LVQ327452 MFM327409:MFM327452 MPI327409:MPI327452 MZE327409:MZE327452 NJA327409:NJA327452 NSW327409:NSW327452 OCS327409:OCS327452 OMO327409:OMO327452 OWK327409:OWK327452 PGG327409:PGG327452 PQC327409:PQC327452 PZY327409:PZY327452 QJU327409:QJU327452 QTQ327409:QTQ327452 RDM327409:RDM327452 RNI327409:RNI327452 RXE327409:RXE327452 SHA327409:SHA327452 SQW327409:SQW327452 TAS327409:TAS327452 TKO327409:TKO327452 TUK327409:TUK327452 UEG327409:UEG327452 UOC327409:UOC327452 UXY327409:UXY327452 VHU327409:VHU327452 VRQ327409:VRQ327452 WBM327409:WBM327452 WLI327409:WLI327452 WVE327409:WVE327452 IS392945:IS392988 SO392945:SO392988 ACK392945:ACK392988 AMG392945:AMG392988 AWC392945:AWC392988 BFY392945:BFY392988 BPU392945:BPU392988 BZQ392945:BZQ392988 CJM392945:CJM392988 CTI392945:CTI392988 DDE392945:DDE392988 DNA392945:DNA392988 DWW392945:DWW392988 EGS392945:EGS392988 EQO392945:EQO392988 FAK392945:FAK392988 FKG392945:FKG392988 FUC392945:FUC392988 GDY392945:GDY392988 GNU392945:GNU392988 GXQ392945:GXQ392988 HHM392945:HHM392988 HRI392945:HRI392988 IBE392945:IBE392988 ILA392945:ILA392988 IUW392945:IUW392988 JES392945:JES392988 JOO392945:JOO392988 JYK392945:JYK392988 KIG392945:KIG392988 KSC392945:KSC392988 LBY392945:LBY392988 LLU392945:LLU392988 LVQ392945:LVQ392988 MFM392945:MFM392988 MPI392945:MPI392988 MZE392945:MZE392988 NJA392945:NJA392988 NSW392945:NSW392988 OCS392945:OCS392988 OMO392945:OMO392988 OWK392945:OWK392988 PGG392945:PGG392988 PQC392945:PQC392988 PZY392945:PZY392988 QJU392945:QJU392988 QTQ392945:QTQ392988 RDM392945:RDM392988 RNI392945:RNI392988 RXE392945:RXE392988 SHA392945:SHA392988 SQW392945:SQW392988 TAS392945:TAS392988 TKO392945:TKO392988 TUK392945:TUK392988 UEG392945:UEG392988 UOC392945:UOC392988 UXY392945:UXY392988 VHU392945:VHU392988 VRQ392945:VRQ392988 WBM392945:WBM392988 WLI392945:WLI392988 WVE392945:WVE392988 IS458481:IS458524 SO458481:SO458524 ACK458481:ACK458524 AMG458481:AMG458524 AWC458481:AWC458524 BFY458481:BFY458524 BPU458481:BPU458524 BZQ458481:BZQ458524 CJM458481:CJM458524 CTI458481:CTI458524 DDE458481:DDE458524 DNA458481:DNA458524 DWW458481:DWW458524 EGS458481:EGS458524 EQO458481:EQO458524 FAK458481:FAK458524 FKG458481:FKG458524 FUC458481:FUC458524 GDY458481:GDY458524 GNU458481:GNU458524 GXQ458481:GXQ458524 HHM458481:HHM458524 HRI458481:HRI458524 IBE458481:IBE458524 ILA458481:ILA458524 IUW458481:IUW458524 JES458481:JES458524 JOO458481:JOO458524 JYK458481:JYK458524 KIG458481:KIG458524 KSC458481:KSC458524 LBY458481:LBY458524 LLU458481:LLU458524 LVQ458481:LVQ458524 MFM458481:MFM458524 MPI458481:MPI458524 MZE458481:MZE458524 NJA458481:NJA458524 NSW458481:NSW458524 OCS458481:OCS458524 OMO458481:OMO458524 OWK458481:OWK458524 PGG458481:PGG458524 PQC458481:PQC458524 PZY458481:PZY458524 QJU458481:QJU458524 QTQ458481:QTQ458524 RDM458481:RDM458524 RNI458481:RNI458524 RXE458481:RXE458524 SHA458481:SHA458524 SQW458481:SQW458524 TAS458481:TAS458524 TKO458481:TKO458524 TUK458481:TUK458524 UEG458481:UEG458524 UOC458481:UOC458524 UXY458481:UXY458524 VHU458481:VHU458524 VRQ458481:VRQ458524 WBM458481:WBM458524 WLI458481:WLI458524 WVE458481:WVE458524 IS524017:IS524060 SO524017:SO524060 ACK524017:ACK524060 AMG524017:AMG524060 AWC524017:AWC524060 BFY524017:BFY524060 BPU524017:BPU524060 BZQ524017:BZQ524060 CJM524017:CJM524060 CTI524017:CTI524060 DDE524017:DDE524060 DNA524017:DNA524060 DWW524017:DWW524060 EGS524017:EGS524060 EQO524017:EQO524060 FAK524017:FAK524060 FKG524017:FKG524060 FUC524017:FUC524060 GDY524017:GDY524060 GNU524017:GNU524060 GXQ524017:GXQ524060 HHM524017:HHM524060 HRI524017:HRI524060 IBE524017:IBE524060 ILA524017:ILA524060 IUW524017:IUW524060 JES524017:JES524060 JOO524017:JOO524060 JYK524017:JYK524060 KIG524017:KIG524060 KSC524017:KSC524060 LBY524017:LBY524060 LLU524017:LLU524060 LVQ524017:LVQ524060 MFM524017:MFM524060 MPI524017:MPI524060 MZE524017:MZE524060 NJA524017:NJA524060 NSW524017:NSW524060 OCS524017:OCS524060 OMO524017:OMO524060 OWK524017:OWK524060 PGG524017:PGG524060 PQC524017:PQC524060 PZY524017:PZY524060 QJU524017:QJU524060 QTQ524017:QTQ524060 RDM524017:RDM524060 RNI524017:RNI524060 RXE524017:RXE524060 SHA524017:SHA524060 SQW524017:SQW524060 TAS524017:TAS524060 TKO524017:TKO524060 TUK524017:TUK524060 UEG524017:UEG524060 UOC524017:UOC524060 UXY524017:UXY524060 VHU524017:VHU524060 VRQ524017:VRQ524060 WBM524017:WBM524060 WLI524017:WLI524060 WVE524017:WVE524060 IS589553:IS589596 SO589553:SO589596 ACK589553:ACK589596 AMG589553:AMG589596 AWC589553:AWC589596 BFY589553:BFY589596 BPU589553:BPU589596 BZQ589553:BZQ589596 CJM589553:CJM589596 CTI589553:CTI589596 DDE589553:DDE589596 DNA589553:DNA589596 DWW589553:DWW589596 EGS589553:EGS589596 EQO589553:EQO589596 FAK589553:FAK589596 FKG589553:FKG589596 FUC589553:FUC589596 GDY589553:GDY589596 GNU589553:GNU589596 GXQ589553:GXQ589596 HHM589553:HHM589596 HRI589553:HRI589596 IBE589553:IBE589596 ILA589553:ILA589596 IUW589553:IUW589596 JES589553:JES589596 JOO589553:JOO589596 JYK589553:JYK589596 KIG589553:KIG589596 KSC589553:KSC589596 LBY589553:LBY589596 LLU589553:LLU589596 LVQ589553:LVQ589596 MFM589553:MFM589596 MPI589553:MPI589596 MZE589553:MZE589596 NJA589553:NJA589596 NSW589553:NSW589596 OCS589553:OCS589596 OMO589553:OMO589596 OWK589553:OWK589596 PGG589553:PGG589596 PQC589553:PQC589596 PZY589553:PZY589596 QJU589553:QJU589596 QTQ589553:QTQ589596 RDM589553:RDM589596 RNI589553:RNI589596 RXE589553:RXE589596 SHA589553:SHA589596 SQW589553:SQW589596 TAS589553:TAS589596 TKO589553:TKO589596 TUK589553:TUK589596 UEG589553:UEG589596 UOC589553:UOC589596 UXY589553:UXY589596 VHU589553:VHU589596 VRQ589553:VRQ589596 WBM589553:WBM589596 WLI589553:WLI589596 WVE589553:WVE589596 IS655089:IS655132 SO655089:SO655132 ACK655089:ACK655132 AMG655089:AMG655132 AWC655089:AWC655132 BFY655089:BFY655132 BPU655089:BPU655132 BZQ655089:BZQ655132 CJM655089:CJM655132 CTI655089:CTI655132 DDE655089:DDE655132 DNA655089:DNA655132 DWW655089:DWW655132 EGS655089:EGS655132 EQO655089:EQO655132 FAK655089:FAK655132 FKG655089:FKG655132 FUC655089:FUC655132 GDY655089:GDY655132 GNU655089:GNU655132 GXQ655089:GXQ655132 HHM655089:HHM655132 HRI655089:HRI655132 IBE655089:IBE655132 ILA655089:ILA655132 IUW655089:IUW655132 JES655089:JES655132 JOO655089:JOO655132 JYK655089:JYK655132 KIG655089:KIG655132 KSC655089:KSC655132 LBY655089:LBY655132 LLU655089:LLU655132 LVQ655089:LVQ655132 MFM655089:MFM655132 MPI655089:MPI655132 MZE655089:MZE655132 NJA655089:NJA655132 NSW655089:NSW655132 OCS655089:OCS655132 OMO655089:OMO655132 OWK655089:OWK655132 PGG655089:PGG655132 PQC655089:PQC655132 PZY655089:PZY655132 QJU655089:QJU655132 QTQ655089:QTQ655132 RDM655089:RDM655132 RNI655089:RNI655132 RXE655089:RXE655132 SHA655089:SHA655132 SQW655089:SQW655132 TAS655089:TAS655132 TKO655089:TKO655132 TUK655089:TUK655132 UEG655089:UEG655132 UOC655089:UOC655132 UXY655089:UXY655132 VHU655089:VHU655132 VRQ655089:VRQ655132 WBM655089:WBM655132 WLI655089:WLI655132 WVE655089:WVE655132 IS720625:IS720668 SO720625:SO720668 ACK720625:ACK720668 AMG720625:AMG720668 AWC720625:AWC720668 BFY720625:BFY720668 BPU720625:BPU720668 BZQ720625:BZQ720668 CJM720625:CJM720668 CTI720625:CTI720668 DDE720625:DDE720668 DNA720625:DNA720668 DWW720625:DWW720668 EGS720625:EGS720668 EQO720625:EQO720668 FAK720625:FAK720668 FKG720625:FKG720668 FUC720625:FUC720668 GDY720625:GDY720668 GNU720625:GNU720668 GXQ720625:GXQ720668 HHM720625:HHM720668 HRI720625:HRI720668 IBE720625:IBE720668 ILA720625:ILA720668 IUW720625:IUW720668 JES720625:JES720668 JOO720625:JOO720668 JYK720625:JYK720668 KIG720625:KIG720668 KSC720625:KSC720668 LBY720625:LBY720668 LLU720625:LLU720668 LVQ720625:LVQ720668 MFM720625:MFM720668 MPI720625:MPI720668 MZE720625:MZE720668 NJA720625:NJA720668 NSW720625:NSW720668 OCS720625:OCS720668 OMO720625:OMO720668 OWK720625:OWK720668 PGG720625:PGG720668 PQC720625:PQC720668 PZY720625:PZY720668 QJU720625:QJU720668 QTQ720625:QTQ720668 RDM720625:RDM720668 RNI720625:RNI720668 RXE720625:RXE720668 SHA720625:SHA720668 SQW720625:SQW720668 TAS720625:TAS720668 TKO720625:TKO720668 TUK720625:TUK720668 UEG720625:UEG720668 UOC720625:UOC720668 UXY720625:UXY720668 VHU720625:VHU720668 VRQ720625:VRQ720668 WBM720625:WBM720668 WLI720625:WLI720668 WVE720625:WVE720668 IS786161:IS786204 SO786161:SO786204 ACK786161:ACK786204 AMG786161:AMG786204 AWC786161:AWC786204 BFY786161:BFY786204 BPU786161:BPU786204 BZQ786161:BZQ786204 CJM786161:CJM786204 CTI786161:CTI786204 DDE786161:DDE786204 DNA786161:DNA786204 DWW786161:DWW786204 EGS786161:EGS786204 EQO786161:EQO786204 FAK786161:FAK786204 FKG786161:FKG786204 FUC786161:FUC786204 GDY786161:GDY786204 GNU786161:GNU786204 GXQ786161:GXQ786204 HHM786161:HHM786204 HRI786161:HRI786204 IBE786161:IBE786204 ILA786161:ILA786204 IUW786161:IUW786204 JES786161:JES786204 JOO786161:JOO786204 JYK786161:JYK786204 KIG786161:KIG786204 KSC786161:KSC786204 LBY786161:LBY786204 LLU786161:LLU786204 LVQ786161:LVQ786204 MFM786161:MFM786204 MPI786161:MPI786204 MZE786161:MZE786204 NJA786161:NJA786204 NSW786161:NSW786204 OCS786161:OCS786204 OMO786161:OMO786204 OWK786161:OWK786204 PGG786161:PGG786204 PQC786161:PQC786204 PZY786161:PZY786204 QJU786161:QJU786204 QTQ786161:QTQ786204 RDM786161:RDM786204 RNI786161:RNI786204 RXE786161:RXE786204 SHA786161:SHA786204 SQW786161:SQW786204 TAS786161:TAS786204 TKO786161:TKO786204 TUK786161:TUK786204 UEG786161:UEG786204 UOC786161:UOC786204 UXY786161:UXY786204 VHU786161:VHU786204 VRQ786161:VRQ786204 WBM786161:WBM786204 WLI786161:WLI786204 WVE786161:WVE786204 IS851697:IS851740 SO851697:SO851740 ACK851697:ACK851740 AMG851697:AMG851740 AWC851697:AWC851740 BFY851697:BFY851740 BPU851697:BPU851740 BZQ851697:BZQ851740 CJM851697:CJM851740 CTI851697:CTI851740 DDE851697:DDE851740 DNA851697:DNA851740 DWW851697:DWW851740 EGS851697:EGS851740 EQO851697:EQO851740 FAK851697:FAK851740 FKG851697:FKG851740 FUC851697:FUC851740 GDY851697:GDY851740 GNU851697:GNU851740 GXQ851697:GXQ851740 HHM851697:HHM851740 HRI851697:HRI851740 IBE851697:IBE851740 ILA851697:ILA851740 IUW851697:IUW851740 JES851697:JES851740 JOO851697:JOO851740 JYK851697:JYK851740 KIG851697:KIG851740 KSC851697:KSC851740 LBY851697:LBY851740 LLU851697:LLU851740 LVQ851697:LVQ851740 MFM851697:MFM851740 MPI851697:MPI851740 MZE851697:MZE851740 NJA851697:NJA851740 NSW851697:NSW851740 OCS851697:OCS851740 OMO851697:OMO851740 OWK851697:OWK851740 PGG851697:PGG851740 PQC851697:PQC851740 PZY851697:PZY851740 QJU851697:QJU851740 QTQ851697:QTQ851740 RDM851697:RDM851740 RNI851697:RNI851740 RXE851697:RXE851740 SHA851697:SHA851740 SQW851697:SQW851740 TAS851697:TAS851740 TKO851697:TKO851740 TUK851697:TUK851740 UEG851697:UEG851740 UOC851697:UOC851740 UXY851697:UXY851740 VHU851697:VHU851740 VRQ851697:VRQ851740 WBM851697:WBM851740 WLI851697:WLI851740 WVE851697:WVE851740 IS917233:IS917276 SO917233:SO917276 ACK917233:ACK917276 AMG917233:AMG917276 AWC917233:AWC917276 BFY917233:BFY917276 BPU917233:BPU917276 BZQ917233:BZQ917276 CJM917233:CJM917276 CTI917233:CTI917276 DDE917233:DDE917276 DNA917233:DNA917276 DWW917233:DWW917276 EGS917233:EGS917276 EQO917233:EQO917276 FAK917233:FAK917276 FKG917233:FKG917276 FUC917233:FUC917276 GDY917233:GDY917276 GNU917233:GNU917276 GXQ917233:GXQ917276 HHM917233:HHM917276 HRI917233:HRI917276 IBE917233:IBE917276 ILA917233:ILA917276 IUW917233:IUW917276 JES917233:JES917276 JOO917233:JOO917276 JYK917233:JYK917276 KIG917233:KIG917276 KSC917233:KSC917276 LBY917233:LBY917276 LLU917233:LLU917276 LVQ917233:LVQ917276 MFM917233:MFM917276 MPI917233:MPI917276 MZE917233:MZE917276 NJA917233:NJA917276 NSW917233:NSW917276 OCS917233:OCS917276 OMO917233:OMO917276 OWK917233:OWK917276 PGG917233:PGG917276 PQC917233:PQC917276 PZY917233:PZY917276 QJU917233:QJU917276 QTQ917233:QTQ917276 RDM917233:RDM917276 RNI917233:RNI917276 RXE917233:RXE917276 SHA917233:SHA917276 SQW917233:SQW917276 TAS917233:TAS917276 TKO917233:TKO917276 TUK917233:TUK917276 UEG917233:UEG917276 UOC917233:UOC917276 UXY917233:UXY917276 VHU917233:VHU917276 VRQ917233:VRQ917276 WBM917233:WBM917276 WLI917233:WLI917276 WVE917233:WVE917276 IS982769:IS982812 SO982769:SO982812 ACK982769:ACK982812 AMG982769:AMG982812 AWC982769:AWC982812 BFY982769:BFY982812 BPU982769:BPU982812 BZQ982769:BZQ982812 CJM982769:CJM982812 CTI982769:CTI982812 DDE982769:DDE982812 DNA982769:DNA982812 DWW982769:DWW982812 EGS982769:EGS982812 EQO982769:EQO982812 FAK982769:FAK982812 FKG982769:FKG982812 FUC982769:FUC982812 GDY982769:GDY982812 GNU982769:GNU982812 GXQ982769:GXQ982812 HHM982769:HHM982812 HRI982769:HRI982812 IBE982769:IBE982812 ILA982769:ILA982812 IUW982769:IUW982812 JES982769:JES982812 JOO982769:JOO982812 JYK982769:JYK982812 KIG982769:KIG982812 KSC982769:KSC982812 LBY982769:LBY982812 LLU982769:LLU982812 LVQ982769:LVQ982812 MFM982769:MFM982812 MPI982769:MPI982812 MZE982769:MZE982812 NJA982769:NJA982812 NSW982769:NSW982812 OCS982769:OCS982812 OMO982769:OMO982812 OWK982769:OWK982812 PGG982769:PGG982812 PQC982769:PQC982812 PZY982769:PZY982812 QJU982769:QJU982812 QTQ982769:QTQ982812 RDM982769:RDM982812 RNI982769:RNI982812 RXE982769:RXE982812 SHA982769:SHA982812 SQW982769:SQW982812 TAS982769:TAS982812 TKO982769:TKO982812 TUK982769:TUK982812 UEG982769:UEG982812 UOC982769:UOC982812 UXY982769:UXY982812 VHU982769:VHU982812 VRQ982769:VRQ982812 WBM982769:WBM982812 WLI982769:WLI982812 WVE10:WVE15 WLI10:WLI15 WBM10:WBM15 VRQ10:VRQ15 VHU10:VHU15 UXY10:UXY15 UOC10:UOC15 UEG10:UEG15 TUK10:TUK15 TKO10:TKO15 TAS10:TAS15 SQW10:SQW15 SHA10:SHA15 RXE10:RXE15 RNI10:RNI15 RDM10:RDM15 QTQ10:QTQ15 QJU10:QJU15 PZY10:PZY15 PQC10:PQC15 PGG10:PGG15 OWK10:OWK15 OMO10:OMO15 OCS10:OCS15 NSW10:NSW15 NJA10:NJA15 MZE10:MZE15 MPI10:MPI15 MFM10:MFM15 LVQ10:LVQ15 LLU10:LLU15 LBY10:LBY15 KSC10:KSC15 KIG10:KIG15 JYK10:JYK15 JOO10:JOO15 JES10:JES15 IUW10:IUW15 ILA10:ILA15 IBE10:IBE15 HRI10:HRI15 HHM10:HHM15 GXQ10:GXQ15 GNU10:GNU15 GDY10:GDY15 FUC10:FUC15 FKG10:FKG15 FAK10:FAK15 EQO10:EQO15 EGS10:EGS15 DWW10:DWW15 DNA10:DNA15 DDE10:DDE15 CTI10:CTI15 CJM10:CJM15 BZQ10:BZQ15 BPU10:BPU15 BFY10:BFY15 AWC10:AWC15 AMG10:AMG15 ACK10:ACK15 SO10:SO15 IS10:IS15 WVG10:WVG15 WLK10:WLK15 WBO10:WBO15 VRS10:VRS15 VHW10:VHW15 UYA10:UYA15 UOE10:UOE15 UEI10:UEI15 TUM10:TUM15 TKQ10:TKQ15 TAU10:TAU15 SQY10:SQY15 SHC10:SHC15 RXG10:RXG15 RNK10:RNK15 RDO10:RDO15 QTS10:QTS15 QJW10:QJW15 QAA10:QAA15 PQE10:PQE15 PGI10:PGI15 OWM10:OWM15 OMQ10:OMQ15 OCU10:OCU15 NSY10:NSY15 NJC10:NJC15 MZG10:MZG15 MPK10:MPK15 MFO10:MFO15 LVS10:LVS15 LLW10:LLW15 LCA10:LCA15 KSE10:KSE15 KII10:KII15 JYM10:JYM15 JOQ10:JOQ15 JEU10:JEU15 IUY10:IUY15 ILC10:ILC15 IBG10:IBG15 HRK10:HRK15 HHO10:HHO15 GXS10:GXS15 GNW10:GNW15 GEA10:GEA15 FUE10:FUE15 FKI10:FKI15 FAM10:FAM15 EQQ10:EQQ15 EGU10:EGU15 DWY10:DWY15 DNC10:DNC15 DDG10:DDG15 CTK10:CTK15 CJO10:CJO15 BZS10:BZS15 BPW10:BPW15 BGA10:BGA15 AWE10:AWE15 AMI10:AMI15 ACM10:ACM15 SQ10:SQ15 IU10:IU15 WUY982769:WVC982812 IM65265:IQ65308 SI65265:SM65308 ACE65265:ACI65308 AMA65265:AME65308 AVW65265:AWA65308 BFS65265:BFW65308 BPO65265:BPS65308 BZK65265:BZO65308 CJG65265:CJK65308 CTC65265:CTG65308 DCY65265:DDC65308 DMU65265:DMY65308 DWQ65265:DWU65308 EGM65265:EGQ65308 EQI65265:EQM65308 FAE65265:FAI65308 FKA65265:FKE65308 FTW65265:FUA65308 GDS65265:GDW65308 GNO65265:GNS65308 GXK65265:GXO65308 HHG65265:HHK65308 HRC65265:HRG65308 IAY65265:IBC65308 IKU65265:IKY65308 IUQ65265:IUU65308 JEM65265:JEQ65308 JOI65265:JOM65308 JYE65265:JYI65308 KIA65265:KIE65308 KRW65265:KSA65308 LBS65265:LBW65308 LLO65265:LLS65308 LVK65265:LVO65308 MFG65265:MFK65308 MPC65265:MPG65308 MYY65265:MZC65308 NIU65265:NIY65308 NSQ65265:NSU65308 OCM65265:OCQ65308 OMI65265:OMM65308 OWE65265:OWI65308 PGA65265:PGE65308 PPW65265:PQA65308 PZS65265:PZW65308 QJO65265:QJS65308 QTK65265:QTO65308 RDG65265:RDK65308 RNC65265:RNG65308 RWY65265:RXC65308 SGU65265:SGY65308 SQQ65265:SQU65308 TAM65265:TAQ65308 TKI65265:TKM65308 TUE65265:TUI65308 UEA65265:UEE65308 UNW65265:UOA65308 UXS65265:UXW65308 VHO65265:VHS65308 VRK65265:VRO65308 WBG65265:WBK65308 WLC65265:WLG65308 WUY65265:WVC65308 IM130801:IQ130844 SI130801:SM130844 ACE130801:ACI130844 AMA130801:AME130844 AVW130801:AWA130844 BFS130801:BFW130844 BPO130801:BPS130844 BZK130801:BZO130844 CJG130801:CJK130844 CTC130801:CTG130844 DCY130801:DDC130844 DMU130801:DMY130844 DWQ130801:DWU130844 EGM130801:EGQ130844 EQI130801:EQM130844 FAE130801:FAI130844 FKA130801:FKE130844 FTW130801:FUA130844 GDS130801:GDW130844 GNO130801:GNS130844 GXK130801:GXO130844 HHG130801:HHK130844 HRC130801:HRG130844 IAY130801:IBC130844 IKU130801:IKY130844 IUQ130801:IUU130844 JEM130801:JEQ130844 JOI130801:JOM130844 JYE130801:JYI130844 KIA130801:KIE130844 KRW130801:KSA130844 LBS130801:LBW130844 LLO130801:LLS130844 LVK130801:LVO130844 MFG130801:MFK130844 MPC130801:MPG130844 MYY130801:MZC130844 NIU130801:NIY130844 NSQ130801:NSU130844 OCM130801:OCQ130844 OMI130801:OMM130844 OWE130801:OWI130844 PGA130801:PGE130844 PPW130801:PQA130844 PZS130801:PZW130844 QJO130801:QJS130844 QTK130801:QTO130844 RDG130801:RDK130844 RNC130801:RNG130844 RWY130801:RXC130844 SGU130801:SGY130844 SQQ130801:SQU130844 TAM130801:TAQ130844 TKI130801:TKM130844 TUE130801:TUI130844 UEA130801:UEE130844 UNW130801:UOA130844 UXS130801:UXW130844 VHO130801:VHS130844 VRK130801:VRO130844 WBG130801:WBK130844 WLC130801:WLG130844 WUY130801:WVC130844 IM196337:IQ196380 SI196337:SM196380 ACE196337:ACI196380 AMA196337:AME196380 AVW196337:AWA196380 BFS196337:BFW196380 BPO196337:BPS196380 BZK196337:BZO196380 CJG196337:CJK196380 CTC196337:CTG196380 DCY196337:DDC196380 DMU196337:DMY196380 DWQ196337:DWU196380 EGM196337:EGQ196380 EQI196337:EQM196380 FAE196337:FAI196380 FKA196337:FKE196380 FTW196337:FUA196380 GDS196337:GDW196380 GNO196337:GNS196380 GXK196337:GXO196380 HHG196337:HHK196380 HRC196337:HRG196380 IAY196337:IBC196380 IKU196337:IKY196380 IUQ196337:IUU196380 JEM196337:JEQ196380 JOI196337:JOM196380 JYE196337:JYI196380 KIA196337:KIE196380 KRW196337:KSA196380 LBS196337:LBW196380 LLO196337:LLS196380 LVK196337:LVO196380 MFG196337:MFK196380 MPC196337:MPG196380 MYY196337:MZC196380 NIU196337:NIY196380 NSQ196337:NSU196380 OCM196337:OCQ196380 OMI196337:OMM196380 OWE196337:OWI196380 PGA196337:PGE196380 PPW196337:PQA196380 PZS196337:PZW196380 QJO196337:QJS196380 QTK196337:QTO196380 RDG196337:RDK196380 RNC196337:RNG196380 RWY196337:RXC196380 SGU196337:SGY196380 SQQ196337:SQU196380 TAM196337:TAQ196380 TKI196337:TKM196380 TUE196337:TUI196380 UEA196337:UEE196380 UNW196337:UOA196380 UXS196337:UXW196380 VHO196337:VHS196380 VRK196337:VRO196380 WBG196337:WBK196380 WLC196337:WLG196380 WUY196337:WVC196380 IM261873:IQ261916 SI261873:SM261916 ACE261873:ACI261916 AMA261873:AME261916 AVW261873:AWA261916 BFS261873:BFW261916 BPO261873:BPS261916 BZK261873:BZO261916 CJG261873:CJK261916 CTC261873:CTG261916 DCY261873:DDC261916 DMU261873:DMY261916 DWQ261873:DWU261916 EGM261873:EGQ261916 EQI261873:EQM261916 FAE261873:FAI261916 FKA261873:FKE261916 FTW261873:FUA261916 GDS261873:GDW261916 GNO261873:GNS261916 GXK261873:GXO261916 HHG261873:HHK261916 HRC261873:HRG261916 IAY261873:IBC261916 IKU261873:IKY261916 IUQ261873:IUU261916 JEM261873:JEQ261916 JOI261873:JOM261916 JYE261873:JYI261916 KIA261873:KIE261916 KRW261873:KSA261916 LBS261873:LBW261916 LLO261873:LLS261916 LVK261873:LVO261916 MFG261873:MFK261916 MPC261873:MPG261916 MYY261873:MZC261916 NIU261873:NIY261916 NSQ261873:NSU261916 OCM261873:OCQ261916 OMI261873:OMM261916 OWE261873:OWI261916 PGA261873:PGE261916 PPW261873:PQA261916 PZS261873:PZW261916 QJO261873:QJS261916 QTK261873:QTO261916 RDG261873:RDK261916 RNC261873:RNG261916 RWY261873:RXC261916 SGU261873:SGY261916 SQQ261873:SQU261916 TAM261873:TAQ261916 TKI261873:TKM261916 TUE261873:TUI261916 UEA261873:UEE261916 UNW261873:UOA261916 UXS261873:UXW261916 VHO261873:VHS261916 VRK261873:VRO261916 WBG261873:WBK261916 WLC261873:WLG261916 WUY261873:WVC261916 IM327409:IQ327452 SI327409:SM327452 ACE327409:ACI327452 AMA327409:AME327452 AVW327409:AWA327452 BFS327409:BFW327452 BPO327409:BPS327452 BZK327409:BZO327452 CJG327409:CJK327452 CTC327409:CTG327452 DCY327409:DDC327452 DMU327409:DMY327452 DWQ327409:DWU327452 EGM327409:EGQ327452 EQI327409:EQM327452 FAE327409:FAI327452 FKA327409:FKE327452 FTW327409:FUA327452 GDS327409:GDW327452 GNO327409:GNS327452 GXK327409:GXO327452 HHG327409:HHK327452 HRC327409:HRG327452 IAY327409:IBC327452 IKU327409:IKY327452 IUQ327409:IUU327452 JEM327409:JEQ327452 JOI327409:JOM327452 JYE327409:JYI327452 KIA327409:KIE327452 KRW327409:KSA327452 LBS327409:LBW327452 LLO327409:LLS327452 LVK327409:LVO327452 MFG327409:MFK327452 MPC327409:MPG327452 MYY327409:MZC327452 NIU327409:NIY327452 NSQ327409:NSU327452 OCM327409:OCQ327452 OMI327409:OMM327452 OWE327409:OWI327452 PGA327409:PGE327452 PPW327409:PQA327452 PZS327409:PZW327452 QJO327409:QJS327452 QTK327409:QTO327452 RDG327409:RDK327452 RNC327409:RNG327452 RWY327409:RXC327452 SGU327409:SGY327452 SQQ327409:SQU327452 TAM327409:TAQ327452 TKI327409:TKM327452 TUE327409:TUI327452 UEA327409:UEE327452 UNW327409:UOA327452 UXS327409:UXW327452 VHO327409:VHS327452 VRK327409:VRO327452 WBG327409:WBK327452 WLC327409:WLG327452 WUY327409:WVC327452 IM392945:IQ392988 SI392945:SM392988 ACE392945:ACI392988 AMA392945:AME392988 AVW392945:AWA392988 BFS392945:BFW392988 BPO392945:BPS392988 BZK392945:BZO392988 CJG392945:CJK392988 CTC392945:CTG392988 DCY392945:DDC392988 DMU392945:DMY392988 DWQ392945:DWU392988 EGM392945:EGQ392988 EQI392945:EQM392988 FAE392945:FAI392988 FKA392945:FKE392988 FTW392945:FUA392988 GDS392945:GDW392988 GNO392945:GNS392988 GXK392945:GXO392988 HHG392945:HHK392988 HRC392945:HRG392988 IAY392945:IBC392988 IKU392945:IKY392988 IUQ392945:IUU392988 JEM392945:JEQ392988 JOI392945:JOM392988 JYE392945:JYI392988 KIA392945:KIE392988 KRW392945:KSA392988 LBS392945:LBW392988 LLO392945:LLS392988 LVK392945:LVO392988 MFG392945:MFK392988 MPC392945:MPG392988 MYY392945:MZC392988 NIU392945:NIY392988 NSQ392945:NSU392988 OCM392945:OCQ392988 OMI392945:OMM392988 OWE392945:OWI392988 PGA392945:PGE392988 PPW392945:PQA392988 PZS392945:PZW392988 QJO392945:QJS392988 QTK392945:QTO392988 RDG392945:RDK392988 RNC392945:RNG392988 RWY392945:RXC392988 SGU392945:SGY392988 SQQ392945:SQU392988 TAM392945:TAQ392988 TKI392945:TKM392988 TUE392945:TUI392988 UEA392945:UEE392988 UNW392945:UOA392988 UXS392945:UXW392988 VHO392945:VHS392988 VRK392945:VRO392988 WBG392945:WBK392988 WLC392945:WLG392988 WUY392945:WVC392988 IM458481:IQ458524 SI458481:SM458524 ACE458481:ACI458524 AMA458481:AME458524 AVW458481:AWA458524 BFS458481:BFW458524 BPO458481:BPS458524 BZK458481:BZO458524 CJG458481:CJK458524 CTC458481:CTG458524 DCY458481:DDC458524 DMU458481:DMY458524 DWQ458481:DWU458524 EGM458481:EGQ458524 EQI458481:EQM458524 FAE458481:FAI458524 FKA458481:FKE458524 FTW458481:FUA458524 GDS458481:GDW458524 GNO458481:GNS458524 GXK458481:GXO458524 HHG458481:HHK458524 HRC458481:HRG458524 IAY458481:IBC458524 IKU458481:IKY458524 IUQ458481:IUU458524 JEM458481:JEQ458524 JOI458481:JOM458524 JYE458481:JYI458524 KIA458481:KIE458524 KRW458481:KSA458524 LBS458481:LBW458524 LLO458481:LLS458524 LVK458481:LVO458524 MFG458481:MFK458524 MPC458481:MPG458524 MYY458481:MZC458524 NIU458481:NIY458524 NSQ458481:NSU458524 OCM458481:OCQ458524 OMI458481:OMM458524 OWE458481:OWI458524 PGA458481:PGE458524 PPW458481:PQA458524 PZS458481:PZW458524 QJO458481:QJS458524 QTK458481:QTO458524 RDG458481:RDK458524 RNC458481:RNG458524 RWY458481:RXC458524 SGU458481:SGY458524 SQQ458481:SQU458524 TAM458481:TAQ458524 TKI458481:TKM458524 TUE458481:TUI458524 UEA458481:UEE458524 UNW458481:UOA458524 UXS458481:UXW458524 VHO458481:VHS458524 VRK458481:VRO458524 WBG458481:WBK458524 WLC458481:WLG458524 WUY458481:WVC458524 IM524017:IQ524060 SI524017:SM524060 ACE524017:ACI524060 AMA524017:AME524060 AVW524017:AWA524060 BFS524017:BFW524060 BPO524017:BPS524060 BZK524017:BZO524060 CJG524017:CJK524060 CTC524017:CTG524060 DCY524017:DDC524060 DMU524017:DMY524060 DWQ524017:DWU524060 EGM524017:EGQ524060 EQI524017:EQM524060 FAE524017:FAI524060 FKA524017:FKE524060 FTW524017:FUA524060 GDS524017:GDW524060 GNO524017:GNS524060 GXK524017:GXO524060 HHG524017:HHK524060 HRC524017:HRG524060 IAY524017:IBC524060 IKU524017:IKY524060 IUQ524017:IUU524060 JEM524017:JEQ524060 JOI524017:JOM524060 JYE524017:JYI524060 KIA524017:KIE524060 KRW524017:KSA524060 LBS524017:LBW524060 LLO524017:LLS524060 LVK524017:LVO524060 MFG524017:MFK524060 MPC524017:MPG524060 MYY524017:MZC524060 NIU524017:NIY524060 NSQ524017:NSU524060 OCM524017:OCQ524060 OMI524017:OMM524060 OWE524017:OWI524060 PGA524017:PGE524060 PPW524017:PQA524060 PZS524017:PZW524060 QJO524017:QJS524060 QTK524017:QTO524060 RDG524017:RDK524060 RNC524017:RNG524060 RWY524017:RXC524060 SGU524017:SGY524060 SQQ524017:SQU524060 TAM524017:TAQ524060 TKI524017:TKM524060 TUE524017:TUI524060 UEA524017:UEE524060 UNW524017:UOA524060 UXS524017:UXW524060 VHO524017:VHS524060 VRK524017:VRO524060 WBG524017:WBK524060 WLC524017:WLG524060 WUY524017:WVC524060 IM589553:IQ589596 SI589553:SM589596 ACE589553:ACI589596 AMA589553:AME589596 AVW589553:AWA589596 BFS589553:BFW589596 BPO589553:BPS589596 BZK589553:BZO589596 CJG589553:CJK589596 CTC589553:CTG589596 DCY589553:DDC589596 DMU589553:DMY589596 DWQ589553:DWU589596 EGM589553:EGQ589596 EQI589553:EQM589596 FAE589553:FAI589596 FKA589553:FKE589596 FTW589553:FUA589596 GDS589553:GDW589596 GNO589553:GNS589596 GXK589553:GXO589596 HHG589553:HHK589596 HRC589553:HRG589596 IAY589553:IBC589596 IKU589553:IKY589596 IUQ589553:IUU589596 JEM589553:JEQ589596 JOI589553:JOM589596 JYE589553:JYI589596 KIA589553:KIE589596 KRW589553:KSA589596 LBS589553:LBW589596 LLO589553:LLS589596 LVK589553:LVO589596 MFG589553:MFK589596 MPC589553:MPG589596 MYY589553:MZC589596 NIU589553:NIY589596 NSQ589553:NSU589596 OCM589553:OCQ589596 OMI589553:OMM589596 OWE589553:OWI589596 PGA589553:PGE589596 PPW589553:PQA589596 PZS589553:PZW589596 QJO589553:QJS589596 QTK589553:QTO589596 RDG589553:RDK589596 RNC589553:RNG589596 RWY589553:RXC589596 SGU589553:SGY589596 SQQ589553:SQU589596 TAM589553:TAQ589596 TKI589553:TKM589596 TUE589553:TUI589596 UEA589553:UEE589596 UNW589553:UOA589596 UXS589553:UXW589596 VHO589553:VHS589596 VRK589553:VRO589596 WBG589553:WBK589596 WLC589553:WLG589596 WUY589553:WVC589596 IM655089:IQ655132 SI655089:SM655132 ACE655089:ACI655132 AMA655089:AME655132 AVW655089:AWA655132 BFS655089:BFW655132 BPO655089:BPS655132 BZK655089:BZO655132 CJG655089:CJK655132 CTC655089:CTG655132 DCY655089:DDC655132 DMU655089:DMY655132 DWQ655089:DWU655132 EGM655089:EGQ655132 EQI655089:EQM655132 FAE655089:FAI655132 FKA655089:FKE655132 FTW655089:FUA655132 GDS655089:GDW655132 GNO655089:GNS655132 GXK655089:GXO655132 HHG655089:HHK655132 HRC655089:HRG655132 IAY655089:IBC655132 IKU655089:IKY655132 IUQ655089:IUU655132 JEM655089:JEQ655132 JOI655089:JOM655132 JYE655089:JYI655132 KIA655089:KIE655132 KRW655089:KSA655132 LBS655089:LBW655132 LLO655089:LLS655132 LVK655089:LVO655132 MFG655089:MFK655132 MPC655089:MPG655132 MYY655089:MZC655132 NIU655089:NIY655132 NSQ655089:NSU655132 OCM655089:OCQ655132 OMI655089:OMM655132 OWE655089:OWI655132 PGA655089:PGE655132 PPW655089:PQA655132 PZS655089:PZW655132 QJO655089:QJS655132 QTK655089:QTO655132 RDG655089:RDK655132 RNC655089:RNG655132 RWY655089:RXC655132 SGU655089:SGY655132 SQQ655089:SQU655132 TAM655089:TAQ655132 TKI655089:TKM655132 TUE655089:TUI655132 UEA655089:UEE655132 UNW655089:UOA655132 UXS655089:UXW655132 VHO655089:VHS655132 VRK655089:VRO655132 WBG655089:WBK655132 WLC655089:WLG655132 WUY655089:WVC655132 IM720625:IQ720668 SI720625:SM720668 ACE720625:ACI720668 AMA720625:AME720668 AVW720625:AWA720668 BFS720625:BFW720668 BPO720625:BPS720668 BZK720625:BZO720668 CJG720625:CJK720668 CTC720625:CTG720668 DCY720625:DDC720668 DMU720625:DMY720668 DWQ720625:DWU720668 EGM720625:EGQ720668 EQI720625:EQM720668 FAE720625:FAI720668 FKA720625:FKE720668 FTW720625:FUA720668 GDS720625:GDW720668 GNO720625:GNS720668 GXK720625:GXO720668 HHG720625:HHK720668 HRC720625:HRG720668 IAY720625:IBC720668 IKU720625:IKY720668 IUQ720625:IUU720668 JEM720625:JEQ720668 JOI720625:JOM720668 JYE720625:JYI720668 KIA720625:KIE720668 KRW720625:KSA720668 LBS720625:LBW720668 LLO720625:LLS720668 LVK720625:LVO720668 MFG720625:MFK720668 MPC720625:MPG720668 MYY720625:MZC720668 NIU720625:NIY720668 NSQ720625:NSU720668 OCM720625:OCQ720668 OMI720625:OMM720668 OWE720625:OWI720668 PGA720625:PGE720668 PPW720625:PQA720668 PZS720625:PZW720668 QJO720625:QJS720668 QTK720625:QTO720668 RDG720625:RDK720668 RNC720625:RNG720668 RWY720625:RXC720668 SGU720625:SGY720668 SQQ720625:SQU720668 TAM720625:TAQ720668 TKI720625:TKM720668 TUE720625:TUI720668 UEA720625:UEE720668 UNW720625:UOA720668 UXS720625:UXW720668 VHO720625:VHS720668 VRK720625:VRO720668 WBG720625:WBK720668 WLC720625:WLG720668 WUY720625:WVC720668 IM786161:IQ786204 SI786161:SM786204 ACE786161:ACI786204 AMA786161:AME786204 AVW786161:AWA786204 BFS786161:BFW786204 BPO786161:BPS786204 BZK786161:BZO786204 CJG786161:CJK786204 CTC786161:CTG786204 DCY786161:DDC786204 DMU786161:DMY786204 DWQ786161:DWU786204 EGM786161:EGQ786204 EQI786161:EQM786204 FAE786161:FAI786204 FKA786161:FKE786204 FTW786161:FUA786204 GDS786161:GDW786204 GNO786161:GNS786204 GXK786161:GXO786204 HHG786161:HHK786204 HRC786161:HRG786204 IAY786161:IBC786204 IKU786161:IKY786204 IUQ786161:IUU786204 JEM786161:JEQ786204 JOI786161:JOM786204 JYE786161:JYI786204 KIA786161:KIE786204 KRW786161:KSA786204 LBS786161:LBW786204 LLO786161:LLS786204 LVK786161:LVO786204 MFG786161:MFK786204 MPC786161:MPG786204 MYY786161:MZC786204 NIU786161:NIY786204 NSQ786161:NSU786204 OCM786161:OCQ786204 OMI786161:OMM786204 OWE786161:OWI786204 PGA786161:PGE786204 PPW786161:PQA786204 PZS786161:PZW786204 QJO786161:QJS786204 QTK786161:QTO786204 RDG786161:RDK786204 RNC786161:RNG786204 RWY786161:RXC786204 SGU786161:SGY786204 SQQ786161:SQU786204 TAM786161:TAQ786204 TKI786161:TKM786204 TUE786161:TUI786204 UEA786161:UEE786204 UNW786161:UOA786204 UXS786161:UXW786204 VHO786161:VHS786204 VRK786161:VRO786204 WBG786161:WBK786204 WLC786161:WLG786204 WUY786161:WVC786204 IM851697:IQ851740 SI851697:SM851740 ACE851697:ACI851740 AMA851697:AME851740 AVW851697:AWA851740 BFS851697:BFW851740 BPO851697:BPS851740 BZK851697:BZO851740 CJG851697:CJK851740 CTC851697:CTG851740 DCY851697:DDC851740 DMU851697:DMY851740 DWQ851697:DWU851740 EGM851697:EGQ851740 EQI851697:EQM851740 FAE851697:FAI851740 FKA851697:FKE851740 FTW851697:FUA851740 GDS851697:GDW851740 GNO851697:GNS851740 GXK851697:GXO851740 HHG851697:HHK851740 HRC851697:HRG851740 IAY851697:IBC851740 IKU851697:IKY851740 IUQ851697:IUU851740 JEM851697:JEQ851740 JOI851697:JOM851740 JYE851697:JYI851740 KIA851697:KIE851740 KRW851697:KSA851740 LBS851697:LBW851740 LLO851697:LLS851740 LVK851697:LVO851740 MFG851697:MFK851740 MPC851697:MPG851740 MYY851697:MZC851740 NIU851697:NIY851740 NSQ851697:NSU851740 OCM851697:OCQ851740 OMI851697:OMM851740 OWE851697:OWI851740 PGA851697:PGE851740 PPW851697:PQA851740 PZS851697:PZW851740 QJO851697:QJS851740 QTK851697:QTO851740 RDG851697:RDK851740 RNC851697:RNG851740 RWY851697:RXC851740 SGU851697:SGY851740 SQQ851697:SQU851740 TAM851697:TAQ851740 TKI851697:TKM851740 TUE851697:TUI851740 UEA851697:UEE851740 UNW851697:UOA851740 UXS851697:UXW851740 VHO851697:VHS851740 VRK851697:VRO851740 WBG851697:WBK851740 WLC851697:WLG851740 WUY851697:WVC851740 IM917233:IQ917276 SI917233:SM917276 ACE917233:ACI917276 AMA917233:AME917276 AVW917233:AWA917276 BFS917233:BFW917276 BPO917233:BPS917276 BZK917233:BZO917276 CJG917233:CJK917276 CTC917233:CTG917276 DCY917233:DDC917276 DMU917233:DMY917276 DWQ917233:DWU917276 EGM917233:EGQ917276 EQI917233:EQM917276 FAE917233:FAI917276 FKA917233:FKE917276 FTW917233:FUA917276 GDS917233:GDW917276 GNO917233:GNS917276 GXK917233:GXO917276 HHG917233:HHK917276 HRC917233:HRG917276 IAY917233:IBC917276 IKU917233:IKY917276 IUQ917233:IUU917276 JEM917233:JEQ917276 JOI917233:JOM917276 JYE917233:JYI917276 KIA917233:KIE917276 KRW917233:KSA917276 LBS917233:LBW917276 LLO917233:LLS917276 LVK917233:LVO917276 MFG917233:MFK917276 MPC917233:MPG917276 MYY917233:MZC917276 NIU917233:NIY917276 NSQ917233:NSU917276 OCM917233:OCQ917276 OMI917233:OMM917276 OWE917233:OWI917276 PGA917233:PGE917276 PPW917233:PQA917276 PZS917233:PZW917276 QJO917233:QJS917276 QTK917233:QTO917276 RDG917233:RDK917276 RNC917233:RNG917276 RWY917233:RXC917276 SGU917233:SGY917276 SQQ917233:SQU917276 TAM917233:TAQ917276 TKI917233:TKM917276 TUE917233:TUI917276 UEA917233:UEE917276 UNW917233:UOA917276 UXS917233:UXW917276 VHO917233:VHS917276 VRK917233:VRO917276 WBG917233:WBK917276 WLC917233:WLG917276 WUY917233:WVC917276 IM982769:IQ982812 SI982769:SM982812 ACE982769:ACI982812 AMA982769:AME982812 AVW982769:AWA982812 BFS982769:BFW982812 BPO982769:BPS982812 BZK982769:BZO982812 CJG982769:CJK982812 CTC982769:CTG982812 DCY982769:DDC982812 DMU982769:DMY982812 DWQ982769:DWU982812 EGM982769:EGQ982812 EQI982769:EQM982812 FAE982769:FAI982812 FKA982769:FKE982812 FTW982769:FUA982812 GDS982769:GDW982812 GNO982769:GNS982812 GXK982769:GXO982812 HHG982769:HHK982812 HRC982769:HRG982812 IAY982769:IBC982812 IKU982769:IKY982812 IUQ982769:IUU982812 JEM982769:JEQ982812 JOI982769:JOM982812 JYE982769:JYI982812 KIA982769:KIE982812 KRW982769:KSA982812 LBS982769:LBW982812 LLO982769:LLS982812 LVK982769:LVO982812 MFG982769:MFK982812 MPC982769:MPG982812 MYY982769:MZC982812 NIU982769:NIY982812 NSQ982769:NSU982812 OCM982769:OCQ982812 OMI982769:OMM982812 OWE982769:OWI982812 PGA982769:PGE982812 PPW982769:PQA982812 PZS982769:PZW982812 QJO982769:QJS982812 QTK982769:QTO982812 RDG982769:RDK982812 RNC982769:RNG982812 RWY982769:RXC982812 SGU982769:SGY982812 SQQ982769:SQU982812 TAM982769:TAQ982812 TKI982769:TKM982812 TUE982769:TUI982812 UEA982769:UEE982812 UNW982769:UOA982812 UXS982769:UXW982812 VHO982769:VHS982812 VRK982769:VRO982812 WBG982769:WBK982812 WLC982769:WLG982812 WUY10:WVC15 WLC10:WLG15 WBG10:WBK15 VRK10:VRO15 VHO10:VHS15 UXS10:UXW15 UNW10:UOA15 UEA10:UEE15 TUE10:TUI15 TKI10:TKM15 TAM10:TAQ15 SQQ10:SQU15 SGU10:SGY15 RWY10:RXC15 RNC10:RNG15 RDG10:RDK15 QTK10:QTO15 QJO10:QJS15 PZS10:PZW15 PPW10:PQA15 PGA10:PGE15 OWE10:OWI15 OMI10:OMM15 OCM10:OCQ15 NSQ10:NSU15 NIU10:NIY15 MYY10:MZC15 MPC10:MPG15 MFG10:MFK15 LVK10:LVO15 LLO10:LLS15 LBS10:LBW15 KRW10:KSA15 KIA10:KIE15 JYE10:JYI15 JOI10:JOM15 JEM10:JEQ15 IUQ10:IUU15 IKU10:IKY15 IAY10:IBC15 HRC10:HRG15 HHG10:HHK15 GXK10:GXO15 GNO10:GNS15 GDS10:GDW15 FTW10:FUA15 FKA10:FKE15 FAE10:FAI15 EQI10:EQM15 EGM10:EGQ15 DWQ10:DWU15 DMU10:DMY15 DCY10:DDC15 CTC10:CTG15 CJG10:CJK15 BZK10:BZO15 BPO10:BPS15 BFS10:BFW15 AVW10:AWA15 AMA10:AME15 ACE10:ACI15 SI10:SM15 IM10:IQ15 WUV982769:WUW982812 IJ65265:IK65308 SF65265:SG65308 ACB65265:ACC65308 ALX65265:ALY65308 AVT65265:AVU65308 BFP65265:BFQ65308 BPL65265:BPM65308 BZH65265:BZI65308 CJD65265:CJE65308 CSZ65265:CTA65308 DCV65265:DCW65308 DMR65265:DMS65308 DWN65265:DWO65308 EGJ65265:EGK65308 EQF65265:EQG65308 FAB65265:FAC65308 FJX65265:FJY65308 FTT65265:FTU65308 GDP65265:GDQ65308 GNL65265:GNM65308 GXH65265:GXI65308 HHD65265:HHE65308 HQZ65265:HRA65308 IAV65265:IAW65308 IKR65265:IKS65308 IUN65265:IUO65308 JEJ65265:JEK65308 JOF65265:JOG65308 JYB65265:JYC65308 KHX65265:KHY65308 KRT65265:KRU65308 LBP65265:LBQ65308 LLL65265:LLM65308 LVH65265:LVI65308 MFD65265:MFE65308 MOZ65265:MPA65308 MYV65265:MYW65308 NIR65265:NIS65308 NSN65265:NSO65308 OCJ65265:OCK65308 OMF65265:OMG65308 OWB65265:OWC65308 PFX65265:PFY65308 PPT65265:PPU65308 PZP65265:PZQ65308 QJL65265:QJM65308 QTH65265:QTI65308 RDD65265:RDE65308 RMZ65265:RNA65308 RWV65265:RWW65308 SGR65265:SGS65308 SQN65265:SQO65308 TAJ65265:TAK65308 TKF65265:TKG65308 TUB65265:TUC65308 UDX65265:UDY65308 UNT65265:UNU65308 UXP65265:UXQ65308 VHL65265:VHM65308 VRH65265:VRI65308 WBD65265:WBE65308 WKZ65265:WLA65308 WUV65265:WUW65308 IJ130801:IK130844 SF130801:SG130844 ACB130801:ACC130844 ALX130801:ALY130844 AVT130801:AVU130844 BFP130801:BFQ130844 BPL130801:BPM130844 BZH130801:BZI130844 CJD130801:CJE130844 CSZ130801:CTA130844 DCV130801:DCW130844 DMR130801:DMS130844 DWN130801:DWO130844 EGJ130801:EGK130844 EQF130801:EQG130844 FAB130801:FAC130844 FJX130801:FJY130844 FTT130801:FTU130844 GDP130801:GDQ130844 GNL130801:GNM130844 GXH130801:GXI130844 HHD130801:HHE130844 HQZ130801:HRA130844 IAV130801:IAW130844 IKR130801:IKS130844 IUN130801:IUO130844 JEJ130801:JEK130844 JOF130801:JOG130844 JYB130801:JYC130844 KHX130801:KHY130844 KRT130801:KRU130844 LBP130801:LBQ130844 LLL130801:LLM130844 LVH130801:LVI130844 MFD130801:MFE130844 MOZ130801:MPA130844 MYV130801:MYW130844 NIR130801:NIS130844 NSN130801:NSO130844 OCJ130801:OCK130844 OMF130801:OMG130844 OWB130801:OWC130844 PFX130801:PFY130844 PPT130801:PPU130844 PZP130801:PZQ130844 QJL130801:QJM130844 QTH130801:QTI130844 RDD130801:RDE130844 RMZ130801:RNA130844 RWV130801:RWW130844 SGR130801:SGS130844 SQN130801:SQO130844 TAJ130801:TAK130844 TKF130801:TKG130844 TUB130801:TUC130844 UDX130801:UDY130844 UNT130801:UNU130844 UXP130801:UXQ130844 VHL130801:VHM130844 VRH130801:VRI130844 WBD130801:WBE130844 WKZ130801:WLA130844 WUV130801:WUW130844 IJ196337:IK196380 SF196337:SG196380 ACB196337:ACC196380 ALX196337:ALY196380 AVT196337:AVU196380 BFP196337:BFQ196380 BPL196337:BPM196380 BZH196337:BZI196380 CJD196337:CJE196380 CSZ196337:CTA196380 DCV196337:DCW196380 DMR196337:DMS196380 DWN196337:DWO196380 EGJ196337:EGK196380 EQF196337:EQG196380 FAB196337:FAC196380 FJX196337:FJY196380 FTT196337:FTU196380 GDP196337:GDQ196380 GNL196337:GNM196380 GXH196337:GXI196380 HHD196337:HHE196380 HQZ196337:HRA196380 IAV196337:IAW196380 IKR196337:IKS196380 IUN196337:IUO196380 JEJ196337:JEK196380 JOF196337:JOG196380 JYB196337:JYC196380 KHX196337:KHY196380 KRT196337:KRU196380 LBP196337:LBQ196380 LLL196337:LLM196380 LVH196337:LVI196380 MFD196337:MFE196380 MOZ196337:MPA196380 MYV196337:MYW196380 NIR196337:NIS196380 NSN196337:NSO196380 OCJ196337:OCK196380 OMF196337:OMG196380 OWB196337:OWC196380 PFX196337:PFY196380 PPT196337:PPU196380 PZP196337:PZQ196380 QJL196337:QJM196380 QTH196337:QTI196380 RDD196337:RDE196380 RMZ196337:RNA196380 RWV196337:RWW196380 SGR196337:SGS196380 SQN196337:SQO196380 TAJ196337:TAK196380 TKF196337:TKG196380 TUB196337:TUC196380 UDX196337:UDY196380 UNT196337:UNU196380 UXP196337:UXQ196380 VHL196337:VHM196380 VRH196337:VRI196380 WBD196337:WBE196380 WKZ196337:WLA196380 WUV196337:WUW196380 IJ261873:IK261916 SF261873:SG261916 ACB261873:ACC261916 ALX261873:ALY261916 AVT261873:AVU261916 BFP261873:BFQ261916 BPL261873:BPM261916 BZH261873:BZI261916 CJD261873:CJE261916 CSZ261873:CTA261916 DCV261873:DCW261916 DMR261873:DMS261916 DWN261873:DWO261916 EGJ261873:EGK261916 EQF261873:EQG261916 FAB261873:FAC261916 FJX261873:FJY261916 FTT261873:FTU261916 GDP261873:GDQ261916 GNL261873:GNM261916 GXH261873:GXI261916 HHD261873:HHE261916 HQZ261873:HRA261916 IAV261873:IAW261916 IKR261873:IKS261916 IUN261873:IUO261916 JEJ261873:JEK261916 JOF261873:JOG261916 JYB261873:JYC261916 KHX261873:KHY261916 KRT261873:KRU261916 LBP261873:LBQ261916 LLL261873:LLM261916 LVH261873:LVI261916 MFD261873:MFE261916 MOZ261873:MPA261916 MYV261873:MYW261916 NIR261873:NIS261916 NSN261873:NSO261916 OCJ261873:OCK261916 OMF261873:OMG261916 OWB261873:OWC261916 PFX261873:PFY261916 PPT261873:PPU261916 PZP261873:PZQ261916 QJL261873:QJM261916 QTH261873:QTI261916 RDD261873:RDE261916 RMZ261873:RNA261916 RWV261873:RWW261916 SGR261873:SGS261916 SQN261873:SQO261916 TAJ261873:TAK261916 TKF261873:TKG261916 TUB261873:TUC261916 UDX261873:UDY261916 UNT261873:UNU261916 UXP261873:UXQ261916 VHL261873:VHM261916 VRH261873:VRI261916 WBD261873:WBE261916 WKZ261873:WLA261916 WUV261873:WUW261916 IJ327409:IK327452 SF327409:SG327452 ACB327409:ACC327452 ALX327409:ALY327452 AVT327409:AVU327452 BFP327409:BFQ327452 BPL327409:BPM327452 BZH327409:BZI327452 CJD327409:CJE327452 CSZ327409:CTA327452 DCV327409:DCW327452 DMR327409:DMS327452 DWN327409:DWO327452 EGJ327409:EGK327452 EQF327409:EQG327452 FAB327409:FAC327452 FJX327409:FJY327452 FTT327409:FTU327452 GDP327409:GDQ327452 GNL327409:GNM327452 GXH327409:GXI327452 HHD327409:HHE327452 HQZ327409:HRA327452 IAV327409:IAW327452 IKR327409:IKS327452 IUN327409:IUO327452 JEJ327409:JEK327452 JOF327409:JOG327452 JYB327409:JYC327452 KHX327409:KHY327452 KRT327409:KRU327452 LBP327409:LBQ327452 LLL327409:LLM327452 LVH327409:LVI327452 MFD327409:MFE327452 MOZ327409:MPA327452 MYV327409:MYW327452 NIR327409:NIS327452 NSN327409:NSO327452 OCJ327409:OCK327452 OMF327409:OMG327452 OWB327409:OWC327452 PFX327409:PFY327452 PPT327409:PPU327452 PZP327409:PZQ327452 QJL327409:QJM327452 QTH327409:QTI327452 RDD327409:RDE327452 RMZ327409:RNA327452 RWV327409:RWW327452 SGR327409:SGS327452 SQN327409:SQO327452 TAJ327409:TAK327452 TKF327409:TKG327452 TUB327409:TUC327452 UDX327409:UDY327452 UNT327409:UNU327452 UXP327409:UXQ327452 VHL327409:VHM327452 VRH327409:VRI327452 WBD327409:WBE327452 WKZ327409:WLA327452 WUV327409:WUW327452 IJ392945:IK392988 SF392945:SG392988 ACB392945:ACC392988 ALX392945:ALY392988 AVT392945:AVU392988 BFP392945:BFQ392988 BPL392945:BPM392988 BZH392945:BZI392988 CJD392945:CJE392988 CSZ392945:CTA392988 DCV392945:DCW392988 DMR392945:DMS392988 DWN392945:DWO392988 EGJ392945:EGK392988 EQF392945:EQG392988 FAB392945:FAC392988 FJX392945:FJY392988 FTT392945:FTU392988 GDP392945:GDQ392988 GNL392945:GNM392988 GXH392945:GXI392988 HHD392945:HHE392988 HQZ392945:HRA392988 IAV392945:IAW392988 IKR392945:IKS392988 IUN392945:IUO392988 JEJ392945:JEK392988 JOF392945:JOG392988 JYB392945:JYC392988 KHX392945:KHY392988 KRT392945:KRU392988 LBP392945:LBQ392988 LLL392945:LLM392988 LVH392945:LVI392988 MFD392945:MFE392988 MOZ392945:MPA392988 MYV392945:MYW392988 NIR392945:NIS392988 NSN392945:NSO392988 OCJ392945:OCK392988 OMF392945:OMG392988 OWB392945:OWC392988 PFX392945:PFY392988 PPT392945:PPU392988 PZP392945:PZQ392988 QJL392945:QJM392988 QTH392945:QTI392988 RDD392945:RDE392988 RMZ392945:RNA392988 RWV392945:RWW392988 SGR392945:SGS392988 SQN392945:SQO392988 TAJ392945:TAK392988 TKF392945:TKG392988 TUB392945:TUC392988 UDX392945:UDY392988 UNT392945:UNU392988 UXP392945:UXQ392988 VHL392945:VHM392988 VRH392945:VRI392988 WBD392945:WBE392988 WKZ392945:WLA392988 WUV392945:WUW392988 IJ458481:IK458524 SF458481:SG458524 ACB458481:ACC458524 ALX458481:ALY458524 AVT458481:AVU458524 BFP458481:BFQ458524 BPL458481:BPM458524 BZH458481:BZI458524 CJD458481:CJE458524 CSZ458481:CTA458524 DCV458481:DCW458524 DMR458481:DMS458524 DWN458481:DWO458524 EGJ458481:EGK458524 EQF458481:EQG458524 FAB458481:FAC458524 FJX458481:FJY458524 FTT458481:FTU458524 GDP458481:GDQ458524 GNL458481:GNM458524 GXH458481:GXI458524 HHD458481:HHE458524 HQZ458481:HRA458524 IAV458481:IAW458524 IKR458481:IKS458524 IUN458481:IUO458524 JEJ458481:JEK458524 JOF458481:JOG458524 JYB458481:JYC458524 KHX458481:KHY458524 KRT458481:KRU458524 LBP458481:LBQ458524 LLL458481:LLM458524 LVH458481:LVI458524 MFD458481:MFE458524 MOZ458481:MPA458524 MYV458481:MYW458524 NIR458481:NIS458524 NSN458481:NSO458524 OCJ458481:OCK458524 OMF458481:OMG458524 OWB458481:OWC458524 PFX458481:PFY458524 PPT458481:PPU458524 PZP458481:PZQ458524 QJL458481:QJM458524 QTH458481:QTI458524 RDD458481:RDE458524 RMZ458481:RNA458524 RWV458481:RWW458524 SGR458481:SGS458524 SQN458481:SQO458524 TAJ458481:TAK458524 TKF458481:TKG458524 TUB458481:TUC458524 UDX458481:UDY458524 UNT458481:UNU458524 UXP458481:UXQ458524 VHL458481:VHM458524 VRH458481:VRI458524 WBD458481:WBE458524 WKZ458481:WLA458524 WUV458481:WUW458524 IJ524017:IK524060 SF524017:SG524060 ACB524017:ACC524060 ALX524017:ALY524060 AVT524017:AVU524060 BFP524017:BFQ524060 BPL524017:BPM524060 BZH524017:BZI524060 CJD524017:CJE524060 CSZ524017:CTA524060 DCV524017:DCW524060 DMR524017:DMS524060 DWN524017:DWO524060 EGJ524017:EGK524060 EQF524017:EQG524060 FAB524017:FAC524060 FJX524017:FJY524060 FTT524017:FTU524060 GDP524017:GDQ524060 GNL524017:GNM524060 GXH524017:GXI524060 HHD524017:HHE524060 HQZ524017:HRA524060 IAV524017:IAW524060 IKR524017:IKS524060 IUN524017:IUO524060 JEJ524017:JEK524060 JOF524017:JOG524060 JYB524017:JYC524060 KHX524017:KHY524060 KRT524017:KRU524060 LBP524017:LBQ524060 LLL524017:LLM524060 LVH524017:LVI524060 MFD524017:MFE524060 MOZ524017:MPA524060 MYV524017:MYW524060 NIR524017:NIS524060 NSN524017:NSO524060 OCJ524017:OCK524060 OMF524017:OMG524060 OWB524017:OWC524060 PFX524017:PFY524060 PPT524017:PPU524060 PZP524017:PZQ524060 QJL524017:QJM524060 QTH524017:QTI524060 RDD524017:RDE524060 RMZ524017:RNA524060 RWV524017:RWW524060 SGR524017:SGS524060 SQN524017:SQO524060 TAJ524017:TAK524060 TKF524017:TKG524060 TUB524017:TUC524060 UDX524017:UDY524060 UNT524017:UNU524060 UXP524017:UXQ524060 VHL524017:VHM524060 VRH524017:VRI524060 WBD524017:WBE524060 WKZ524017:WLA524060 WUV524017:WUW524060 IJ589553:IK589596 SF589553:SG589596 ACB589553:ACC589596 ALX589553:ALY589596 AVT589553:AVU589596 BFP589553:BFQ589596 BPL589553:BPM589596 BZH589553:BZI589596 CJD589553:CJE589596 CSZ589553:CTA589596 DCV589553:DCW589596 DMR589553:DMS589596 DWN589553:DWO589596 EGJ589553:EGK589596 EQF589553:EQG589596 FAB589553:FAC589596 FJX589553:FJY589596 FTT589553:FTU589596 GDP589553:GDQ589596 GNL589553:GNM589596 GXH589553:GXI589596 HHD589553:HHE589596 HQZ589553:HRA589596 IAV589553:IAW589596 IKR589553:IKS589596 IUN589553:IUO589596 JEJ589553:JEK589596 JOF589553:JOG589596 JYB589553:JYC589596 KHX589553:KHY589596 KRT589553:KRU589596 LBP589553:LBQ589596 LLL589553:LLM589596 LVH589553:LVI589596 MFD589553:MFE589596 MOZ589553:MPA589596 MYV589553:MYW589596 NIR589553:NIS589596 NSN589553:NSO589596 OCJ589553:OCK589596 OMF589553:OMG589596 OWB589553:OWC589596 PFX589553:PFY589596 PPT589553:PPU589596 PZP589553:PZQ589596 QJL589553:QJM589596 QTH589553:QTI589596 RDD589553:RDE589596 RMZ589553:RNA589596 RWV589553:RWW589596 SGR589553:SGS589596 SQN589553:SQO589596 TAJ589553:TAK589596 TKF589553:TKG589596 TUB589553:TUC589596 UDX589553:UDY589596 UNT589553:UNU589596 UXP589553:UXQ589596 VHL589553:VHM589596 VRH589553:VRI589596 WBD589553:WBE589596 WKZ589553:WLA589596 WUV589553:WUW589596 IJ655089:IK655132 SF655089:SG655132 ACB655089:ACC655132 ALX655089:ALY655132 AVT655089:AVU655132 BFP655089:BFQ655132 BPL655089:BPM655132 BZH655089:BZI655132 CJD655089:CJE655132 CSZ655089:CTA655132 DCV655089:DCW655132 DMR655089:DMS655132 DWN655089:DWO655132 EGJ655089:EGK655132 EQF655089:EQG655132 FAB655089:FAC655132 FJX655089:FJY655132 FTT655089:FTU655132 GDP655089:GDQ655132 GNL655089:GNM655132 GXH655089:GXI655132 HHD655089:HHE655132 HQZ655089:HRA655132 IAV655089:IAW655132 IKR655089:IKS655132 IUN655089:IUO655132 JEJ655089:JEK655132 JOF655089:JOG655132 JYB655089:JYC655132 KHX655089:KHY655132 KRT655089:KRU655132 LBP655089:LBQ655132 LLL655089:LLM655132 LVH655089:LVI655132 MFD655089:MFE655132 MOZ655089:MPA655132 MYV655089:MYW655132 NIR655089:NIS655132 NSN655089:NSO655132 OCJ655089:OCK655132 OMF655089:OMG655132 OWB655089:OWC655132 PFX655089:PFY655132 PPT655089:PPU655132 PZP655089:PZQ655132 QJL655089:QJM655132 QTH655089:QTI655132 RDD655089:RDE655132 RMZ655089:RNA655132 RWV655089:RWW655132 SGR655089:SGS655132 SQN655089:SQO655132 TAJ655089:TAK655132 TKF655089:TKG655132 TUB655089:TUC655132 UDX655089:UDY655132 UNT655089:UNU655132 UXP655089:UXQ655132 VHL655089:VHM655132 VRH655089:VRI655132 WBD655089:WBE655132 WKZ655089:WLA655132 WUV655089:WUW655132 IJ720625:IK720668 SF720625:SG720668 ACB720625:ACC720668 ALX720625:ALY720668 AVT720625:AVU720668 BFP720625:BFQ720668 BPL720625:BPM720668 BZH720625:BZI720668 CJD720625:CJE720668 CSZ720625:CTA720668 DCV720625:DCW720668 DMR720625:DMS720668 DWN720625:DWO720668 EGJ720625:EGK720668 EQF720625:EQG720668 FAB720625:FAC720668 FJX720625:FJY720668 FTT720625:FTU720668 GDP720625:GDQ720668 GNL720625:GNM720668 GXH720625:GXI720668 HHD720625:HHE720668 HQZ720625:HRA720668 IAV720625:IAW720668 IKR720625:IKS720668 IUN720625:IUO720668 JEJ720625:JEK720668 JOF720625:JOG720668 JYB720625:JYC720668 KHX720625:KHY720668 KRT720625:KRU720668 LBP720625:LBQ720668 LLL720625:LLM720668 LVH720625:LVI720668 MFD720625:MFE720668 MOZ720625:MPA720668 MYV720625:MYW720668 NIR720625:NIS720668 NSN720625:NSO720668 OCJ720625:OCK720668 OMF720625:OMG720668 OWB720625:OWC720668 PFX720625:PFY720668 PPT720625:PPU720668 PZP720625:PZQ720668 QJL720625:QJM720668 QTH720625:QTI720668 RDD720625:RDE720668 RMZ720625:RNA720668 RWV720625:RWW720668 SGR720625:SGS720668 SQN720625:SQO720668 TAJ720625:TAK720668 TKF720625:TKG720668 TUB720625:TUC720668 UDX720625:UDY720668 UNT720625:UNU720668 UXP720625:UXQ720668 VHL720625:VHM720668 VRH720625:VRI720668 WBD720625:WBE720668 WKZ720625:WLA720668 WUV720625:WUW720668 IJ786161:IK786204 SF786161:SG786204 ACB786161:ACC786204 ALX786161:ALY786204 AVT786161:AVU786204 BFP786161:BFQ786204 BPL786161:BPM786204 BZH786161:BZI786204 CJD786161:CJE786204 CSZ786161:CTA786204 DCV786161:DCW786204 DMR786161:DMS786204 DWN786161:DWO786204 EGJ786161:EGK786204 EQF786161:EQG786204 FAB786161:FAC786204 FJX786161:FJY786204 FTT786161:FTU786204 GDP786161:GDQ786204 GNL786161:GNM786204 GXH786161:GXI786204 HHD786161:HHE786204 HQZ786161:HRA786204 IAV786161:IAW786204 IKR786161:IKS786204 IUN786161:IUO786204 JEJ786161:JEK786204 JOF786161:JOG786204 JYB786161:JYC786204 KHX786161:KHY786204 KRT786161:KRU786204 LBP786161:LBQ786204 LLL786161:LLM786204 LVH786161:LVI786204 MFD786161:MFE786204 MOZ786161:MPA786204 MYV786161:MYW786204 NIR786161:NIS786204 NSN786161:NSO786204 OCJ786161:OCK786204 OMF786161:OMG786204 OWB786161:OWC786204 PFX786161:PFY786204 PPT786161:PPU786204 PZP786161:PZQ786204 QJL786161:QJM786204 QTH786161:QTI786204 RDD786161:RDE786204 RMZ786161:RNA786204 RWV786161:RWW786204 SGR786161:SGS786204 SQN786161:SQO786204 TAJ786161:TAK786204 TKF786161:TKG786204 TUB786161:TUC786204 UDX786161:UDY786204 UNT786161:UNU786204 UXP786161:UXQ786204 VHL786161:VHM786204 VRH786161:VRI786204 WBD786161:WBE786204 WKZ786161:WLA786204 WUV786161:WUW786204 IJ851697:IK851740 SF851697:SG851740 ACB851697:ACC851740 ALX851697:ALY851740 AVT851697:AVU851740 BFP851697:BFQ851740 BPL851697:BPM851740 BZH851697:BZI851740 CJD851697:CJE851740 CSZ851697:CTA851740 DCV851697:DCW851740 DMR851697:DMS851740 DWN851697:DWO851740 EGJ851697:EGK851740 EQF851697:EQG851740 FAB851697:FAC851740 FJX851697:FJY851740 FTT851697:FTU851740 GDP851697:GDQ851740 GNL851697:GNM851740 GXH851697:GXI851740 HHD851697:HHE851740 HQZ851697:HRA851740 IAV851697:IAW851740 IKR851697:IKS851740 IUN851697:IUO851740 JEJ851697:JEK851740 JOF851697:JOG851740 JYB851697:JYC851740 KHX851697:KHY851740 KRT851697:KRU851740 LBP851697:LBQ851740 LLL851697:LLM851740 LVH851697:LVI851740 MFD851697:MFE851740 MOZ851697:MPA851740 MYV851697:MYW851740 NIR851697:NIS851740 NSN851697:NSO851740 OCJ851697:OCK851740 OMF851697:OMG851740 OWB851697:OWC851740 PFX851697:PFY851740 PPT851697:PPU851740 PZP851697:PZQ851740 QJL851697:QJM851740 QTH851697:QTI851740 RDD851697:RDE851740 RMZ851697:RNA851740 RWV851697:RWW851740 SGR851697:SGS851740 SQN851697:SQO851740 TAJ851697:TAK851740 TKF851697:TKG851740 TUB851697:TUC851740 UDX851697:UDY851740 UNT851697:UNU851740 UXP851697:UXQ851740 VHL851697:VHM851740 VRH851697:VRI851740 WBD851697:WBE851740 WKZ851697:WLA851740 WUV851697:WUW851740 IJ917233:IK917276 SF917233:SG917276 ACB917233:ACC917276 ALX917233:ALY917276 AVT917233:AVU917276 BFP917233:BFQ917276 BPL917233:BPM917276 BZH917233:BZI917276 CJD917233:CJE917276 CSZ917233:CTA917276 DCV917233:DCW917276 DMR917233:DMS917276 DWN917233:DWO917276 EGJ917233:EGK917276 EQF917233:EQG917276 FAB917233:FAC917276 FJX917233:FJY917276 FTT917233:FTU917276 GDP917233:GDQ917276 GNL917233:GNM917276 GXH917233:GXI917276 HHD917233:HHE917276 HQZ917233:HRA917276 IAV917233:IAW917276 IKR917233:IKS917276 IUN917233:IUO917276 JEJ917233:JEK917276 JOF917233:JOG917276 JYB917233:JYC917276 KHX917233:KHY917276 KRT917233:KRU917276 LBP917233:LBQ917276 LLL917233:LLM917276 LVH917233:LVI917276 MFD917233:MFE917276 MOZ917233:MPA917276 MYV917233:MYW917276 NIR917233:NIS917276 NSN917233:NSO917276 OCJ917233:OCK917276 OMF917233:OMG917276 OWB917233:OWC917276 PFX917233:PFY917276 PPT917233:PPU917276 PZP917233:PZQ917276 QJL917233:QJM917276 QTH917233:QTI917276 RDD917233:RDE917276 RMZ917233:RNA917276 RWV917233:RWW917276 SGR917233:SGS917276 SQN917233:SQO917276 TAJ917233:TAK917276 TKF917233:TKG917276 TUB917233:TUC917276 UDX917233:UDY917276 UNT917233:UNU917276 UXP917233:UXQ917276 VHL917233:VHM917276 VRH917233:VRI917276 WBD917233:WBE917276 WKZ917233:WLA917276 WUV917233:WUW917276 IJ982769:IK982812 SF982769:SG982812 ACB982769:ACC982812 ALX982769:ALY982812 AVT982769:AVU982812 BFP982769:BFQ982812 BPL982769:BPM982812 BZH982769:BZI982812 CJD982769:CJE982812 CSZ982769:CTA982812 DCV982769:DCW982812 DMR982769:DMS982812 DWN982769:DWO982812 EGJ982769:EGK982812 EQF982769:EQG982812 FAB982769:FAC982812 FJX982769:FJY982812 FTT982769:FTU982812 GDP982769:GDQ982812 GNL982769:GNM982812 GXH982769:GXI982812 HHD982769:HHE982812 HQZ982769:HRA982812 IAV982769:IAW982812 IKR982769:IKS982812 IUN982769:IUO982812 JEJ982769:JEK982812 JOF982769:JOG982812 JYB982769:JYC982812 KHX982769:KHY982812 KRT982769:KRU982812 LBP982769:LBQ982812 LLL982769:LLM982812 LVH982769:LVI982812 MFD982769:MFE982812 MOZ982769:MPA982812 MYV982769:MYW982812 NIR982769:NIS982812 NSN982769:NSO982812 OCJ982769:OCK982812 OMF982769:OMG982812 OWB982769:OWC982812 PFX982769:PFY982812 PPT982769:PPU982812 PZP982769:PZQ982812 QJL982769:QJM982812 QTH982769:QTI982812 RDD982769:RDE982812 RMZ982769:RNA982812 RWV982769:RWW982812 SGR982769:SGS982812 SQN982769:SQO982812 TAJ982769:TAK982812 TKF982769:TKG982812 TUB982769:TUC982812 UDX982769:UDY982812 UNT982769:UNU982812 UXP982769:UXQ982812 VHL982769:VHM982812 VRH982769:VRI982812 WBD982769:WBE982812 WKZ982769:WLA982812 WUV10:WUW15 WKZ10:WLA15 WBD10:WBE15 VRH10:VRI15 VHL10:VHM15 UXP10:UXQ15 UNT10:UNU15 UDX10:UDY15 TUB10:TUC15 TKF10:TKG15 TAJ10:TAK15 SQN10:SQO15 SGR10:SGS15 RWV10:RWW15 RMZ10:RNA15 RDD10:RDE15 QTH10:QTI15 QJL10:QJM15 PZP10:PZQ15 PPT10:PPU15 PFX10:PFY15 OWB10:OWC15 OMF10:OMG15 OCJ10:OCK15 NSN10:NSO15 NIR10:NIS15 MYV10:MYW15 MOZ10:MPA15 MFD10:MFE15 LVH10:LVI15 LLL10:LLM15 LBP10:LBQ15 KRT10:KRU15 KHX10:KHY15 JYB10:JYC15 JOF10:JOG15 JEJ10:JEK15 IUN10:IUO15 IKR10:IKS15 IAV10:IAW15 HQZ10:HRA15 HHD10:HHE15 GXH10:GXI15 GNL10:GNM15 GDP10:GDQ15 FTT10:FTU15 FJX10:FJY15 FAB10:FAC15 EQF10:EQG15 EGJ10:EGK15 DWN10:DWO15 DMR10:DMS15 DCV10:DCW15 CSZ10:CTA15 CJD10:CJE15 BZH10:BZI15 BPL10:BPM15 BFP10:BFQ15 AVT10:AVU15 ALX10:ALY15 ACB10:ACC15 SF10:SG15 IJ10:IK15 IJ17:IK34 WUV17:WUW34 WKZ17:WLA34 WBD17:WBE34 VRH17:VRI34 VHL17:VHM34 UXP17:UXQ34 UNT17:UNU34 UDX17:UDY34 TUB17:TUC34 TKF17:TKG34 TAJ17:TAK34 SQN17:SQO34 SGR17:SGS34 RWV17:RWW34 RMZ17:RNA34 RDD17:RDE34 QTH17:QTI34 QJL17:QJM34 PZP17:PZQ34 PPT17:PPU34 PFX17:PFY34 OWB17:OWC34 OMF17:OMG34 OCJ17:OCK34 NSN17:NSO34 NIR17:NIS34 MYV17:MYW34 MOZ17:MPA34 MFD17:MFE34 LVH17:LVI34 LLL17:LLM34 LBP17:LBQ34 KRT17:KRU34 KHX17:KHY34 JYB17:JYC34 JOF17:JOG34 JEJ17:JEK34 IUN17:IUO34 IKR17:IKS34 IAV17:IAW34 HQZ17:HRA34 HHD17:HHE34 GXH17:GXI34 GNL17:GNM34 GDP17:GDQ34 FTT17:FTU34 FJX17:FJY34 FAB17:FAC34 EQF17:EQG34 EGJ17:EGK34 DWN17:DWO34 DMR17:DMS34 DCV17:DCW34 CSZ17:CTA34 CJD17:CJE34 BZH17:BZI34 BPL17:BPM34 BFP17:BFQ34 AVT17:AVU34 ALX17:ALY34 ACB17:ACC34 SF17:SG34 IU17:IU34 WVE17:WVE34 WLI17:WLI34 WBM17:WBM34 VRQ17:VRQ34 VHU17:VHU34 UXY17:UXY34 UOC17:UOC34 UEG17:UEG34 TUK17:TUK34 TKO17:TKO34 TAS17:TAS34 SQW17:SQW34 SHA17:SHA34 RXE17:RXE34 RNI17:RNI34 RDM17:RDM34 QTQ17:QTQ34 QJU17:QJU34 PZY17:PZY34 PQC17:PQC34 PGG17:PGG34 OWK17:OWK34 OMO17:OMO34 OCS17:OCS34 NSW17:NSW34 NJA17:NJA34 MZE17:MZE34 MPI17:MPI34 MFM17:MFM34 LVQ17:LVQ34 LLU17:LLU34 LBY17:LBY34 KSC17:KSC34 KIG17:KIG34 JYK17:JYK34 JOO17:JOO34 JES17:JES34 IUW17:IUW34 ILA17:ILA34 IBE17:IBE34 HRI17:HRI34 HHM17:HHM34 GXQ17:GXQ34 GNU17:GNU34 GDY17:GDY34 FUC17:FUC34 FKG17:FKG34 FAK17:FAK34 EQO17:EQO34 EGS17:EGS34 DWW17:DWW34 DNA17:DNA34 DDE17:DDE34 CTI17:CTI34 CJM17:CJM34 BZQ17:BZQ34 BPU17:BPU34 BFY17:BFY34 AWC17:AWC34 AMG17:AMG34 ACK17:ACK34 SO17:SO34 IS17:IS34 WVG17:WVG34 WLK17:WLK34 WBO17:WBO34 VRS17:VRS34 VHW17:VHW34 UYA17:UYA34 UOE17:UOE34 UEI17:UEI34 TUM17:TUM34 TKQ17:TKQ34 TAU17:TAU34 SQY17:SQY34 SHC17:SHC34 RXG17:RXG34 RNK17:RNK34 RDO17:RDO34 QTS17:QTS34 QJW17:QJW34 QAA17:QAA34 PQE17:PQE34 PGI17:PGI34 OWM17:OWM34 OMQ17:OMQ34 OCU17:OCU34 NSY17:NSY34 NJC17:NJC34 MZG17:MZG34 MPK17:MPK34 MFO17:MFO34 LVS17:LVS34 LLW17:LLW34 LCA17:LCA34 KSE17:KSE34 KII17:KII34 JYM17:JYM34 JOQ17:JOQ34 JEU17:JEU34 IUY17:IUY34 ILC17:ILC34 IBG17:IBG34 HRK17:HRK34 HHO17:HHO34 GXS17:GXS34 GNW17:GNW34 GEA17:GEA34 FUE17:FUE34 FKI17:FKI34 FAM17:FAM34 EQQ17:EQQ34 EGU17:EGU34 DWY17:DWY34 DNC17:DNC34 DDG17:DDG34 CTK17:CTK34 CJO17:CJO34 BZS17:BZS34 BPW17:BPW34 BGA17:BGA34 AWE17:AWE34 AMI17:AMI34 ACM17:ACM34 SQ17:SQ34 IM17:IQ34 WUY17:WVC34 WLC17:WLG34 WBG17:WBK34 VRK17:VRO34 VHO17:VHS34 UXS17:UXW34 UNW17:UOA34 UEA17:UEE34 TUE17:TUI34 TKI17:TKM34 TAM17:TAQ34 SQQ17:SQU34 SGU17:SGY34 RWY17:RXC34 RNC17:RNG34 RDG17:RDK34 QTK17:QTO34 QJO17:QJS34 PZS17:PZW34 PPW17:PQA34 PGA17:PGE34 OWE17:OWI34 OMI17:OMM34 OCM17:OCQ34 NSQ17:NSU34 NIU17:NIY34 MYY17:MZC34 MPC17:MPG34 MFG17:MFK34 LVK17:LVO34 LLO17:LLS34 LBS17:LBW34 KRW17:KSA34 KIA17:KIE34 JYE17:JYI34 JOI17:JOM34 JEM17:JEQ34 IUQ17:IUU34 IKU17:IKY34 IAY17:IBC34 HRC17:HRG34 HHG17:HHK34 GXK17:GXO34 GNO17:GNS34 GDS17:GDW34 FTW17:FUA34 FKA17:FKE34 FAE17:FAI34 EQI17:EQM34 EGM17:EGQ34 DWQ17:DWU34 DMU17:DMY34 DCY17:DDC34 CTC17:CTG34 CJG17:CJK34 BZK17:BZO34 BPO17:BPS34 BFS17:BFW34 AVW17:AWA34 AMA17:AME34 ACE17:ACI34 SI17:SM34 IC36:IC43 RY36:RY43 ABU36:ABU43 ALQ36:ALQ43 AVM36:AVM43 BFI36:BFI43 BPE36:BPE43 BZA36:BZA43 CIW36:CIW43 CSS36:CSS43 DCO36:DCO43 DMK36:DMK43 DWG36:DWG43 EGC36:EGC43 EPY36:EPY43 EZU36:EZU43 FJQ36:FJQ43 FTM36:FTM43 GDI36:GDI43 GNE36:GNE43 GXA36:GXA43 HGW36:HGW43 HQS36:HQS43 IAO36:IAO43 IKK36:IKK43 IUG36:IUG43 JEC36:JEC43 JNY36:JNY43 JXU36:JXU43 KHQ36:KHQ43 KRM36:KRM43 LBI36:LBI43 LLE36:LLE43 LVA36:LVA43 MEW36:MEW43 MOS36:MOS43 MYO36:MYO43 NIK36:NIK43 NSG36:NSG43 OCC36:OCC43 OLY36:OLY43 OVU36:OVU43 PFQ36:PFQ43 PPM36:PPM43 PZI36:PZI43 QJE36:QJE43 QTA36:QTA43 RCW36:RCW43 RMS36:RMS43 RWO36:RWO43 SGK36:SGK43 SQG36:SQG43 TAC36:TAC43 TJY36:TJY43 TTU36:TTU43 UDQ36:UDQ43 UNM36:UNM43 UXI36:UXI43 VHE36:VHE43 VRA36:VRA43 WAW36:WAW43 WKS36:WKS43 WUO36:WUO43 BFS36:BFW43 BPO36:BPS43 BZK36:BZO43 CJG36:CJK43 CTC36:CTG43 DCY36:DDC43 DMU36:DMY43 DWQ36:DWU43 EGM36:EGQ43 EQI36:EQM43 FAE36:FAI43 FKA36:FKE43 FTW36:FUA43 GDS36:GDW43 GNO36:GNS43 GXK36:GXO43 HHG36:HHK43 HRC36:HRG43 IAY36:IBC43 IKU36:IKY43 IUQ36:IUU43 JEM36:JEQ43 JOI36:JOM43 JYE36:JYI43 KIA36:KIE43 KRW36:KSA43 LBS36:LBW43 LLO36:LLS43 LVK36:LVO43 MFG36:MFK43 MPC36:MPG43 MYY36:MZC43 NIU36:NIY43 NSQ36:NSU43 OCM36:OCQ43 OMI36:OMM43 OWE36:OWI43 PGA36:PGE43 PPW36:PQA43 PZS36:PZW43 QJO36:QJS43 QTK36:QTO43 RDG36:RDK43 RNC36:RNG43 RWY36:RXC43 SGU36:SGY43 SQQ36:SQU43 TAM36:TAQ43 TKI36:TKM43 TUE36:TUI43 UEA36:UEE43 UNW36:UOA43 UXS36:UXW43 VHO36:VHS43 VRK36:VRO43 WBG36:WBK43 WLC36:WLG43 WUY36:WVC43 IM36:IQ43 SQ36:SQ43 ACM36:ACM43 AMI36:AMI43 AWE36:AWE43 BGA36:BGA43 BPW36:BPW43 BZS36:BZS43 CJO36:CJO43 CTK36:CTK43 DDG36:DDG43 DNC36:DNC43 DWY36:DWY43 EGU36:EGU43 EQQ36:EQQ43 FAM36:FAM43 FKI36:FKI43 FUE36:FUE43 GEA36:GEA43 GNW36:GNW43 GXS36:GXS43 HHO36:HHO43 HRK36:HRK43 IBG36:IBG43 ILC36:ILC43 IUY36:IUY43 JEU36:JEU43 JOQ36:JOQ43 JYM36:JYM43 KII36:KII43 KSE36:KSE43 LCA36:LCA43 LLW36:LLW43 LVS36:LVS43 MFO36:MFO43 MPK36:MPK43 MZG36:MZG43 NJC36:NJC43 NSY36:NSY43 OCU36:OCU43 OMQ36:OMQ43 OWM36:OWM43 PGI36:PGI43 PQE36:PQE43 QAA36:QAA43 QJW36:QJW43 QTS36:QTS43 RDO36:RDO43 RNK36:RNK43 RXG36:RXG43 SHC36:SHC43 SQY36:SQY43 TAU36:TAU43 TKQ36:TKQ43 TUM36:TUM43 UEI36:UEI43 UOE36:UOE43 UYA36:UYA43 VHW36:VHW43 VRS36:VRS43 WBO36:WBO43 WLK36:WLK43 WVG36:WVG43 IS36:IS43 SO36:SO43 ACK36:ACK43 AMG36:AMG43 AWC36:AWC43 BFY36:BFY43 BPU36:BPU43 BZQ36:BZQ43 CJM36:CJM43 CTI36:CTI43 DDE36:DDE43 DNA36:DNA43 DWW36:DWW43 EGS36:EGS43 EQO36:EQO43 FAK36:FAK43 FKG36:FKG43 FUC36:FUC43 GDY36:GDY43 GNU36:GNU43 GXQ36:GXQ43 HHM36:HHM43 HRI36:HRI43 IBE36:IBE43 ILA36:ILA43 IUW36:IUW43 JES36:JES43 JOO36:JOO43 JYK36:JYK43 KIG36:KIG43 KSC36:KSC43 LBY36:LBY43 LLU36:LLU43 LVQ36:LVQ43 MFM36:MFM43 MPI36:MPI43 MZE36:MZE43 NJA36:NJA43 NSW36:NSW43 OCS36:OCS43 OMO36:OMO43 OWK36:OWK43 PGG36:PGG43 PQC36:PQC43 PZY36:PZY43 QJU36:QJU43 QTQ36:QTQ43 RDM36:RDM43 RNI36:RNI43 RXE36:RXE43 SHA36:SHA43 SQW36:SQW43 TAS36:TAS43 TKO36:TKO43 TUK36:TUK43 UEG36:UEG43 UOC36:UOC43 UXY36:UXY43 VHU36:VHU43 VRQ36:VRQ43 WBM36:WBM43 WLI36:WLI43 WVE36:WVE43 IU36:IU43 SF36:SG43 ACB36:ACC43 ALX36:ALY43 AVT36:AVU43 BFP36:BFQ43 BPL36:BPM43 BZH36:BZI43 CJD36:CJE43 CSZ36:CTA43 DCV36:DCW43 DMR36:DMS43 DWN36:DWO43 EGJ36:EGK43 EQF36:EQG43 FAB36:FAC43 FJX36:FJY43 FTT36:FTU43 GDP36:GDQ43 GNL36:GNM43 GXH36:GXI43 HHD36:HHE43 HQZ36:HRA43 IAV36:IAW43 IKR36:IKS43 IUN36:IUO43 JEJ36:JEK43 JOF36:JOG43 JYB36:JYC43 KHX36:KHY43 KRT36:KRU43 LBP36:LBQ43 LLL36:LLM43 LVH36:LVI43 MFD36:MFE43 MOZ36:MPA43 MYV36:MYW43 NIR36:NIS43 NSN36:NSO43 OCJ36:OCK43 OMF36:OMG43 OWB36:OWC43 PFX36:PFY43 PPT36:PPU43 PZP36:PZQ43 QJL36:QJM43 QTH36:QTI43 RDD36:RDE43 RMZ36:RNA43 RWV36:RWW43 SGR36:SGS43 SQN36:SQO43 TAJ36:TAK43 TKF36:TKG43 TUB36:TUC43 UDX36:UDY43 UNT36:UNU43 UXP36:UXQ43 VHL36:VHM43 VRH36:VRI43 WBD36:WBE43 WKZ36:WLA43 WUV36:WUW43 IJ36:IK43 SI36:SM43 ACE36:ACI43 AMA36:AME43 AVW36:AWA43" xr:uid="{00000000-0002-0000-0500-000000000000}">
      <formula1>#REF!</formula1>
    </dataValidation>
    <dataValidation type="list" allowBlank="1" showDropDown="1" showInputMessage="1" showErrorMessage="1" sqref="IL65265:IL65308 SH65265:SH65308 ACD65265:ACD65308 ALZ65265:ALZ65308 AVV65265:AVV65308 BFR65265:BFR65308 BPN65265:BPN65308 BZJ65265:BZJ65308 CJF65265:CJF65308 CTB65265:CTB65308 DCX65265:DCX65308 DMT65265:DMT65308 DWP65265:DWP65308 EGL65265:EGL65308 EQH65265:EQH65308 FAD65265:FAD65308 FJZ65265:FJZ65308 FTV65265:FTV65308 GDR65265:GDR65308 GNN65265:GNN65308 GXJ65265:GXJ65308 HHF65265:HHF65308 HRB65265:HRB65308 IAX65265:IAX65308 IKT65265:IKT65308 IUP65265:IUP65308 JEL65265:JEL65308 JOH65265:JOH65308 JYD65265:JYD65308 KHZ65265:KHZ65308 KRV65265:KRV65308 LBR65265:LBR65308 LLN65265:LLN65308 LVJ65265:LVJ65308 MFF65265:MFF65308 MPB65265:MPB65308 MYX65265:MYX65308 NIT65265:NIT65308 NSP65265:NSP65308 OCL65265:OCL65308 OMH65265:OMH65308 OWD65265:OWD65308 PFZ65265:PFZ65308 PPV65265:PPV65308 PZR65265:PZR65308 QJN65265:QJN65308 QTJ65265:QTJ65308 RDF65265:RDF65308 RNB65265:RNB65308 RWX65265:RWX65308 SGT65265:SGT65308 SQP65265:SQP65308 TAL65265:TAL65308 TKH65265:TKH65308 TUD65265:TUD65308 UDZ65265:UDZ65308 UNV65265:UNV65308 UXR65265:UXR65308 VHN65265:VHN65308 VRJ65265:VRJ65308 WBF65265:WBF65308 WLB65265:WLB65308 WUX65265:WUX65308 IL130801:IL130844 SH130801:SH130844 ACD130801:ACD130844 ALZ130801:ALZ130844 AVV130801:AVV130844 BFR130801:BFR130844 BPN130801:BPN130844 BZJ130801:BZJ130844 CJF130801:CJF130844 CTB130801:CTB130844 DCX130801:DCX130844 DMT130801:DMT130844 DWP130801:DWP130844 EGL130801:EGL130844 EQH130801:EQH130844 FAD130801:FAD130844 FJZ130801:FJZ130844 FTV130801:FTV130844 GDR130801:GDR130844 GNN130801:GNN130844 GXJ130801:GXJ130844 HHF130801:HHF130844 HRB130801:HRB130844 IAX130801:IAX130844 IKT130801:IKT130844 IUP130801:IUP130844 JEL130801:JEL130844 JOH130801:JOH130844 JYD130801:JYD130844 KHZ130801:KHZ130844 KRV130801:KRV130844 LBR130801:LBR130844 LLN130801:LLN130844 LVJ130801:LVJ130844 MFF130801:MFF130844 MPB130801:MPB130844 MYX130801:MYX130844 NIT130801:NIT130844 NSP130801:NSP130844 OCL130801:OCL130844 OMH130801:OMH130844 OWD130801:OWD130844 PFZ130801:PFZ130844 PPV130801:PPV130844 PZR130801:PZR130844 QJN130801:QJN130844 QTJ130801:QTJ130844 RDF130801:RDF130844 RNB130801:RNB130844 RWX130801:RWX130844 SGT130801:SGT130844 SQP130801:SQP130844 TAL130801:TAL130844 TKH130801:TKH130844 TUD130801:TUD130844 UDZ130801:UDZ130844 UNV130801:UNV130844 UXR130801:UXR130844 VHN130801:VHN130844 VRJ130801:VRJ130844 WBF130801:WBF130844 WLB130801:WLB130844 WUX130801:WUX130844 IL196337:IL196380 SH196337:SH196380 ACD196337:ACD196380 ALZ196337:ALZ196380 AVV196337:AVV196380 BFR196337:BFR196380 BPN196337:BPN196380 BZJ196337:BZJ196380 CJF196337:CJF196380 CTB196337:CTB196380 DCX196337:DCX196380 DMT196337:DMT196380 DWP196337:DWP196380 EGL196337:EGL196380 EQH196337:EQH196380 FAD196337:FAD196380 FJZ196337:FJZ196380 FTV196337:FTV196380 GDR196337:GDR196380 GNN196337:GNN196380 GXJ196337:GXJ196380 HHF196337:HHF196380 HRB196337:HRB196380 IAX196337:IAX196380 IKT196337:IKT196380 IUP196337:IUP196380 JEL196337:JEL196380 JOH196337:JOH196380 JYD196337:JYD196380 KHZ196337:KHZ196380 KRV196337:KRV196380 LBR196337:LBR196380 LLN196337:LLN196380 LVJ196337:LVJ196380 MFF196337:MFF196380 MPB196337:MPB196380 MYX196337:MYX196380 NIT196337:NIT196380 NSP196337:NSP196380 OCL196337:OCL196380 OMH196337:OMH196380 OWD196337:OWD196380 PFZ196337:PFZ196380 PPV196337:PPV196380 PZR196337:PZR196380 QJN196337:QJN196380 QTJ196337:QTJ196380 RDF196337:RDF196380 RNB196337:RNB196380 RWX196337:RWX196380 SGT196337:SGT196380 SQP196337:SQP196380 TAL196337:TAL196380 TKH196337:TKH196380 TUD196337:TUD196380 UDZ196337:UDZ196380 UNV196337:UNV196380 UXR196337:UXR196380 VHN196337:VHN196380 VRJ196337:VRJ196380 WBF196337:WBF196380 WLB196337:WLB196380 WUX196337:WUX196380 IL261873:IL261916 SH261873:SH261916 ACD261873:ACD261916 ALZ261873:ALZ261916 AVV261873:AVV261916 BFR261873:BFR261916 BPN261873:BPN261916 BZJ261873:BZJ261916 CJF261873:CJF261916 CTB261873:CTB261916 DCX261873:DCX261916 DMT261873:DMT261916 DWP261873:DWP261916 EGL261873:EGL261916 EQH261873:EQH261916 FAD261873:FAD261916 FJZ261873:FJZ261916 FTV261873:FTV261916 GDR261873:GDR261916 GNN261873:GNN261916 GXJ261873:GXJ261916 HHF261873:HHF261916 HRB261873:HRB261916 IAX261873:IAX261916 IKT261873:IKT261916 IUP261873:IUP261916 JEL261873:JEL261916 JOH261873:JOH261916 JYD261873:JYD261916 KHZ261873:KHZ261916 KRV261873:KRV261916 LBR261873:LBR261916 LLN261873:LLN261916 LVJ261873:LVJ261916 MFF261873:MFF261916 MPB261873:MPB261916 MYX261873:MYX261916 NIT261873:NIT261916 NSP261873:NSP261916 OCL261873:OCL261916 OMH261873:OMH261916 OWD261873:OWD261916 PFZ261873:PFZ261916 PPV261873:PPV261916 PZR261873:PZR261916 QJN261873:QJN261916 QTJ261873:QTJ261916 RDF261873:RDF261916 RNB261873:RNB261916 RWX261873:RWX261916 SGT261873:SGT261916 SQP261873:SQP261916 TAL261873:TAL261916 TKH261873:TKH261916 TUD261873:TUD261916 UDZ261873:UDZ261916 UNV261873:UNV261916 UXR261873:UXR261916 VHN261873:VHN261916 VRJ261873:VRJ261916 WBF261873:WBF261916 WLB261873:WLB261916 WUX261873:WUX261916 IL327409:IL327452 SH327409:SH327452 ACD327409:ACD327452 ALZ327409:ALZ327452 AVV327409:AVV327452 BFR327409:BFR327452 BPN327409:BPN327452 BZJ327409:BZJ327452 CJF327409:CJF327452 CTB327409:CTB327452 DCX327409:DCX327452 DMT327409:DMT327452 DWP327409:DWP327452 EGL327409:EGL327452 EQH327409:EQH327452 FAD327409:FAD327452 FJZ327409:FJZ327452 FTV327409:FTV327452 GDR327409:GDR327452 GNN327409:GNN327452 GXJ327409:GXJ327452 HHF327409:HHF327452 HRB327409:HRB327452 IAX327409:IAX327452 IKT327409:IKT327452 IUP327409:IUP327452 JEL327409:JEL327452 JOH327409:JOH327452 JYD327409:JYD327452 KHZ327409:KHZ327452 KRV327409:KRV327452 LBR327409:LBR327452 LLN327409:LLN327452 LVJ327409:LVJ327452 MFF327409:MFF327452 MPB327409:MPB327452 MYX327409:MYX327452 NIT327409:NIT327452 NSP327409:NSP327452 OCL327409:OCL327452 OMH327409:OMH327452 OWD327409:OWD327452 PFZ327409:PFZ327452 PPV327409:PPV327452 PZR327409:PZR327452 QJN327409:QJN327452 QTJ327409:QTJ327452 RDF327409:RDF327452 RNB327409:RNB327452 RWX327409:RWX327452 SGT327409:SGT327452 SQP327409:SQP327452 TAL327409:TAL327452 TKH327409:TKH327452 TUD327409:TUD327452 UDZ327409:UDZ327452 UNV327409:UNV327452 UXR327409:UXR327452 VHN327409:VHN327452 VRJ327409:VRJ327452 WBF327409:WBF327452 WLB327409:WLB327452 WUX327409:WUX327452 IL392945:IL392988 SH392945:SH392988 ACD392945:ACD392988 ALZ392945:ALZ392988 AVV392945:AVV392988 BFR392945:BFR392988 BPN392945:BPN392988 BZJ392945:BZJ392988 CJF392945:CJF392988 CTB392945:CTB392988 DCX392945:DCX392988 DMT392945:DMT392988 DWP392945:DWP392988 EGL392945:EGL392988 EQH392945:EQH392988 FAD392945:FAD392988 FJZ392945:FJZ392988 FTV392945:FTV392988 GDR392945:GDR392988 GNN392945:GNN392988 GXJ392945:GXJ392988 HHF392945:HHF392988 HRB392945:HRB392988 IAX392945:IAX392988 IKT392945:IKT392988 IUP392945:IUP392988 JEL392945:JEL392988 JOH392945:JOH392988 JYD392945:JYD392988 KHZ392945:KHZ392988 KRV392945:KRV392988 LBR392945:LBR392988 LLN392945:LLN392988 LVJ392945:LVJ392988 MFF392945:MFF392988 MPB392945:MPB392988 MYX392945:MYX392988 NIT392945:NIT392988 NSP392945:NSP392988 OCL392945:OCL392988 OMH392945:OMH392988 OWD392945:OWD392988 PFZ392945:PFZ392988 PPV392945:PPV392988 PZR392945:PZR392988 QJN392945:QJN392988 QTJ392945:QTJ392988 RDF392945:RDF392988 RNB392945:RNB392988 RWX392945:RWX392988 SGT392945:SGT392988 SQP392945:SQP392988 TAL392945:TAL392988 TKH392945:TKH392988 TUD392945:TUD392988 UDZ392945:UDZ392988 UNV392945:UNV392988 UXR392945:UXR392988 VHN392945:VHN392988 VRJ392945:VRJ392988 WBF392945:WBF392988 WLB392945:WLB392988 WUX392945:WUX392988 IL458481:IL458524 SH458481:SH458524 ACD458481:ACD458524 ALZ458481:ALZ458524 AVV458481:AVV458524 BFR458481:BFR458524 BPN458481:BPN458524 BZJ458481:BZJ458524 CJF458481:CJF458524 CTB458481:CTB458524 DCX458481:DCX458524 DMT458481:DMT458524 DWP458481:DWP458524 EGL458481:EGL458524 EQH458481:EQH458524 FAD458481:FAD458524 FJZ458481:FJZ458524 FTV458481:FTV458524 GDR458481:GDR458524 GNN458481:GNN458524 GXJ458481:GXJ458524 HHF458481:HHF458524 HRB458481:HRB458524 IAX458481:IAX458524 IKT458481:IKT458524 IUP458481:IUP458524 JEL458481:JEL458524 JOH458481:JOH458524 JYD458481:JYD458524 KHZ458481:KHZ458524 KRV458481:KRV458524 LBR458481:LBR458524 LLN458481:LLN458524 LVJ458481:LVJ458524 MFF458481:MFF458524 MPB458481:MPB458524 MYX458481:MYX458524 NIT458481:NIT458524 NSP458481:NSP458524 OCL458481:OCL458524 OMH458481:OMH458524 OWD458481:OWD458524 PFZ458481:PFZ458524 PPV458481:PPV458524 PZR458481:PZR458524 QJN458481:QJN458524 QTJ458481:QTJ458524 RDF458481:RDF458524 RNB458481:RNB458524 RWX458481:RWX458524 SGT458481:SGT458524 SQP458481:SQP458524 TAL458481:TAL458524 TKH458481:TKH458524 TUD458481:TUD458524 UDZ458481:UDZ458524 UNV458481:UNV458524 UXR458481:UXR458524 VHN458481:VHN458524 VRJ458481:VRJ458524 WBF458481:WBF458524 WLB458481:WLB458524 WUX458481:WUX458524 IL524017:IL524060 SH524017:SH524060 ACD524017:ACD524060 ALZ524017:ALZ524060 AVV524017:AVV524060 BFR524017:BFR524060 BPN524017:BPN524060 BZJ524017:BZJ524060 CJF524017:CJF524060 CTB524017:CTB524060 DCX524017:DCX524060 DMT524017:DMT524060 DWP524017:DWP524060 EGL524017:EGL524060 EQH524017:EQH524060 FAD524017:FAD524060 FJZ524017:FJZ524060 FTV524017:FTV524060 GDR524017:GDR524060 GNN524017:GNN524060 GXJ524017:GXJ524060 HHF524017:HHF524060 HRB524017:HRB524060 IAX524017:IAX524060 IKT524017:IKT524060 IUP524017:IUP524060 JEL524017:JEL524060 JOH524017:JOH524060 JYD524017:JYD524060 KHZ524017:KHZ524060 KRV524017:KRV524060 LBR524017:LBR524060 LLN524017:LLN524060 LVJ524017:LVJ524060 MFF524017:MFF524060 MPB524017:MPB524060 MYX524017:MYX524060 NIT524017:NIT524060 NSP524017:NSP524060 OCL524017:OCL524060 OMH524017:OMH524060 OWD524017:OWD524060 PFZ524017:PFZ524060 PPV524017:PPV524060 PZR524017:PZR524060 QJN524017:QJN524060 QTJ524017:QTJ524060 RDF524017:RDF524060 RNB524017:RNB524060 RWX524017:RWX524060 SGT524017:SGT524060 SQP524017:SQP524060 TAL524017:TAL524060 TKH524017:TKH524060 TUD524017:TUD524060 UDZ524017:UDZ524060 UNV524017:UNV524060 UXR524017:UXR524060 VHN524017:VHN524060 VRJ524017:VRJ524060 WBF524017:WBF524060 WLB524017:WLB524060 WUX524017:WUX524060 IL589553:IL589596 SH589553:SH589596 ACD589553:ACD589596 ALZ589553:ALZ589596 AVV589553:AVV589596 BFR589553:BFR589596 BPN589553:BPN589596 BZJ589553:BZJ589596 CJF589553:CJF589596 CTB589553:CTB589596 DCX589553:DCX589596 DMT589553:DMT589596 DWP589553:DWP589596 EGL589553:EGL589596 EQH589553:EQH589596 FAD589553:FAD589596 FJZ589553:FJZ589596 FTV589553:FTV589596 GDR589553:GDR589596 GNN589553:GNN589596 GXJ589553:GXJ589596 HHF589553:HHF589596 HRB589553:HRB589596 IAX589553:IAX589596 IKT589553:IKT589596 IUP589553:IUP589596 JEL589553:JEL589596 JOH589553:JOH589596 JYD589553:JYD589596 KHZ589553:KHZ589596 KRV589553:KRV589596 LBR589553:LBR589596 LLN589553:LLN589596 LVJ589553:LVJ589596 MFF589553:MFF589596 MPB589553:MPB589596 MYX589553:MYX589596 NIT589553:NIT589596 NSP589553:NSP589596 OCL589553:OCL589596 OMH589553:OMH589596 OWD589553:OWD589596 PFZ589553:PFZ589596 PPV589553:PPV589596 PZR589553:PZR589596 QJN589553:QJN589596 QTJ589553:QTJ589596 RDF589553:RDF589596 RNB589553:RNB589596 RWX589553:RWX589596 SGT589553:SGT589596 SQP589553:SQP589596 TAL589553:TAL589596 TKH589553:TKH589596 TUD589553:TUD589596 UDZ589553:UDZ589596 UNV589553:UNV589596 UXR589553:UXR589596 VHN589553:VHN589596 VRJ589553:VRJ589596 WBF589553:WBF589596 WLB589553:WLB589596 WUX589553:WUX589596 IL655089:IL655132 SH655089:SH655132 ACD655089:ACD655132 ALZ655089:ALZ655132 AVV655089:AVV655132 BFR655089:BFR655132 BPN655089:BPN655132 BZJ655089:BZJ655132 CJF655089:CJF655132 CTB655089:CTB655132 DCX655089:DCX655132 DMT655089:DMT655132 DWP655089:DWP655132 EGL655089:EGL655132 EQH655089:EQH655132 FAD655089:FAD655132 FJZ655089:FJZ655132 FTV655089:FTV655132 GDR655089:GDR655132 GNN655089:GNN655132 GXJ655089:GXJ655132 HHF655089:HHF655132 HRB655089:HRB655132 IAX655089:IAX655132 IKT655089:IKT655132 IUP655089:IUP655132 JEL655089:JEL655132 JOH655089:JOH655132 JYD655089:JYD655132 KHZ655089:KHZ655132 KRV655089:KRV655132 LBR655089:LBR655132 LLN655089:LLN655132 LVJ655089:LVJ655132 MFF655089:MFF655132 MPB655089:MPB655132 MYX655089:MYX655132 NIT655089:NIT655132 NSP655089:NSP655132 OCL655089:OCL655132 OMH655089:OMH655132 OWD655089:OWD655132 PFZ655089:PFZ655132 PPV655089:PPV655132 PZR655089:PZR655132 QJN655089:QJN655132 QTJ655089:QTJ655132 RDF655089:RDF655132 RNB655089:RNB655132 RWX655089:RWX655132 SGT655089:SGT655132 SQP655089:SQP655132 TAL655089:TAL655132 TKH655089:TKH655132 TUD655089:TUD655132 UDZ655089:UDZ655132 UNV655089:UNV655132 UXR655089:UXR655132 VHN655089:VHN655132 VRJ655089:VRJ655132 WBF655089:WBF655132 WLB655089:WLB655132 WUX655089:WUX655132 IL720625:IL720668 SH720625:SH720668 ACD720625:ACD720668 ALZ720625:ALZ720668 AVV720625:AVV720668 BFR720625:BFR720668 BPN720625:BPN720668 BZJ720625:BZJ720668 CJF720625:CJF720668 CTB720625:CTB720668 DCX720625:DCX720668 DMT720625:DMT720668 DWP720625:DWP720668 EGL720625:EGL720668 EQH720625:EQH720668 FAD720625:FAD720668 FJZ720625:FJZ720668 FTV720625:FTV720668 GDR720625:GDR720668 GNN720625:GNN720668 GXJ720625:GXJ720668 HHF720625:HHF720668 HRB720625:HRB720668 IAX720625:IAX720668 IKT720625:IKT720668 IUP720625:IUP720668 JEL720625:JEL720668 JOH720625:JOH720668 JYD720625:JYD720668 KHZ720625:KHZ720668 KRV720625:KRV720668 LBR720625:LBR720668 LLN720625:LLN720668 LVJ720625:LVJ720668 MFF720625:MFF720668 MPB720625:MPB720668 MYX720625:MYX720668 NIT720625:NIT720668 NSP720625:NSP720668 OCL720625:OCL720668 OMH720625:OMH720668 OWD720625:OWD720668 PFZ720625:PFZ720668 PPV720625:PPV720668 PZR720625:PZR720668 QJN720625:QJN720668 QTJ720625:QTJ720668 RDF720625:RDF720668 RNB720625:RNB720668 RWX720625:RWX720668 SGT720625:SGT720668 SQP720625:SQP720668 TAL720625:TAL720668 TKH720625:TKH720668 TUD720625:TUD720668 UDZ720625:UDZ720668 UNV720625:UNV720668 UXR720625:UXR720668 VHN720625:VHN720668 VRJ720625:VRJ720668 WBF720625:WBF720668 WLB720625:WLB720668 WUX720625:WUX720668 IL786161:IL786204 SH786161:SH786204 ACD786161:ACD786204 ALZ786161:ALZ786204 AVV786161:AVV786204 BFR786161:BFR786204 BPN786161:BPN786204 BZJ786161:BZJ786204 CJF786161:CJF786204 CTB786161:CTB786204 DCX786161:DCX786204 DMT786161:DMT786204 DWP786161:DWP786204 EGL786161:EGL786204 EQH786161:EQH786204 FAD786161:FAD786204 FJZ786161:FJZ786204 FTV786161:FTV786204 GDR786161:GDR786204 GNN786161:GNN786204 GXJ786161:GXJ786204 HHF786161:HHF786204 HRB786161:HRB786204 IAX786161:IAX786204 IKT786161:IKT786204 IUP786161:IUP786204 JEL786161:JEL786204 JOH786161:JOH786204 JYD786161:JYD786204 KHZ786161:KHZ786204 KRV786161:KRV786204 LBR786161:LBR786204 LLN786161:LLN786204 LVJ786161:LVJ786204 MFF786161:MFF786204 MPB786161:MPB786204 MYX786161:MYX786204 NIT786161:NIT786204 NSP786161:NSP786204 OCL786161:OCL786204 OMH786161:OMH786204 OWD786161:OWD786204 PFZ786161:PFZ786204 PPV786161:PPV786204 PZR786161:PZR786204 QJN786161:QJN786204 QTJ786161:QTJ786204 RDF786161:RDF786204 RNB786161:RNB786204 RWX786161:RWX786204 SGT786161:SGT786204 SQP786161:SQP786204 TAL786161:TAL786204 TKH786161:TKH786204 TUD786161:TUD786204 UDZ786161:UDZ786204 UNV786161:UNV786204 UXR786161:UXR786204 VHN786161:VHN786204 VRJ786161:VRJ786204 WBF786161:WBF786204 WLB786161:WLB786204 WUX786161:WUX786204 IL851697:IL851740 SH851697:SH851740 ACD851697:ACD851740 ALZ851697:ALZ851740 AVV851697:AVV851740 BFR851697:BFR851740 BPN851697:BPN851740 BZJ851697:BZJ851740 CJF851697:CJF851740 CTB851697:CTB851740 DCX851697:DCX851740 DMT851697:DMT851740 DWP851697:DWP851740 EGL851697:EGL851740 EQH851697:EQH851740 FAD851697:FAD851740 FJZ851697:FJZ851740 FTV851697:FTV851740 GDR851697:GDR851740 GNN851697:GNN851740 GXJ851697:GXJ851740 HHF851697:HHF851740 HRB851697:HRB851740 IAX851697:IAX851740 IKT851697:IKT851740 IUP851697:IUP851740 JEL851697:JEL851740 JOH851697:JOH851740 JYD851697:JYD851740 KHZ851697:KHZ851740 KRV851697:KRV851740 LBR851697:LBR851740 LLN851697:LLN851740 LVJ851697:LVJ851740 MFF851697:MFF851740 MPB851697:MPB851740 MYX851697:MYX851740 NIT851697:NIT851740 NSP851697:NSP851740 OCL851697:OCL851740 OMH851697:OMH851740 OWD851697:OWD851740 PFZ851697:PFZ851740 PPV851697:PPV851740 PZR851697:PZR851740 QJN851697:QJN851740 QTJ851697:QTJ851740 RDF851697:RDF851740 RNB851697:RNB851740 RWX851697:RWX851740 SGT851697:SGT851740 SQP851697:SQP851740 TAL851697:TAL851740 TKH851697:TKH851740 TUD851697:TUD851740 UDZ851697:UDZ851740 UNV851697:UNV851740 UXR851697:UXR851740 VHN851697:VHN851740 VRJ851697:VRJ851740 WBF851697:WBF851740 WLB851697:WLB851740 WUX851697:WUX851740 IL917233:IL917276 SH917233:SH917276 ACD917233:ACD917276 ALZ917233:ALZ917276 AVV917233:AVV917276 BFR917233:BFR917276 BPN917233:BPN917276 BZJ917233:BZJ917276 CJF917233:CJF917276 CTB917233:CTB917276 DCX917233:DCX917276 DMT917233:DMT917276 DWP917233:DWP917276 EGL917233:EGL917276 EQH917233:EQH917276 FAD917233:FAD917276 FJZ917233:FJZ917276 FTV917233:FTV917276 GDR917233:GDR917276 GNN917233:GNN917276 GXJ917233:GXJ917276 HHF917233:HHF917276 HRB917233:HRB917276 IAX917233:IAX917276 IKT917233:IKT917276 IUP917233:IUP917276 JEL917233:JEL917276 JOH917233:JOH917276 JYD917233:JYD917276 KHZ917233:KHZ917276 KRV917233:KRV917276 LBR917233:LBR917276 LLN917233:LLN917276 LVJ917233:LVJ917276 MFF917233:MFF917276 MPB917233:MPB917276 MYX917233:MYX917276 NIT917233:NIT917276 NSP917233:NSP917276 OCL917233:OCL917276 OMH917233:OMH917276 OWD917233:OWD917276 PFZ917233:PFZ917276 PPV917233:PPV917276 PZR917233:PZR917276 QJN917233:QJN917276 QTJ917233:QTJ917276 RDF917233:RDF917276 RNB917233:RNB917276 RWX917233:RWX917276 SGT917233:SGT917276 SQP917233:SQP917276 TAL917233:TAL917276 TKH917233:TKH917276 TUD917233:TUD917276 UDZ917233:UDZ917276 UNV917233:UNV917276 UXR917233:UXR917276 VHN917233:VHN917276 VRJ917233:VRJ917276 WBF917233:WBF917276 WLB917233:WLB917276 WUX917233:WUX917276 IL982769:IL982812 SH982769:SH982812 ACD982769:ACD982812 ALZ982769:ALZ982812 AVV982769:AVV982812 BFR982769:BFR982812 BPN982769:BPN982812 BZJ982769:BZJ982812 CJF982769:CJF982812 CTB982769:CTB982812 DCX982769:DCX982812 DMT982769:DMT982812 DWP982769:DWP982812 EGL982769:EGL982812 EQH982769:EQH982812 FAD982769:FAD982812 FJZ982769:FJZ982812 FTV982769:FTV982812 GDR982769:GDR982812 GNN982769:GNN982812 GXJ982769:GXJ982812 HHF982769:HHF982812 HRB982769:HRB982812 IAX982769:IAX982812 IKT982769:IKT982812 IUP982769:IUP982812 JEL982769:JEL982812 JOH982769:JOH982812 JYD982769:JYD982812 KHZ982769:KHZ982812 KRV982769:KRV982812 LBR982769:LBR982812 LLN982769:LLN982812 LVJ982769:LVJ982812 MFF982769:MFF982812 MPB982769:MPB982812 MYX982769:MYX982812 NIT982769:NIT982812 NSP982769:NSP982812 OCL982769:OCL982812 OMH982769:OMH982812 OWD982769:OWD982812 PFZ982769:PFZ982812 PPV982769:PPV982812 PZR982769:PZR982812 QJN982769:QJN982812 QTJ982769:QTJ982812 RDF982769:RDF982812 RNB982769:RNB982812 RWX982769:RWX982812 SGT982769:SGT982812 SQP982769:SQP982812 TAL982769:TAL982812 TKH982769:TKH982812 TUD982769:TUD982812 UDZ982769:UDZ982812 UNV982769:UNV982812 UXR982769:UXR982812 VHN982769:VHN982812 VRJ982769:VRJ982812 WBF982769:WBF982812 WLB982769:WLB982812 WUX982769:WUX982812 WUX10:WUX15 WLB10:WLB15 WBF10:WBF15 VRJ10:VRJ15 VHN10:VHN15 UXR10:UXR15 UNV10:UNV15 UDZ10:UDZ15 TUD10:TUD15 TKH10:TKH15 TAL10:TAL15 SQP10:SQP15 SGT10:SGT15 RWX10:RWX15 RNB10:RNB15 RDF10:RDF15 QTJ10:QTJ15 QJN10:QJN15 PZR10:PZR15 PPV10:PPV15 PFZ10:PFZ15 OWD10:OWD15 OMH10:OMH15 OCL10:OCL15 NSP10:NSP15 NIT10:NIT15 MYX10:MYX15 MPB10:MPB15 MFF10:MFF15 LVJ10:LVJ15 LLN10:LLN15 LBR10:LBR15 KRV10:KRV15 KHZ10:KHZ15 JYD10:JYD15 JOH10:JOH15 JEL10:JEL15 IUP10:IUP15 IKT10:IKT15 IAX10:IAX15 HRB10:HRB15 HHF10:HHF15 GXJ10:GXJ15 GNN10:GNN15 GDR10:GDR15 FTV10:FTV15 FJZ10:FJZ15 FAD10:FAD15 EQH10:EQH15 EGL10:EGL15 DWP10:DWP15 DMT10:DMT15 DCX10:DCX15 CTB10:CTB15 CJF10:CJF15 BZJ10:BZJ15 BPN10:BPN15 BFR10:BFR15 AVV10:AVV15 ALZ10:ALZ15 ACD10:ACD15 SH10:SH15 IL10:IL15 IL17:IL34 WUX17:WUX34 WLB17:WLB34 WBF17:WBF34 VRJ17:VRJ34 VHN17:VHN34 UXR17:UXR34 UNV17:UNV34 UDZ17:UDZ34 TUD17:TUD34 TKH17:TKH34 TAL17:TAL34 SQP17:SQP34 SGT17:SGT34 RWX17:RWX34 RNB17:RNB34 RDF17:RDF34 QTJ17:QTJ34 QJN17:QJN34 PZR17:PZR34 PPV17:PPV34 PFZ17:PFZ34 OWD17:OWD34 OMH17:OMH34 OCL17:OCL34 NSP17:NSP34 NIT17:NIT34 MYX17:MYX34 MPB17:MPB34 MFF17:MFF34 LVJ17:LVJ34 LLN17:LLN34 LBR17:LBR34 KRV17:KRV34 KHZ17:KHZ34 JYD17:JYD34 JOH17:JOH34 JEL17:JEL34 IUP17:IUP34 IKT17:IKT34 IAX17:IAX34 HRB17:HRB34 HHF17:HHF34 GXJ17:GXJ34 GNN17:GNN34 GDR17:GDR34 FTV17:FTV34 FJZ17:FJZ34 FAD17:FAD34 EQH17:EQH34 EGL17:EGL34 DWP17:DWP34 DMT17:DMT34 DCX17:DCX34 CTB17:CTB34 CJF17:CJF34 BZJ17:BZJ34 BPN17:BPN34 BFR17:BFR34 AVV17:AVV34 ALZ17:ALZ34 ACD17:ACD34 SH17:SH34 BFR36:BFR43 BPN36:BPN43 BZJ36:BZJ43 CJF36:CJF43 CTB36:CTB43 DCX36:DCX43 DMT36:DMT43 DWP36:DWP43 EGL36:EGL43 EQH36:EQH43 FAD36:FAD43 FJZ36:FJZ43 FTV36:FTV43 GDR36:GDR43 GNN36:GNN43 GXJ36:GXJ43 HHF36:HHF43 HRB36:HRB43 IAX36:IAX43 IKT36:IKT43 IUP36:IUP43 JEL36:JEL43 JOH36:JOH43 JYD36:JYD43 KHZ36:KHZ43 KRV36:KRV43 LBR36:LBR43 LLN36:LLN43 LVJ36:LVJ43 MFF36:MFF43 MPB36:MPB43 MYX36:MYX43 NIT36:NIT43 NSP36:NSP43 OCL36:OCL43 OMH36:OMH43 OWD36:OWD43 PFZ36:PFZ43 PPV36:PPV43 PZR36:PZR43 QJN36:QJN43 QTJ36:QTJ43 RDF36:RDF43 RNB36:RNB43 RWX36:RWX43 SGT36:SGT43 SQP36:SQP43 TAL36:TAL43 TKH36:TKH43 TUD36:TUD43 UDZ36:UDZ43 UNV36:UNV43 UXR36:UXR43 VHN36:VHN43 VRJ36:VRJ43 WBF36:WBF43 WLB36:WLB43 WUX36:WUX43 IL36:IL43 SH36:SH43 ACD36:ACD43 ALZ36:ALZ43 AVV36:AVV43" xr:uid="{00000000-0002-0000-0500-000001000000}">
      <formula1>#REF!</formula1>
    </dataValidation>
    <dataValidation type="list" allowBlank="1" showInputMessage="1" showErrorMessage="1" sqref="WUL982769:WUM982812 RV36:RW43 ABR36:ABS43 ALN36:ALO43 AVJ36:AVK43 BFF36:BFG43 BPB36:BPC43 BYX36:BYY43 CIT36:CIU43 CSP36:CSQ43 DCL36:DCM43 DMH36:DMI43 DWD36:DWE43 EFZ36:EGA43 EPV36:EPW43 EZR36:EZS43 FJN36:FJO43 FTJ36:FTK43 GDF36:GDG43 GNB36:GNC43 GWX36:GWY43 HGT36:HGU43 HQP36:HQQ43 IAL36:IAM43 IKH36:IKI43 IUD36:IUE43 JDZ36:JEA43 JNV36:JNW43 JXR36:JXS43 KHN36:KHO43 KRJ36:KRK43 LBF36:LBG43 LLB36:LLC43 LUX36:LUY43 MET36:MEU43 MOP36:MOQ43 MYL36:MYM43 NIH36:NII43 NSD36:NSE43 OBZ36:OCA43 OLV36:OLW43 OVR36:OVS43 PFN36:PFO43 PPJ36:PPK43 PZF36:PZG43 QJB36:QJC43 QSX36:QSY43 RCT36:RCU43 RMP36:RMQ43 RWL36:RWM43 SGH36:SGI43 SQD36:SQE43 SZZ36:TAA43 TJV36:TJW43 TTR36:TTS43 UDN36:UDO43 UNJ36:UNK43 UXF36:UXG43 VHB36:VHC43 VQX36:VQY43 WAT36:WAU43 WKP36:WKQ43 WUL36:WUM43 HZ10:IA15 RV10:RW15 ABR10:ABS15 ALN10:ALO15 AVJ10:AVK15 BFF10:BFG15 BPB10:BPC15 BYX10:BYY15 CIT10:CIU15 CSP10:CSQ15 DCL10:DCM15 DMH10:DMI15 DWD10:DWE15 EFZ10:EGA15 EPV10:EPW15 EZR10:EZS15 FJN10:FJO15 FTJ10:FTK15 GDF10:GDG15 GNB10:GNC15 GWX10:GWY15 HGT10:HGU15 HQP10:HQQ15 IAL10:IAM15 IKH10:IKI15 IUD10:IUE15 JDZ10:JEA15 JNV10:JNW15 JXR10:JXS15 KHN10:KHO15 KRJ10:KRK15 LBF10:LBG15 LLB10:LLC15 LUX10:LUY15 MET10:MEU15 MOP10:MOQ15 MYL10:MYM15 NIH10:NII15 NSD10:NSE15 OBZ10:OCA15 OLV10:OLW15 OVR10:OVS15 PFN10:PFO15 PPJ10:PPK15 PZF10:PZG15 QJB10:QJC15 QSX10:QSY15 RCT10:RCU15 RMP10:RMQ15 RWL10:RWM15 SGH10:SGI15 SQD10:SQE15 SZZ10:TAA15 TJV10:TJW15 TTR10:TTS15 UDN10:UDO15 UNJ10:UNK15 UXF10:UXG15 VHB10:VHC15 VQX10:VQY15 WAT10:WAU15 WKP10:WKQ15 WUL10:WUM15 WKP982769:WKQ982812 WAT982769:WAU982812 VQX982769:VQY982812 VHB982769:VHC982812 UXF982769:UXG982812 UNJ982769:UNK982812 UDN982769:UDO982812 TTR982769:TTS982812 TJV982769:TJW982812 SZZ982769:TAA982812 SQD982769:SQE982812 SGH982769:SGI982812 RWL982769:RWM982812 RMP982769:RMQ982812 RCT982769:RCU982812 QSX982769:QSY982812 QJB982769:QJC982812 PZF982769:PZG982812 PPJ982769:PPK982812 PFN982769:PFO982812 OVR982769:OVS982812 OLV982769:OLW982812 OBZ982769:OCA982812 NSD982769:NSE982812 NIH982769:NII982812 MYL982769:MYM982812 MOP982769:MOQ982812 MET982769:MEU982812 LUX982769:LUY982812 LLB982769:LLC982812 LBF982769:LBG982812 KRJ982769:KRK982812 KHN982769:KHO982812 JXR982769:JXS982812 JNV982769:JNW982812 JDZ982769:JEA982812 IUD982769:IUE982812 IKH982769:IKI982812 IAL982769:IAM982812 HQP982769:HQQ982812 HGT982769:HGU982812 GWX982769:GWY982812 GNB982769:GNC982812 GDF982769:GDG982812 FTJ982769:FTK982812 FJN982769:FJO982812 EZR982769:EZS982812 EPV982769:EPW982812 EFZ982769:EGA982812 DWD982769:DWE982812 DMH982769:DMI982812 DCL982769:DCM982812 CSP982769:CSQ982812 CIT982769:CIU982812 BYX982769:BYY982812 BPB982769:BPC982812 BFF982769:BFG982812 AVJ982769:AVK982812 ALN982769:ALO982812 ABR982769:ABS982812 RV982769:RW982812 HZ982769:IA982812 WUL917233:WUM917276 WKP917233:WKQ917276 WAT917233:WAU917276 VQX917233:VQY917276 VHB917233:VHC917276 UXF917233:UXG917276 UNJ917233:UNK917276 UDN917233:UDO917276 TTR917233:TTS917276 TJV917233:TJW917276 SZZ917233:TAA917276 SQD917233:SQE917276 SGH917233:SGI917276 RWL917233:RWM917276 RMP917233:RMQ917276 RCT917233:RCU917276 QSX917233:QSY917276 QJB917233:QJC917276 PZF917233:PZG917276 PPJ917233:PPK917276 PFN917233:PFO917276 OVR917233:OVS917276 OLV917233:OLW917276 OBZ917233:OCA917276 NSD917233:NSE917276 NIH917233:NII917276 MYL917233:MYM917276 MOP917233:MOQ917276 MET917233:MEU917276 LUX917233:LUY917276 LLB917233:LLC917276 LBF917233:LBG917276 KRJ917233:KRK917276 KHN917233:KHO917276 JXR917233:JXS917276 JNV917233:JNW917276 JDZ917233:JEA917276 IUD917233:IUE917276 IKH917233:IKI917276 IAL917233:IAM917276 HQP917233:HQQ917276 HGT917233:HGU917276 GWX917233:GWY917276 GNB917233:GNC917276 GDF917233:GDG917276 FTJ917233:FTK917276 FJN917233:FJO917276 EZR917233:EZS917276 EPV917233:EPW917276 EFZ917233:EGA917276 DWD917233:DWE917276 DMH917233:DMI917276 DCL917233:DCM917276 CSP917233:CSQ917276 CIT917233:CIU917276 BYX917233:BYY917276 BPB917233:BPC917276 BFF917233:BFG917276 AVJ917233:AVK917276 ALN917233:ALO917276 ABR917233:ABS917276 RV917233:RW917276 HZ917233:IA917276 WUL851697:WUM851740 WKP851697:WKQ851740 WAT851697:WAU851740 VQX851697:VQY851740 VHB851697:VHC851740 UXF851697:UXG851740 UNJ851697:UNK851740 UDN851697:UDO851740 TTR851697:TTS851740 TJV851697:TJW851740 SZZ851697:TAA851740 SQD851697:SQE851740 SGH851697:SGI851740 RWL851697:RWM851740 RMP851697:RMQ851740 RCT851697:RCU851740 QSX851697:QSY851740 QJB851697:QJC851740 PZF851697:PZG851740 PPJ851697:PPK851740 PFN851697:PFO851740 OVR851697:OVS851740 OLV851697:OLW851740 OBZ851697:OCA851740 NSD851697:NSE851740 NIH851697:NII851740 MYL851697:MYM851740 MOP851697:MOQ851740 MET851697:MEU851740 LUX851697:LUY851740 LLB851697:LLC851740 LBF851697:LBG851740 KRJ851697:KRK851740 KHN851697:KHO851740 JXR851697:JXS851740 JNV851697:JNW851740 JDZ851697:JEA851740 IUD851697:IUE851740 IKH851697:IKI851740 IAL851697:IAM851740 HQP851697:HQQ851740 HGT851697:HGU851740 GWX851697:GWY851740 GNB851697:GNC851740 GDF851697:GDG851740 FTJ851697:FTK851740 FJN851697:FJO851740 EZR851697:EZS851740 EPV851697:EPW851740 EFZ851697:EGA851740 DWD851697:DWE851740 DMH851697:DMI851740 DCL851697:DCM851740 CSP851697:CSQ851740 CIT851697:CIU851740 BYX851697:BYY851740 BPB851697:BPC851740 BFF851697:BFG851740 AVJ851697:AVK851740 ALN851697:ALO851740 ABR851697:ABS851740 RV851697:RW851740 HZ851697:IA851740 WUL786161:WUM786204 WKP786161:WKQ786204 WAT786161:WAU786204 VQX786161:VQY786204 VHB786161:VHC786204 UXF786161:UXG786204 UNJ786161:UNK786204 UDN786161:UDO786204 TTR786161:TTS786204 TJV786161:TJW786204 SZZ786161:TAA786204 SQD786161:SQE786204 SGH786161:SGI786204 RWL786161:RWM786204 RMP786161:RMQ786204 RCT786161:RCU786204 QSX786161:QSY786204 QJB786161:QJC786204 PZF786161:PZG786204 PPJ786161:PPK786204 PFN786161:PFO786204 OVR786161:OVS786204 OLV786161:OLW786204 OBZ786161:OCA786204 NSD786161:NSE786204 NIH786161:NII786204 MYL786161:MYM786204 MOP786161:MOQ786204 MET786161:MEU786204 LUX786161:LUY786204 LLB786161:LLC786204 LBF786161:LBG786204 KRJ786161:KRK786204 KHN786161:KHO786204 JXR786161:JXS786204 JNV786161:JNW786204 JDZ786161:JEA786204 IUD786161:IUE786204 IKH786161:IKI786204 IAL786161:IAM786204 HQP786161:HQQ786204 HGT786161:HGU786204 GWX786161:GWY786204 GNB786161:GNC786204 GDF786161:GDG786204 FTJ786161:FTK786204 FJN786161:FJO786204 EZR786161:EZS786204 EPV786161:EPW786204 EFZ786161:EGA786204 DWD786161:DWE786204 DMH786161:DMI786204 DCL786161:DCM786204 CSP786161:CSQ786204 CIT786161:CIU786204 BYX786161:BYY786204 BPB786161:BPC786204 BFF786161:BFG786204 AVJ786161:AVK786204 ALN786161:ALO786204 ABR786161:ABS786204 RV786161:RW786204 HZ786161:IA786204 WUL720625:WUM720668 WKP720625:WKQ720668 WAT720625:WAU720668 VQX720625:VQY720668 VHB720625:VHC720668 UXF720625:UXG720668 UNJ720625:UNK720668 UDN720625:UDO720668 TTR720625:TTS720668 TJV720625:TJW720668 SZZ720625:TAA720668 SQD720625:SQE720668 SGH720625:SGI720668 RWL720625:RWM720668 RMP720625:RMQ720668 RCT720625:RCU720668 QSX720625:QSY720668 QJB720625:QJC720668 PZF720625:PZG720668 PPJ720625:PPK720668 PFN720625:PFO720668 OVR720625:OVS720668 OLV720625:OLW720668 OBZ720625:OCA720668 NSD720625:NSE720668 NIH720625:NII720668 MYL720625:MYM720668 MOP720625:MOQ720668 MET720625:MEU720668 LUX720625:LUY720668 LLB720625:LLC720668 LBF720625:LBG720668 KRJ720625:KRK720668 KHN720625:KHO720668 JXR720625:JXS720668 JNV720625:JNW720668 JDZ720625:JEA720668 IUD720625:IUE720668 IKH720625:IKI720668 IAL720625:IAM720668 HQP720625:HQQ720668 HGT720625:HGU720668 GWX720625:GWY720668 GNB720625:GNC720668 GDF720625:GDG720668 FTJ720625:FTK720668 FJN720625:FJO720668 EZR720625:EZS720668 EPV720625:EPW720668 EFZ720625:EGA720668 DWD720625:DWE720668 DMH720625:DMI720668 DCL720625:DCM720668 CSP720625:CSQ720668 CIT720625:CIU720668 BYX720625:BYY720668 BPB720625:BPC720668 BFF720625:BFG720668 AVJ720625:AVK720668 ALN720625:ALO720668 ABR720625:ABS720668 RV720625:RW720668 HZ720625:IA720668 WUL655089:WUM655132 WKP655089:WKQ655132 WAT655089:WAU655132 VQX655089:VQY655132 VHB655089:VHC655132 UXF655089:UXG655132 UNJ655089:UNK655132 UDN655089:UDO655132 TTR655089:TTS655132 TJV655089:TJW655132 SZZ655089:TAA655132 SQD655089:SQE655132 SGH655089:SGI655132 RWL655089:RWM655132 RMP655089:RMQ655132 RCT655089:RCU655132 QSX655089:QSY655132 QJB655089:QJC655132 PZF655089:PZG655132 PPJ655089:PPK655132 PFN655089:PFO655132 OVR655089:OVS655132 OLV655089:OLW655132 OBZ655089:OCA655132 NSD655089:NSE655132 NIH655089:NII655132 MYL655089:MYM655132 MOP655089:MOQ655132 MET655089:MEU655132 LUX655089:LUY655132 LLB655089:LLC655132 LBF655089:LBG655132 KRJ655089:KRK655132 KHN655089:KHO655132 JXR655089:JXS655132 JNV655089:JNW655132 JDZ655089:JEA655132 IUD655089:IUE655132 IKH655089:IKI655132 IAL655089:IAM655132 HQP655089:HQQ655132 HGT655089:HGU655132 GWX655089:GWY655132 GNB655089:GNC655132 GDF655089:GDG655132 FTJ655089:FTK655132 FJN655089:FJO655132 EZR655089:EZS655132 EPV655089:EPW655132 EFZ655089:EGA655132 DWD655089:DWE655132 DMH655089:DMI655132 DCL655089:DCM655132 CSP655089:CSQ655132 CIT655089:CIU655132 BYX655089:BYY655132 BPB655089:BPC655132 BFF655089:BFG655132 AVJ655089:AVK655132 ALN655089:ALO655132 ABR655089:ABS655132 RV655089:RW655132 HZ655089:IA655132 WUL589553:WUM589596 WKP589553:WKQ589596 WAT589553:WAU589596 VQX589553:VQY589596 VHB589553:VHC589596 UXF589553:UXG589596 UNJ589553:UNK589596 UDN589553:UDO589596 TTR589553:TTS589596 TJV589553:TJW589596 SZZ589553:TAA589596 SQD589553:SQE589596 SGH589553:SGI589596 RWL589553:RWM589596 RMP589553:RMQ589596 RCT589553:RCU589596 QSX589553:QSY589596 QJB589553:QJC589596 PZF589553:PZG589596 PPJ589553:PPK589596 PFN589553:PFO589596 OVR589553:OVS589596 OLV589553:OLW589596 OBZ589553:OCA589596 NSD589553:NSE589596 NIH589553:NII589596 MYL589553:MYM589596 MOP589553:MOQ589596 MET589553:MEU589596 LUX589553:LUY589596 LLB589553:LLC589596 LBF589553:LBG589596 KRJ589553:KRK589596 KHN589553:KHO589596 JXR589553:JXS589596 JNV589553:JNW589596 JDZ589553:JEA589596 IUD589553:IUE589596 IKH589553:IKI589596 IAL589553:IAM589596 HQP589553:HQQ589596 HGT589553:HGU589596 GWX589553:GWY589596 GNB589553:GNC589596 GDF589553:GDG589596 FTJ589553:FTK589596 FJN589553:FJO589596 EZR589553:EZS589596 EPV589553:EPW589596 EFZ589553:EGA589596 DWD589553:DWE589596 DMH589553:DMI589596 DCL589553:DCM589596 CSP589553:CSQ589596 CIT589553:CIU589596 BYX589553:BYY589596 BPB589553:BPC589596 BFF589553:BFG589596 AVJ589553:AVK589596 ALN589553:ALO589596 ABR589553:ABS589596 RV589553:RW589596 HZ589553:IA589596 WUL524017:WUM524060 WKP524017:WKQ524060 WAT524017:WAU524060 VQX524017:VQY524060 VHB524017:VHC524060 UXF524017:UXG524060 UNJ524017:UNK524060 UDN524017:UDO524060 TTR524017:TTS524060 TJV524017:TJW524060 SZZ524017:TAA524060 SQD524017:SQE524060 SGH524017:SGI524060 RWL524017:RWM524060 RMP524017:RMQ524060 RCT524017:RCU524060 QSX524017:QSY524060 QJB524017:QJC524060 PZF524017:PZG524060 PPJ524017:PPK524060 PFN524017:PFO524060 OVR524017:OVS524060 OLV524017:OLW524060 OBZ524017:OCA524060 NSD524017:NSE524060 NIH524017:NII524060 MYL524017:MYM524060 MOP524017:MOQ524060 MET524017:MEU524060 LUX524017:LUY524060 LLB524017:LLC524060 LBF524017:LBG524060 KRJ524017:KRK524060 KHN524017:KHO524060 JXR524017:JXS524060 JNV524017:JNW524060 JDZ524017:JEA524060 IUD524017:IUE524060 IKH524017:IKI524060 IAL524017:IAM524060 HQP524017:HQQ524060 HGT524017:HGU524060 GWX524017:GWY524060 GNB524017:GNC524060 GDF524017:GDG524060 FTJ524017:FTK524060 FJN524017:FJO524060 EZR524017:EZS524060 EPV524017:EPW524060 EFZ524017:EGA524060 DWD524017:DWE524060 DMH524017:DMI524060 DCL524017:DCM524060 CSP524017:CSQ524060 CIT524017:CIU524060 BYX524017:BYY524060 BPB524017:BPC524060 BFF524017:BFG524060 AVJ524017:AVK524060 ALN524017:ALO524060 ABR524017:ABS524060 RV524017:RW524060 HZ524017:IA524060 WUL458481:WUM458524 WKP458481:WKQ458524 WAT458481:WAU458524 VQX458481:VQY458524 VHB458481:VHC458524 UXF458481:UXG458524 UNJ458481:UNK458524 UDN458481:UDO458524 TTR458481:TTS458524 TJV458481:TJW458524 SZZ458481:TAA458524 SQD458481:SQE458524 SGH458481:SGI458524 RWL458481:RWM458524 RMP458481:RMQ458524 RCT458481:RCU458524 QSX458481:QSY458524 QJB458481:QJC458524 PZF458481:PZG458524 PPJ458481:PPK458524 PFN458481:PFO458524 OVR458481:OVS458524 OLV458481:OLW458524 OBZ458481:OCA458524 NSD458481:NSE458524 NIH458481:NII458524 MYL458481:MYM458524 MOP458481:MOQ458524 MET458481:MEU458524 LUX458481:LUY458524 LLB458481:LLC458524 LBF458481:LBG458524 KRJ458481:KRK458524 KHN458481:KHO458524 JXR458481:JXS458524 JNV458481:JNW458524 JDZ458481:JEA458524 IUD458481:IUE458524 IKH458481:IKI458524 IAL458481:IAM458524 HQP458481:HQQ458524 HGT458481:HGU458524 GWX458481:GWY458524 GNB458481:GNC458524 GDF458481:GDG458524 FTJ458481:FTK458524 FJN458481:FJO458524 EZR458481:EZS458524 EPV458481:EPW458524 EFZ458481:EGA458524 DWD458481:DWE458524 DMH458481:DMI458524 DCL458481:DCM458524 CSP458481:CSQ458524 CIT458481:CIU458524 BYX458481:BYY458524 BPB458481:BPC458524 BFF458481:BFG458524 AVJ458481:AVK458524 ALN458481:ALO458524 ABR458481:ABS458524 RV458481:RW458524 HZ458481:IA458524 WUL392945:WUM392988 WKP392945:WKQ392988 WAT392945:WAU392988 VQX392945:VQY392988 VHB392945:VHC392988 UXF392945:UXG392988 UNJ392945:UNK392988 UDN392945:UDO392988 TTR392945:TTS392988 TJV392945:TJW392988 SZZ392945:TAA392988 SQD392945:SQE392988 SGH392945:SGI392988 RWL392945:RWM392988 RMP392945:RMQ392988 RCT392945:RCU392988 QSX392945:QSY392988 QJB392945:QJC392988 PZF392945:PZG392988 PPJ392945:PPK392988 PFN392945:PFO392988 OVR392945:OVS392988 OLV392945:OLW392988 OBZ392945:OCA392988 NSD392945:NSE392988 NIH392945:NII392988 MYL392945:MYM392988 MOP392945:MOQ392988 MET392945:MEU392988 LUX392945:LUY392988 LLB392945:LLC392988 LBF392945:LBG392988 KRJ392945:KRK392988 KHN392945:KHO392988 JXR392945:JXS392988 JNV392945:JNW392988 JDZ392945:JEA392988 IUD392945:IUE392988 IKH392945:IKI392988 IAL392945:IAM392988 HQP392945:HQQ392988 HGT392945:HGU392988 GWX392945:GWY392988 GNB392945:GNC392988 GDF392945:GDG392988 FTJ392945:FTK392988 FJN392945:FJO392988 EZR392945:EZS392988 EPV392945:EPW392988 EFZ392945:EGA392988 DWD392945:DWE392988 DMH392945:DMI392988 DCL392945:DCM392988 CSP392945:CSQ392988 CIT392945:CIU392988 BYX392945:BYY392988 BPB392945:BPC392988 BFF392945:BFG392988 AVJ392945:AVK392988 ALN392945:ALO392988 ABR392945:ABS392988 RV392945:RW392988 HZ392945:IA392988 WUL327409:WUM327452 WKP327409:WKQ327452 WAT327409:WAU327452 VQX327409:VQY327452 VHB327409:VHC327452 UXF327409:UXG327452 UNJ327409:UNK327452 UDN327409:UDO327452 TTR327409:TTS327452 TJV327409:TJW327452 SZZ327409:TAA327452 SQD327409:SQE327452 SGH327409:SGI327452 RWL327409:RWM327452 RMP327409:RMQ327452 RCT327409:RCU327452 QSX327409:QSY327452 QJB327409:QJC327452 PZF327409:PZG327452 PPJ327409:PPK327452 PFN327409:PFO327452 OVR327409:OVS327452 OLV327409:OLW327452 OBZ327409:OCA327452 NSD327409:NSE327452 NIH327409:NII327452 MYL327409:MYM327452 MOP327409:MOQ327452 MET327409:MEU327452 LUX327409:LUY327452 LLB327409:LLC327452 LBF327409:LBG327452 KRJ327409:KRK327452 KHN327409:KHO327452 JXR327409:JXS327452 JNV327409:JNW327452 JDZ327409:JEA327452 IUD327409:IUE327452 IKH327409:IKI327452 IAL327409:IAM327452 HQP327409:HQQ327452 HGT327409:HGU327452 GWX327409:GWY327452 GNB327409:GNC327452 GDF327409:GDG327452 FTJ327409:FTK327452 FJN327409:FJO327452 EZR327409:EZS327452 EPV327409:EPW327452 EFZ327409:EGA327452 DWD327409:DWE327452 DMH327409:DMI327452 DCL327409:DCM327452 CSP327409:CSQ327452 CIT327409:CIU327452 BYX327409:BYY327452 BPB327409:BPC327452 BFF327409:BFG327452 AVJ327409:AVK327452 ALN327409:ALO327452 ABR327409:ABS327452 RV327409:RW327452 HZ327409:IA327452 WUL261873:WUM261916 WKP261873:WKQ261916 WAT261873:WAU261916 VQX261873:VQY261916 VHB261873:VHC261916 UXF261873:UXG261916 UNJ261873:UNK261916 UDN261873:UDO261916 TTR261873:TTS261916 TJV261873:TJW261916 SZZ261873:TAA261916 SQD261873:SQE261916 SGH261873:SGI261916 RWL261873:RWM261916 RMP261873:RMQ261916 RCT261873:RCU261916 QSX261873:QSY261916 QJB261873:QJC261916 PZF261873:PZG261916 PPJ261873:PPK261916 PFN261873:PFO261916 OVR261873:OVS261916 OLV261873:OLW261916 OBZ261873:OCA261916 NSD261873:NSE261916 NIH261873:NII261916 MYL261873:MYM261916 MOP261873:MOQ261916 MET261873:MEU261916 LUX261873:LUY261916 LLB261873:LLC261916 LBF261873:LBG261916 KRJ261873:KRK261916 KHN261873:KHO261916 JXR261873:JXS261916 JNV261873:JNW261916 JDZ261873:JEA261916 IUD261873:IUE261916 IKH261873:IKI261916 IAL261873:IAM261916 HQP261873:HQQ261916 HGT261873:HGU261916 GWX261873:GWY261916 GNB261873:GNC261916 GDF261873:GDG261916 FTJ261873:FTK261916 FJN261873:FJO261916 EZR261873:EZS261916 EPV261873:EPW261916 EFZ261873:EGA261916 DWD261873:DWE261916 DMH261873:DMI261916 DCL261873:DCM261916 CSP261873:CSQ261916 CIT261873:CIU261916 BYX261873:BYY261916 BPB261873:BPC261916 BFF261873:BFG261916 AVJ261873:AVK261916 ALN261873:ALO261916 ABR261873:ABS261916 RV261873:RW261916 HZ261873:IA261916 WUL196337:WUM196380 WKP196337:WKQ196380 WAT196337:WAU196380 VQX196337:VQY196380 VHB196337:VHC196380 UXF196337:UXG196380 UNJ196337:UNK196380 UDN196337:UDO196380 TTR196337:TTS196380 TJV196337:TJW196380 SZZ196337:TAA196380 SQD196337:SQE196380 SGH196337:SGI196380 RWL196337:RWM196380 RMP196337:RMQ196380 RCT196337:RCU196380 QSX196337:QSY196380 QJB196337:QJC196380 PZF196337:PZG196380 PPJ196337:PPK196380 PFN196337:PFO196380 OVR196337:OVS196380 OLV196337:OLW196380 OBZ196337:OCA196380 NSD196337:NSE196380 NIH196337:NII196380 MYL196337:MYM196380 MOP196337:MOQ196380 MET196337:MEU196380 LUX196337:LUY196380 LLB196337:LLC196380 LBF196337:LBG196380 KRJ196337:KRK196380 KHN196337:KHO196380 JXR196337:JXS196380 JNV196337:JNW196380 JDZ196337:JEA196380 IUD196337:IUE196380 IKH196337:IKI196380 IAL196337:IAM196380 HQP196337:HQQ196380 HGT196337:HGU196380 GWX196337:GWY196380 GNB196337:GNC196380 GDF196337:GDG196380 FTJ196337:FTK196380 FJN196337:FJO196380 EZR196337:EZS196380 EPV196337:EPW196380 EFZ196337:EGA196380 DWD196337:DWE196380 DMH196337:DMI196380 DCL196337:DCM196380 CSP196337:CSQ196380 CIT196337:CIU196380 BYX196337:BYY196380 BPB196337:BPC196380 BFF196337:BFG196380 AVJ196337:AVK196380 ALN196337:ALO196380 ABR196337:ABS196380 RV196337:RW196380 HZ196337:IA196380 WUL130801:WUM130844 WKP130801:WKQ130844 WAT130801:WAU130844 VQX130801:VQY130844 VHB130801:VHC130844 UXF130801:UXG130844 UNJ130801:UNK130844 UDN130801:UDO130844 TTR130801:TTS130844 TJV130801:TJW130844 SZZ130801:TAA130844 SQD130801:SQE130844 SGH130801:SGI130844 RWL130801:RWM130844 RMP130801:RMQ130844 RCT130801:RCU130844 QSX130801:QSY130844 QJB130801:QJC130844 PZF130801:PZG130844 PPJ130801:PPK130844 PFN130801:PFO130844 OVR130801:OVS130844 OLV130801:OLW130844 OBZ130801:OCA130844 NSD130801:NSE130844 NIH130801:NII130844 MYL130801:MYM130844 MOP130801:MOQ130844 MET130801:MEU130844 LUX130801:LUY130844 LLB130801:LLC130844 LBF130801:LBG130844 KRJ130801:KRK130844 KHN130801:KHO130844 JXR130801:JXS130844 JNV130801:JNW130844 JDZ130801:JEA130844 IUD130801:IUE130844 IKH130801:IKI130844 IAL130801:IAM130844 HQP130801:HQQ130844 HGT130801:HGU130844 GWX130801:GWY130844 GNB130801:GNC130844 GDF130801:GDG130844 FTJ130801:FTK130844 FJN130801:FJO130844 EZR130801:EZS130844 EPV130801:EPW130844 EFZ130801:EGA130844 DWD130801:DWE130844 DMH130801:DMI130844 DCL130801:DCM130844 CSP130801:CSQ130844 CIT130801:CIU130844 BYX130801:BYY130844 BPB130801:BPC130844 BFF130801:BFG130844 AVJ130801:AVK130844 ALN130801:ALO130844 ABR130801:ABS130844 RV130801:RW130844 HZ130801:IA130844 WUL65265:WUM65308 WKP65265:WKQ65308 WAT65265:WAU65308 VQX65265:VQY65308 VHB65265:VHC65308 UXF65265:UXG65308 UNJ65265:UNK65308 UDN65265:UDO65308 TTR65265:TTS65308 TJV65265:TJW65308 SZZ65265:TAA65308 SQD65265:SQE65308 SGH65265:SGI65308 RWL65265:RWM65308 RMP65265:RMQ65308 RCT65265:RCU65308 QSX65265:QSY65308 QJB65265:QJC65308 PZF65265:PZG65308 PPJ65265:PPK65308 PFN65265:PFO65308 OVR65265:OVS65308 OLV65265:OLW65308 OBZ65265:OCA65308 NSD65265:NSE65308 NIH65265:NII65308 MYL65265:MYM65308 MOP65265:MOQ65308 MET65265:MEU65308 LUX65265:LUY65308 LLB65265:LLC65308 LBF65265:LBG65308 KRJ65265:KRK65308 KHN65265:KHO65308 JXR65265:JXS65308 JNV65265:JNW65308 JDZ65265:JEA65308 IUD65265:IUE65308 IKH65265:IKI65308 IAL65265:IAM65308 HQP65265:HQQ65308 HGT65265:HGU65308 GWX65265:GWY65308 GNB65265:GNC65308 GDF65265:GDG65308 FTJ65265:FTK65308 FJN65265:FJO65308 EZR65265:EZS65308 EPV65265:EPW65308 EFZ65265:EGA65308 DWD65265:DWE65308 DMH65265:DMI65308 DCL65265:DCM65308 CSP65265:CSQ65308 CIT65265:CIU65308 BYX65265:BYY65308 BPB65265:BPC65308 BFF65265:BFG65308 AVJ65265:AVK65308 ALN65265:ALO65308 ABR65265:ABS65308 RV65265:RW65308 HZ65265:IA65308 HZ17:IA34 WUL17:WUM34 WKP17:WKQ34 WAT17:WAU34 VQX17:VQY34 VHB17:VHC34 UXF17:UXG34 UNJ17:UNK34 UDN17:UDO34 TTR17:TTS34 TJV17:TJW34 SZZ17:TAA34 SQD17:SQE34 SGH17:SGI34 RWL17:RWM34 RMP17:RMQ34 RCT17:RCU34 QSX17:QSY34 QJB17:QJC34 PZF17:PZG34 PPJ17:PPK34 PFN17:PFO34 OVR17:OVS34 OLV17:OLW34 OBZ17:OCA34 NSD17:NSE34 NIH17:NII34 MYL17:MYM34 MOP17:MOQ34 MET17:MEU34 LUX17:LUY34 LLB17:LLC34 LBF17:LBG34 KRJ17:KRK34 KHN17:KHO34 JXR17:JXS34 JNV17:JNW34 JDZ17:JEA34 IUD17:IUE34 IKH17:IKI34 IAL17:IAM34 HQP17:HQQ34 HGT17:HGU34 GWX17:GWY34 GNB17:GNC34 GDF17:GDG34 FTJ17:FTK34 FJN17:FJO34 EZR17:EZS34 EPV17:EPW34 EFZ17:EGA34 DWD17:DWE34 DMH17:DMI34 DCL17:DCM34 CSP17:CSQ34 CIT17:CIU34 BYX17:BYY34 BPB17:BPC34 BFF17:BFG34 AVJ17:AVK34 ALN17:ALO34 ABR17:ABS34 RV17:RW34 HZ36:IA43 C65265:F65308 C130801:F130844 C196337:F196380 C261873:F261916 C327409:F327452 C392945:F392988 C458481:F458524 C524017:F524060 C589553:F589596 C655089:F655132 C720625:F720668 C786161:F786204 C851697:F851740 C917233:F917276 C982769:F982812" xr:uid="{00000000-0002-0000-0500-000002000000}">
      <formula1>#REF!</formula1>
    </dataValidation>
  </dataValidations>
  <pageMargins left="0.23622047244094491" right="0.23622047244094491" top="0.74803149606299213" bottom="0.74803149606299213" header="0.31496062992125984" footer="0.31496062992125984"/>
  <pageSetup paperSize="9" scale="72" orientation="portrait" r:id="rId1"/>
  <rowBreaks count="1" manualBreakCount="1">
    <brk id="40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3000000}">
          <x14:formula1>
            <xm:f>リスト!$I$2:$I$5</xm:f>
          </x14:formula1>
          <xm:sqref>B9:C107</xm:sqref>
        </x14:dataValidation>
        <x14:dataValidation type="list" allowBlank="1" showInputMessage="1" showErrorMessage="1" xr:uid="{00000000-0002-0000-0500-000004000000}">
          <x14:formula1>
            <xm:f>リスト!$J$2:$J$5</xm:f>
          </x14:formula1>
          <xm:sqref>D9:D108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I149"/>
  <sheetViews>
    <sheetView view="pageBreakPreview" zoomScaleNormal="100" zoomScaleSheetLayoutView="100" workbookViewId="0">
      <selection sqref="A1:BQ2"/>
    </sheetView>
  </sheetViews>
  <sheetFormatPr defaultColWidth="2.88671875" defaultRowHeight="13.2"/>
  <cols>
    <col min="1" max="16384" width="2.88671875" style="125"/>
  </cols>
  <sheetData>
    <row r="1" spans="1:139" ht="13.5" customHeight="1">
      <c r="A1" s="908" t="s">
        <v>593</v>
      </c>
      <c r="B1" s="908"/>
      <c r="C1" s="908"/>
      <c r="D1" s="908"/>
      <c r="E1" s="908"/>
      <c r="F1" s="908"/>
      <c r="G1" s="908"/>
      <c r="H1" s="908"/>
      <c r="I1" s="908"/>
      <c r="J1" s="908"/>
      <c r="K1" s="908"/>
      <c r="L1" s="908"/>
      <c r="M1" s="908"/>
      <c r="N1" s="908"/>
      <c r="O1" s="908"/>
      <c r="P1" s="908"/>
      <c r="Q1" s="908"/>
      <c r="R1" s="908"/>
      <c r="S1" s="908"/>
      <c r="T1" s="908"/>
      <c r="U1" s="908"/>
      <c r="V1" s="908"/>
      <c r="W1" s="908"/>
      <c r="X1" s="908"/>
      <c r="Y1" s="908"/>
      <c r="Z1" s="908"/>
      <c r="AA1" s="908"/>
      <c r="AB1" s="908"/>
      <c r="AC1" s="908"/>
      <c r="AD1" s="908"/>
      <c r="AE1" s="908"/>
      <c r="AF1" s="908"/>
      <c r="AG1" s="908"/>
      <c r="AH1" s="908"/>
      <c r="AI1" s="908"/>
      <c r="AJ1" s="908"/>
      <c r="AK1" s="908"/>
      <c r="AL1" s="908"/>
      <c r="AM1" s="908"/>
      <c r="AN1" s="908"/>
      <c r="AO1" s="908"/>
      <c r="AP1" s="908"/>
      <c r="AQ1" s="908"/>
      <c r="AR1" s="908"/>
      <c r="AS1" s="908"/>
      <c r="AT1" s="908"/>
      <c r="AU1" s="908"/>
      <c r="AV1" s="908"/>
      <c r="AW1" s="908"/>
      <c r="AX1" s="908"/>
      <c r="AY1" s="908"/>
      <c r="AZ1" s="908"/>
      <c r="BA1" s="908"/>
      <c r="BB1" s="908"/>
      <c r="BC1" s="908"/>
      <c r="BD1" s="908"/>
      <c r="BE1" s="908"/>
      <c r="BF1" s="908"/>
      <c r="BG1" s="908"/>
      <c r="BH1" s="908"/>
      <c r="BI1" s="908"/>
      <c r="BJ1" s="908"/>
      <c r="BK1" s="908"/>
      <c r="BL1" s="908"/>
      <c r="BM1" s="908"/>
      <c r="BN1" s="908"/>
      <c r="BO1" s="908"/>
      <c r="BP1" s="908"/>
      <c r="BQ1" s="908"/>
      <c r="CG1" s="126"/>
      <c r="CJ1" s="127"/>
      <c r="CK1" s="128"/>
      <c r="CL1" s="128"/>
      <c r="CM1" s="128"/>
      <c r="CN1" s="129"/>
      <c r="CO1" s="128"/>
      <c r="CQ1" s="129" t="s">
        <v>170</v>
      </c>
    </row>
    <row r="2" spans="1:139" ht="13.5" customHeight="1">
      <c r="A2" s="908"/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  <c r="V2" s="908"/>
      <c r="W2" s="908"/>
      <c r="X2" s="908"/>
      <c r="Y2" s="908"/>
      <c r="Z2" s="908"/>
      <c r="AA2" s="908"/>
      <c r="AB2" s="908"/>
      <c r="AC2" s="908"/>
      <c r="AD2" s="908"/>
      <c r="AE2" s="908"/>
      <c r="AF2" s="908"/>
      <c r="AG2" s="908"/>
      <c r="AH2" s="908"/>
      <c r="AI2" s="908"/>
      <c r="AJ2" s="908"/>
      <c r="AK2" s="908"/>
      <c r="AL2" s="908"/>
      <c r="AM2" s="908"/>
      <c r="AN2" s="908"/>
      <c r="AO2" s="908"/>
      <c r="AP2" s="908"/>
      <c r="AQ2" s="908"/>
      <c r="AR2" s="908"/>
      <c r="AS2" s="908"/>
      <c r="AT2" s="908"/>
      <c r="AU2" s="908"/>
      <c r="AV2" s="908"/>
      <c r="AW2" s="908"/>
      <c r="AX2" s="908"/>
      <c r="AY2" s="908"/>
      <c r="AZ2" s="908"/>
      <c r="BA2" s="908"/>
      <c r="BB2" s="908"/>
      <c r="BC2" s="908"/>
      <c r="BD2" s="908"/>
      <c r="BE2" s="908"/>
      <c r="BF2" s="908"/>
      <c r="BG2" s="908"/>
      <c r="BH2" s="908"/>
      <c r="BI2" s="908"/>
      <c r="BJ2" s="908"/>
      <c r="BK2" s="908"/>
      <c r="BL2" s="908"/>
      <c r="BM2" s="908"/>
      <c r="BN2" s="908"/>
      <c r="BO2" s="908"/>
      <c r="BP2" s="908"/>
      <c r="BQ2" s="908"/>
      <c r="CG2" s="126"/>
      <c r="CJ2" s="127"/>
      <c r="CK2" s="128"/>
      <c r="CL2" s="128"/>
      <c r="CM2" s="128"/>
      <c r="CN2" s="129"/>
      <c r="CO2" s="128"/>
      <c r="CQ2" s="129" t="s">
        <v>174</v>
      </c>
    </row>
    <row r="3" spans="1:139" ht="13.8" thickBot="1">
      <c r="CG3" s="126"/>
      <c r="CJ3" s="127"/>
      <c r="CK3" s="128"/>
      <c r="CL3" s="128"/>
      <c r="CM3" s="128"/>
      <c r="CN3" s="128"/>
      <c r="CO3" s="128"/>
    </row>
    <row r="4" spans="1:139">
      <c r="B4" s="909" t="s">
        <v>741</v>
      </c>
      <c r="C4" s="910"/>
      <c r="D4" s="910"/>
      <c r="E4" s="910"/>
      <c r="F4" s="910"/>
      <c r="G4" s="910"/>
      <c r="H4" s="910"/>
      <c r="I4" s="910"/>
      <c r="J4" s="910"/>
      <c r="K4" s="910"/>
      <c r="L4" s="910"/>
      <c r="M4" s="910"/>
      <c r="N4" s="910"/>
      <c r="O4" s="910"/>
      <c r="P4" s="910"/>
      <c r="Q4" s="910"/>
      <c r="R4" s="910"/>
      <c r="S4" s="910"/>
      <c r="T4" s="910"/>
      <c r="U4" s="910"/>
      <c r="V4" s="910"/>
      <c r="W4" s="910"/>
      <c r="X4" s="910"/>
      <c r="Y4" s="910"/>
      <c r="Z4" s="910"/>
      <c r="AA4" s="910"/>
      <c r="AB4" s="910"/>
      <c r="AC4" s="910"/>
      <c r="AD4" s="910"/>
      <c r="AE4" s="910"/>
      <c r="AF4" s="910"/>
      <c r="AG4" s="910"/>
      <c r="AH4" s="910"/>
      <c r="AI4" s="910"/>
      <c r="AJ4" s="910"/>
      <c r="AK4" s="910"/>
      <c r="AL4" s="910"/>
      <c r="AM4" s="910"/>
      <c r="AN4" s="910"/>
      <c r="AO4" s="910"/>
      <c r="AP4" s="910"/>
      <c r="AQ4" s="910"/>
      <c r="AR4" s="910"/>
      <c r="AS4" s="910"/>
      <c r="AT4" s="910"/>
      <c r="AU4" s="910"/>
      <c r="AV4" s="910"/>
      <c r="AW4" s="910"/>
      <c r="AX4" s="910"/>
      <c r="AY4" s="910"/>
      <c r="AZ4" s="910"/>
      <c r="BA4" s="910"/>
      <c r="BB4" s="910"/>
      <c r="BC4" s="910"/>
      <c r="BD4" s="910"/>
      <c r="BE4" s="910"/>
      <c r="BF4" s="910"/>
      <c r="BG4" s="910"/>
      <c r="BH4" s="910"/>
      <c r="BI4" s="910"/>
      <c r="BJ4" s="910"/>
      <c r="BK4" s="910"/>
      <c r="BL4" s="910"/>
      <c r="BM4" s="910"/>
      <c r="BN4" s="910"/>
      <c r="BO4" s="910"/>
      <c r="BP4" s="910"/>
      <c r="BQ4" s="911"/>
      <c r="CG4" s="126"/>
      <c r="CJ4" s="127"/>
      <c r="CK4" s="128"/>
      <c r="CL4" s="128"/>
      <c r="CM4" s="128"/>
      <c r="CN4" s="128"/>
      <c r="CO4" s="128"/>
    </row>
    <row r="5" spans="1:139">
      <c r="B5" s="912"/>
      <c r="C5" s="913"/>
      <c r="D5" s="913"/>
      <c r="E5" s="913"/>
      <c r="F5" s="913"/>
      <c r="G5" s="913"/>
      <c r="H5" s="913"/>
      <c r="I5" s="913"/>
      <c r="J5" s="913"/>
      <c r="K5" s="913"/>
      <c r="L5" s="913"/>
      <c r="M5" s="913"/>
      <c r="N5" s="913"/>
      <c r="O5" s="913"/>
      <c r="P5" s="913"/>
      <c r="Q5" s="913"/>
      <c r="R5" s="913"/>
      <c r="S5" s="913"/>
      <c r="T5" s="913"/>
      <c r="U5" s="913"/>
      <c r="V5" s="913"/>
      <c r="W5" s="913"/>
      <c r="X5" s="913"/>
      <c r="Y5" s="913"/>
      <c r="Z5" s="913"/>
      <c r="AA5" s="913"/>
      <c r="AB5" s="913"/>
      <c r="AC5" s="913"/>
      <c r="AD5" s="913"/>
      <c r="AE5" s="913"/>
      <c r="AF5" s="913"/>
      <c r="AG5" s="913"/>
      <c r="AH5" s="913"/>
      <c r="AI5" s="913"/>
      <c r="AJ5" s="913"/>
      <c r="AK5" s="913"/>
      <c r="AL5" s="913"/>
      <c r="AM5" s="913"/>
      <c r="AN5" s="913"/>
      <c r="AO5" s="913"/>
      <c r="AP5" s="913"/>
      <c r="AQ5" s="913"/>
      <c r="AR5" s="913"/>
      <c r="AS5" s="913"/>
      <c r="AT5" s="913"/>
      <c r="AU5" s="913"/>
      <c r="AV5" s="913"/>
      <c r="AW5" s="913"/>
      <c r="AX5" s="913"/>
      <c r="AY5" s="913"/>
      <c r="AZ5" s="913"/>
      <c r="BA5" s="913"/>
      <c r="BB5" s="913"/>
      <c r="BC5" s="913"/>
      <c r="BD5" s="913"/>
      <c r="BE5" s="913"/>
      <c r="BF5" s="913"/>
      <c r="BG5" s="913"/>
      <c r="BH5" s="913"/>
      <c r="BI5" s="913"/>
      <c r="BJ5" s="913"/>
      <c r="BK5" s="913"/>
      <c r="BL5" s="913"/>
      <c r="BM5" s="913"/>
      <c r="BN5" s="913"/>
      <c r="BO5" s="913"/>
      <c r="BP5" s="913"/>
      <c r="BQ5" s="914"/>
      <c r="CG5" s="126"/>
      <c r="CJ5" s="127"/>
      <c r="CK5" s="128"/>
      <c r="CL5" s="128"/>
      <c r="CM5" s="128"/>
      <c r="CN5" s="128"/>
      <c r="CO5" s="128"/>
    </row>
    <row r="6" spans="1:139">
      <c r="B6" s="912"/>
      <c r="C6" s="913"/>
      <c r="D6" s="913"/>
      <c r="E6" s="913"/>
      <c r="F6" s="913"/>
      <c r="G6" s="913"/>
      <c r="H6" s="913"/>
      <c r="I6" s="913"/>
      <c r="J6" s="913"/>
      <c r="K6" s="913"/>
      <c r="L6" s="913"/>
      <c r="M6" s="913"/>
      <c r="N6" s="913"/>
      <c r="O6" s="913"/>
      <c r="P6" s="913"/>
      <c r="Q6" s="913"/>
      <c r="R6" s="913"/>
      <c r="S6" s="913"/>
      <c r="T6" s="913"/>
      <c r="U6" s="913"/>
      <c r="V6" s="913"/>
      <c r="W6" s="913"/>
      <c r="X6" s="913"/>
      <c r="Y6" s="913"/>
      <c r="Z6" s="913"/>
      <c r="AA6" s="913"/>
      <c r="AB6" s="913"/>
      <c r="AC6" s="913"/>
      <c r="AD6" s="913"/>
      <c r="AE6" s="913"/>
      <c r="AF6" s="913"/>
      <c r="AG6" s="913"/>
      <c r="AH6" s="913"/>
      <c r="AI6" s="913"/>
      <c r="AJ6" s="913"/>
      <c r="AK6" s="913"/>
      <c r="AL6" s="913"/>
      <c r="AM6" s="913"/>
      <c r="AN6" s="913"/>
      <c r="AO6" s="913"/>
      <c r="AP6" s="913"/>
      <c r="AQ6" s="913"/>
      <c r="AR6" s="913"/>
      <c r="AS6" s="913"/>
      <c r="AT6" s="913"/>
      <c r="AU6" s="913"/>
      <c r="AV6" s="913"/>
      <c r="AW6" s="913"/>
      <c r="AX6" s="913"/>
      <c r="AY6" s="913"/>
      <c r="AZ6" s="913"/>
      <c r="BA6" s="913"/>
      <c r="BB6" s="913"/>
      <c r="BC6" s="913"/>
      <c r="BD6" s="913"/>
      <c r="BE6" s="913"/>
      <c r="BF6" s="913"/>
      <c r="BG6" s="913"/>
      <c r="BH6" s="913"/>
      <c r="BI6" s="913"/>
      <c r="BJ6" s="913"/>
      <c r="BK6" s="913"/>
      <c r="BL6" s="913"/>
      <c r="BM6" s="913"/>
      <c r="BN6" s="913"/>
      <c r="BO6" s="913"/>
      <c r="BP6" s="913"/>
      <c r="BQ6" s="914"/>
      <c r="CJ6" s="127"/>
      <c r="CK6" s="128"/>
      <c r="CL6" s="128"/>
      <c r="CM6" s="128"/>
      <c r="CN6" s="128"/>
      <c r="CO6" s="128"/>
    </row>
    <row r="7" spans="1:139">
      <c r="B7" s="912"/>
      <c r="C7" s="913"/>
      <c r="D7" s="913"/>
      <c r="E7" s="913"/>
      <c r="F7" s="913"/>
      <c r="G7" s="913"/>
      <c r="H7" s="913"/>
      <c r="I7" s="913"/>
      <c r="J7" s="913"/>
      <c r="K7" s="913"/>
      <c r="L7" s="913"/>
      <c r="M7" s="913"/>
      <c r="N7" s="913"/>
      <c r="O7" s="913"/>
      <c r="P7" s="913"/>
      <c r="Q7" s="913"/>
      <c r="R7" s="913"/>
      <c r="S7" s="913"/>
      <c r="T7" s="913"/>
      <c r="U7" s="913"/>
      <c r="V7" s="913"/>
      <c r="W7" s="913"/>
      <c r="X7" s="913"/>
      <c r="Y7" s="913"/>
      <c r="Z7" s="913"/>
      <c r="AA7" s="913"/>
      <c r="AB7" s="913"/>
      <c r="AC7" s="913"/>
      <c r="AD7" s="913"/>
      <c r="AE7" s="913"/>
      <c r="AF7" s="913"/>
      <c r="AG7" s="913"/>
      <c r="AH7" s="913"/>
      <c r="AI7" s="913"/>
      <c r="AJ7" s="913"/>
      <c r="AK7" s="913"/>
      <c r="AL7" s="913"/>
      <c r="AM7" s="913"/>
      <c r="AN7" s="913"/>
      <c r="AO7" s="913"/>
      <c r="AP7" s="913"/>
      <c r="AQ7" s="913"/>
      <c r="AR7" s="913"/>
      <c r="AS7" s="913"/>
      <c r="AT7" s="913"/>
      <c r="AU7" s="913"/>
      <c r="AV7" s="913"/>
      <c r="AW7" s="913"/>
      <c r="AX7" s="913"/>
      <c r="AY7" s="913"/>
      <c r="AZ7" s="913"/>
      <c r="BA7" s="913"/>
      <c r="BB7" s="913"/>
      <c r="BC7" s="913"/>
      <c r="BD7" s="913"/>
      <c r="BE7" s="913"/>
      <c r="BF7" s="913"/>
      <c r="BG7" s="913"/>
      <c r="BH7" s="913"/>
      <c r="BI7" s="913"/>
      <c r="BJ7" s="913"/>
      <c r="BK7" s="913"/>
      <c r="BL7" s="913"/>
      <c r="BM7" s="913"/>
      <c r="BN7" s="913"/>
      <c r="BO7" s="913"/>
      <c r="BP7" s="913"/>
      <c r="BQ7" s="914"/>
      <c r="CJ7" s="127"/>
      <c r="CK7" s="128"/>
      <c r="CL7" s="128"/>
      <c r="CM7" s="128"/>
      <c r="CN7" s="128"/>
      <c r="CO7" s="128"/>
    </row>
    <row r="8" spans="1:139">
      <c r="B8" s="912"/>
      <c r="C8" s="913"/>
      <c r="D8" s="913"/>
      <c r="E8" s="913"/>
      <c r="F8" s="913"/>
      <c r="G8" s="913"/>
      <c r="H8" s="913"/>
      <c r="I8" s="913"/>
      <c r="J8" s="913"/>
      <c r="K8" s="913"/>
      <c r="L8" s="913"/>
      <c r="M8" s="913"/>
      <c r="N8" s="913"/>
      <c r="O8" s="913"/>
      <c r="P8" s="913"/>
      <c r="Q8" s="913"/>
      <c r="R8" s="913"/>
      <c r="S8" s="913"/>
      <c r="T8" s="913"/>
      <c r="U8" s="913"/>
      <c r="V8" s="913"/>
      <c r="W8" s="913"/>
      <c r="X8" s="913"/>
      <c r="Y8" s="913"/>
      <c r="Z8" s="913"/>
      <c r="AA8" s="913"/>
      <c r="AB8" s="913"/>
      <c r="AC8" s="913"/>
      <c r="AD8" s="913"/>
      <c r="AE8" s="913"/>
      <c r="AF8" s="913"/>
      <c r="AG8" s="913"/>
      <c r="AH8" s="913"/>
      <c r="AI8" s="913"/>
      <c r="AJ8" s="913"/>
      <c r="AK8" s="913"/>
      <c r="AL8" s="913"/>
      <c r="AM8" s="913"/>
      <c r="AN8" s="913"/>
      <c r="AO8" s="913"/>
      <c r="AP8" s="913"/>
      <c r="AQ8" s="913"/>
      <c r="AR8" s="913"/>
      <c r="AS8" s="913"/>
      <c r="AT8" s="913"/>
      <c r="AU8" s="913"/>
      <c r="AV8" s="913"/>
      <c r="AW8" s="913"/>
      <c r="AX8" s="913"/>
      <c r="AY8" s="913"/>
      <c r="AZ8" s="913"/>
      <c r="BA8" s="913"/>
      <c r="BB8" s="913"/>
      <c r="BC8" s="913"/>
      <c r="BD8" s="913"/>
      <c r="BE8" s="913"/>
      <c r="BF8" s="913"/>
      <c r="BG8" s="913"/>
      <c r="BH8" s="913"/>
      <c r="BI8" s="913"/>
      <c r="BJ8" s="913"/>
      <c r="BK8" s="913"/>
      <c r="BL8" s="913"/>
      <c r="BM8" s="913"/>
      <c r="BN8" s="913"/>
      <c r="BO8" s="913"/>
      <c r="BP8" s="913"/>
      <c r="BQ8" s="914"/>
      <c r="CJ8" s="127"/>
      <c r="CK8" s="128"/>
      <c r="CL8" s="128"/>
      <c r="CM8" s="128"/>
      <c r="CN8" s="128"/>
      <c r="CO8" s="128"/>
    </row>
    <row r="9" spans="1:139">
      <c r="B9" s="912"/>
      <c r="C9" s="913"/>
      <c r="D9" s="913"/>
      <c r="E9" s="913"/>
      <c r="F9" s="913"/>
      <c r="G9" s="913"/>
      <c r="H9" s="913"/>
      <c r="I9" s="913"/>
      <c r="J9" s="913"/>
      <c r="K9" s="913"/>
      <c r="L9" s="913"/>
      <c r="M9" s="913"/>
      <c r="N9" s="913"/>
      <c r="O9" s="913"/>
      <c r="P9" s="913"/>
      <c r="Q9" s="913"/>
      <c r="R9" s="913"/>
      <c r="S9" s="913"/>
      <c r="T9" s="913"/>
      <c r="U9" s="913"/>
      <c r="V9" s="913"/>
      <c r="W9" s="913"/>
      <c r="X9" s="913"/>
      <c r="Y9" s="913"/>
      <c r="Z9" s="913"/>
      <c r="AA9" s="913"/>
      <c r="AB9" s="913"/>
      <c r="AC9" s="913"/>
      <c r="AD9" s="913"/>
      <c r="AE9" s="913"/>
      <c r="AF9" s="913"/>
      <c r="AG9" s="913"/>
      <c r="AH9" s="913"/>
      <c r="AI9" s="913"/>
      <c r="AJ9" s="913"/>
      <c r="AK9" s="913"/>
      <c r="AL9" s="913"/>
      <c r="AM9" s="913"/>
      <c r="AN9" s="913"/>
      <c r="AO9" s="913"/>
      <c r="AP9" s="913"/>
      <c r="AQ9" s="913"/>
      <c r="AR9" s="913"/>
      <c r="AS9" s="913"/>
      <c r="AT9" s="913"/>
      <c r="AU9" s="913"/>
      <c r="AV9" s="913"/>
      <c r="AW9" s="913"/>
      <c r="AX9" s="913"/>
      <c r="AY9" s="913"/>
      <c r="AZ9" s="913"/>
      <c r="BA9" s="913"/>
      <c r="BB9" s="913"/>
      <c r="BC9" s="913"/>
      <c r="BD9" s="913"/>
      <c r="BE9" s="913"/>
      <c r="BF9" s="913"/>
      <c r="BG9" s="913"/>
      <c r="BH9" s="913"/>
      <c r="BI9" s="913"/>
      <c r="BJ9" s="913"/>
      <c r="BK9" s="913"/>
      <c r="BL9" s="913"/>
      <c r="BM9" s="913"/>
      <c r="BN9" s="913"/>
      <c r="BO9" s="913"/>
      <c r="BP9" s="913"/>
      <c r="BQ9" s="914"/>
      <c r="CJ9" s="128"/>
      <c r="CK9" s="128"/>
      <c r="CL9" s="128"/>
      <c r="CM9" s="128"/>
      <c r="CN9" s="128"/>
      <c r="CO9" s="128"/>
    </row>
    <row r="10" spans="1:139" ht="13.8" thickBot="1">
      <c r="B10" s="915"/>
      <c r="C10" s="916"/>
      <c r="D10" s="916"/>
      <c r="E10" s="916"/>
      <c r="F10" s="916"/>
      <c r="G10" s="916"/>
      <c r="H10" s="916"/>
      <c r="I10" s="916"/>
      <c r="J10" s="916"/>
      <c r="K10" s="916"/>
      <c r="L10" s="916"/>
      <c r="M10" s="916"/>
      <c r="N10" s="916"/>
      <c r="O10" s="916"/>
      <c r="P10" s="916"/>
      <c r="Q10" s="916"/>
      <c r="R10" s="916"/>
      <c r="S10" s="916"/>
      <c r="T10" s="916"/>
      <c r="U10" s="916"/>
      <c r="V10" s="916"/>
      <c r="W10" s="916"/>
      <c r="X10" s="916"/>
      <c r="Y10" s="916"/>
      <c r="Z10" s="916"/>
      <c r="AA10" s="916"/>
      <c r="AB10" s="916"/>
      <c r="AC10" s="916"/>
      <c r="AD10" s="916"/>
      <c r="AE10" s="916"/>
      <c r="AF10" s="916"/>
      <c r="AG10" s="916"/>
      <c r="AH10" s="916"/>
      <c r="AI10" s="916"/>
      <c r="AJ10" s="916"/>
      <c r="AK10" s="916"/>
      <c r="AL10" s="916"/>
      <c r="AM10" s="916"/>
      <c r="AN10" s="916"/>
      <c r="AO10" s="916"/>
      <c r="AP10" s="916"/>
      <c r="AQ10" s="916"/>
      <c r="AR10" s="916"/>
      <c r="AS10" s="916"/>
      <c r="AT10" s="916"/>
      <c r="AU10" s="916"/>
      <c r="AV10" s="916"/>
      <c r="AW10" s="916"/>
      <c r="AX10" s="916"/>
      <c r="AY10" s="916"/>
      <c r="AZ10" s="916"/>
      <c r="BA10" s="916"/>
      <c r="BB10" s="916"/>
      <c r="BC10" s="916"/>
      <c r="BD10" s="916"/>
      <c r="BE10" s="916"/>
      <c r="BF10" s="916"/>
      <c r="BG10" s="916"/>
      <c r="BH10" s="916"/>
      <c r="BI10" s="916"/>
      <c r="BJ10" s="916"/>
      <c r="BK10" s="916"/>
      <c r="BL10" s="916"/>
      <c r="BM10" s="916"/>
      <c r="BN10" s="916"/>
      <c r="BO10" s="916"/>
      <c r="BP10" s="916"/>
      <c r="BQ10" s="917"/>
    </row>
    <row r="12" spans="1:139">
      <c r="B12" s="130" t="s">
        <v>184</v>
      </c>
    </row>
    <row r="13" spans="1:139" s="37" customFormat="1" ht="18.75" customHeight="1">
      <c r="A13" s="34"/>
      <c r="B13" s="918" t="s">
        <v>39</v>
      </c>
      <c r="C13" s="918"/>
      <c r="D13" s="918"/>
      <c r="E13" s="918"/>
      <c r="F13" s="918"/>
      <c r="G13" s="918"/>
      <c r="H13" s="918"/>
      <c r="I13" s="919" t="s">
        <v>38</v>
      </c>
      <c r="J13" s="919"/>
      <c r="K13" s="919"/>
      <c r="L13" s="919"/>
      <c r="M13" s="919"/>
      <c r="N13" s="919"/>
      <c r="O13" s="919"/>
      <c r="P13" s="919"/>
      <c r="Q13" s="919"/>
      <c r="R13" s="919"/>
      <c r="S13" s="919"/>
      <c r="T13" s="919"/>
      <c r="U13" s="920" t="s">
        <v>185</v>
      </c>
      <c r="V13" s="920"/>
      <c r="W13" s="920"/>
      <c r="X13" s="920"/>
      <c r="Y13" s="919" t="s">
        <v>402</v>
      </c>
      <c r="Z13" s="919"/>
      <c r="AA13" s="919"/>
      <c r="AB13" s="919"/>
      <c r="AC13" s="919"/>
      <c r="AD13" s="919"/>
      <c r="AE13" s="919"/>
      <c r="AF13" s="919"/>
      <c r="AG13" s="919"/>
      <c r="AH13" s="919"/>
      <c r="AI13" s="919"/>
      <c r="AJ13" s="919"/>
      <c r="AK13" s="919"/>
      <c r="AL13" s="919"/>
      <c r="AM13" s="919"/>
      <c r="AN13" s="919"/>
      <c r="AO13" s="34"/>
      <c r="AP13" s="35"/>
      <c r="AQ13" s="35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110"/>
      <c r="BY13" s="110"/>
      <c r="BZ13" s="110"/>
      <c r="CA13" s="110"/>
      <c r="CB13" s="110"/>
      <c r="CC13" s="110"/>
      <c r="CD13" s="110"/>
      <c r="CE13" s="110"/>
      <c r="CF13" s="110"/>
      <c r="CG13" s="110"/>
      <c r="CH13" s="110"/>
      <c r="CI13" s="110"/>
      <c r="CJ13" s="110"/>
      <c r="CK13" s="110"/>
      <c r="CL13" s="110"/>
      <c r="CM13" s="110"/>
      <c r="CN13" s="110"/>
      <c r="CO13" s="110"/>
      <c r="CP13" s="110"/>
      <c r="CQ13" s="110"/>
      <c r="CR13" s="110"/>
      <c r="CS13" s="110"/>
      <c r="CT13" s="110"/>
      <c r="CU13" s="110"/>
      <c r="CV13" s="110"/>
      <c r="CW13" s="110"/>
      <c r="CX13" s="110"/>
      <c r="CY13" s="110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0"/>
      <c r="DT13" s="110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</row>
    <row r="14" spans="1:139" ht="18.75" customHeight="1">
      <c r="B14" s="897" t="s">
        <v>186</v>
      </c>
      <c r="C14" s="898"/>
      <c r="D14" s="898"/>
      <c r="E14" s="898"/>
      <c r="F14" s="898"/>
      <c r="G14" s="898"/>
      <c r="H14" s="899"/>
      <c r="I14" s="900"/>
      <c r="J14" s="901"/>
      <c r="K14" s="901"/>
      <c r="L14" s="901"/>
      <c r="M14" s="901"/>
      <c r="N14" s="901"/>
      <c r="O14" s="901"/>
      <c r="P14" s="901"/>
      <c r="Q14" s="901"/>
      <c r="R14" s="901"/>
      <c r="S14" s="901"/>
      <c r="T14" s="901"/>
      <c r="U14" s="901"/>
      <c r="V14" s="901"/>
      <c r="W14" s="901"/>
      <c r="X14" s="902"/>
      <c r="Y14" s="131"/>
      <c r="Z14" s="132"/>
      <c r="AA14" s="132"/>
      <c r="AB14" s="132"/>
      <c r="AC14" s="132"/>
      <c r="AD14" s="132"/>
      <c r="AE14" s="132"/>
      <c r="AF14" s="133"/>
      <c r="AG14" s="133"/>
      <c r="AH14" s="133"/>
      <c r="AI14" s="133"/>
      <c r="AJ14" s="134"/>
      <c r="AK14" s="134"/>
      <c r="AL14" s="134"/>
      <c r="AM14" s="134"/>
      <c r="AN14" s="134"/>
      <c r="AO14" s="134"/>
      <c r="AP14" s="134"/>
      <c r="AQ14" s="134"/>
      <c r="AR14" s="134"/>
      <c r="AS14" s="134"/>
      <c r="AT14" s="134"/>
      <c r="AU14" s="134"/>
      <c r="AV14" s="135"/>
      <c r="AW14" s="135"/>
      <c r="AX14" s="135"/>
      <c r="AY14" s="135"/>
      <c r="AZ14" s="135"/>
    </row>
    <row r="15" spans="1:139" ht="18.75" customHeight="1">
      <c r="I15" s="900"/>
      <c r="J15" s="901"/>
      <c r="K15" s="901"/>
      <c r="L15" s="901"/>
      <c r="M15" s="901"/>
      <c r="N15" s="901"/>
      <c r="O15" s="901"/>
      <c r="P15" s="901"/>
      <c r="Q15" s="901"/>
      <c r="R15" s="901"/>
      <c r="S15" s="901"/>
      <c r="T15" s="901"/>
      <c r="U15" s="901"/>
      <c r="V15" s="901"/>
      <c r="W15" s="901"/>
      <c r="X15" s="902"/>
      <c r="Y15" s="903" t="s">
        <v>187</v>
      </c>
      <c r="Z15" s="904"/>
      <c r="AA15" s="904"/>
      <c r="AB15" s="904"/>
      <c r="AC15" s="904"/>
      <c r="AD15" s="904"/>
      <c r="AE15" s="904"/>
      <c r="AF15" s="904"/>
      <c r="AG15" s="904"/>
      <c r="AH15" s="904"/>
      <c r="AI15" s="904"/>
      <c r="AJ15" s="904"/>
      <c r="AK15" s="904"/>
      <c r="AL15" s="904"/>
      <c r="AM15" s="904"/>
      <c r="AN15" s="904"/>
      <c r="AO15" s="904"/>
      <c r="AP15" s="904"/>
      <c r="AQ15" s="904"/>
      <c r="AR15" s="904"/>
      <c r="AS15" s="904"/>
      <c r="AT15" s="904"/>
      <c r="AU15" s="904"/>
      <c r="AV15" s="904"/>
      <c r="AW15" s="904"/>
      <c r="AX15" s="904"/>
      <c r="AY15" s="904"/>
      <c r="AZ15" s="904"/>
    </row>
    <row r="16" spans="1:139" ht="18.75" customHeight="1">
      <c r="B16" s="897" t="s">
        <v>37</v>
      </c>
      <c r="C16" s="898"/>
      <c r="D16" s="898"/>
      <c r="E16" s="898"/>
      <c r="F16" s="898"/>
      <c r="G16" s="898"/>
      <c r="H16" s="899"/>
      <c r="I16" s="905"/>
      <c r="J16" s="906"/>
      <c r="K16" s="906"/>
      <c r="L16" s="906"/>
      <c r="M16" s="906"/>
      <c r="N16" s="906"/>
      <c r="O16" s="906"/>
      <c r="P16" s="906"/>
      <c r="Q16" s="906"/>
      <c r="R16" s="906"/>
      <c r="S16" s="906"/>
      <c r="T16" s="906"/>
      <c r="U16" s="906"/>
      <c r="V16" s="906"/>
      <c r="W16" s="906"/>
      <c r="X16" s="907"/>
    </row>
    <row r="18" spans="2:68">
      <c r="B18" s="130" t="s">
        <v>188</v>
      </c>
      <c r="J18" s="125" t="s">
        <v>189</v>
      </c>
    </row>
    <row r="19" spans="2:68" s="136" customFormat="1" ht="16.2">
      <c r="C19" s="926" t="s">
        <v>190</v>
      </c>
      <c r="D19" s="926"/>
      <c r="E19" s="926"/>
      <c r="F19" s="926"/>
      <c r="G19" s="926"/>
      <c r="H19" s="926"/>
      <c r="I19" s="926"/>
      <c r="Z19" s="926" t="s">
        <v>191</v>
      </c>
      <c r="AA19" s="926"/>
      <c r="AB19" s="926"/>
      <c r="AC19" s="926"/>
      <c r="AD19" s="926"/>
      <c r="AE19" s="926"/>
      <c r="AF19" s="926"/>
      <c r="AW19" s="137" t="s">
        <v>192</v>
      </c>
      <c r="AX19" s="137"/>
      <c r="AY19" s="137"/>
      <c r="AZ19" s="137"/>
      <c r="BA19" s="137"/>
      <c r="BB19" s="137"/>
      <c r="BC19" s="137"/>
    </row>
    <row r="20" spans="2:68" s="136" customFormat="1" ht="16.2">
      <c r="B20" s="921" t="s">
        <v>591</v>
      </c>
      <c r="C20" s="921"/>
      <c r="D20" s="927" t="s">
        <v>594</v>
      </c>
      <c r="E20" s="925"/>
      <c r="F20" s="925"/>
      <c r="G20" s="925"/>
      <c r="H20" s="925"/>
      <c r="I20" s="925"/>
      <c r="J20" s="925"/>
      <c r="K20" s="925"/>
      <c r="L20" s="925"/>
      <c r="M20" s="925"/>
      <c r="N20" s="925"/>
      <c r="O20" s="925"/>
      <c r="P20" s="925"/>
      <c r="Q20" s="925"/>
      <c r="R20" s="925"/>
      <c r="S20" s="925"/>
      <c r="T20" s="925"/>
      <c r="U20" s="925"/>
      <c r="V20" s="925"/>
      <c r="W20" s="187"/>
      <c r="X20" s="187"/>
      <c r="Y20" s="921" t="s">
        <v>591</v>
      </c>
      <c r="Z20" s="921"/>
      <c r="AA20" s="922" t="s">
        <v>595</v>
      </c>
      <c r="AB20" s="923"/>
      <c r="AC20" s="923"/>
      <c r="AD20" s="923"/>
      <c r="AE20" s="923"/>
      <c r="AF20" s="923"/>
      <c r="AG20" s="923"/>
      <c r="AH20" s="923"/>
      <c r="AI20" s="923"/>
      <c r="AJ20" s="923"/>
      <c r="AK20" s="923"/>
      <c r="AL20" s="923"/>
      <c r="AM20" s="923"/>
      <c r="AN20" s="923"/>
      <c r="AO20" s="923"/>
      <c r="AP20" s="923"/>
      <c r="AQ20" s="923"/>
      <c r="AR20" s="923"/>
      <c r="AS20" s="924"/>
      <c r="AT20" s="188"/>
      <c r="AU20" s="187"/>
      <c r="AV20" s="921" t="s">
        <v>591</v>
      </c>
      <c r="AW20" s="921"/>
      <c r="AX20" s="922" t="s">
        <v>596</v>
      </c>
      <c r="AY20" s="923"/>
      <c r="AZ20" s="923"/>
      <c r="BA20" s="923"/>
      <c r="BB20" s="923"/>
      <c r="BC20" s="923"/>
      <c r="BD20" s="923"/>
      <c r="BE20" s="923"/>
      <c r="BF20" s="923"/>
      <c r="BG20" s="923"/>
      <c r="BH20" s="923"/>
      <c r="BI20" s="923"/>
      <c r="BJ20" s="923"/>
      <c r="BK20" s="923"/>
      <c r="BL20" s="923"/>
      <c r="BM20" s="923"/>
      <c r="BN20" s="923"/>
      <c r="BO20" s="923"/>
      <c r="BP20" s="924"/>
    </row>
    <row r="21" spans="2:68" s="136" customFormat="1" ht="16.2">
      <c r="B21" s="921" t="s">
        <v>591</v>
      </c>
      <c r="C21" s="921"/>
      <c r="D21" s="925" t="s">
        <v>597</v>
      </c>
      <c r="E21" s="925"/>
      <c r="F21" s="925"/>
      <c r="G21" s="925"/>
      <c r="H21" s="925"/>
      <c r="I21" s="925"/>
      <c r="J21" s="925"/>
      <c r="K21" s="925"/>
      <c r="L21" s="925"/>
      <c r="M21" s="925"/>
      <c r="N21" s="925"/>
      <c r="O21" s="925"/>
      <c r="P21" s="925"/>
      <c r="Q21" s="925"/>
      <c r="R21" s="925"/>
      <c r="S21" s="925"/>
      <c r="T21" s="925"/>
      <c r="U21" s="925"/>
      <c r="V21" s="925"/>
      <c r="W21" s="187"/>
      <c r="X21" s="187"/>
      <c r="Y21" s="921" t="s">
        <v>591</v>
      </c>
      <c r="Z21" s="921"/>
      <c r="AA21" s="922" t="s">
        <v>598</v>
      </c>
      <c r="AB21" s="923"/>
      <c r="AC21" s="923"/>
      <c r="AD21" s="923"/>
      <c r="AE21" s="923"/>
      <c r="AF21" s="923"/>
      <c r="AG21" s="923"/>
      <c r="AH21" s="923"/>
      <c r="AI21" s="923"/>
      <c r="AJ21" s="923"/>
      <c r="AK21" s="923"/>
      <c r="AL21" s="923"/>
      <c r="AM21" s="923"/>
      <c r="AN21" s="923"/>
      <c r="AO21" s="923"/>
      <c r="AP21" s="923"/>
      <c r="AQ21" s="923"/>
      <c r="AR21" s="923"/>
      <c r="AS21" s="924"/>
      <c r="AT21" s="188"/>
      <c r="AU21" s="187"/>
      <c r="AV21" s="921" t="s">
        <v>591</v>
      </c>
      <c r="AW21" s="921"/>
      <c r="AX21" s="922" t="s">
        <v>599</v>
      </c>
      <c r="AY21" s="923"/>
      <c r="AZ21" s="923"/>
      <c r="BA21" s="923"/>
      <c r="BB21" s="923"/>
      <c r="BC21" s="923"/>
      <c r="BD21" s="923"/>
      <c r="BE21" s="923"/>
      <c r="BF21" s="923"/>
      <c r="BG21" s="923"/>
      <c r="BH21" s="923"/>
      <c r="BI21" s="923"/>
      <c r="BJ21" s="923"/>
      <c r="BK21" s="923"/>
      <c r="BL21" s="923"/>
      <c r="BM21" s="923"/>
      <c r="BN21" s="923"/>
      <c r="BO21" s="923"/>
      <c r="BP21" s="924"/>
    </row>
    <row r="22" spans="2:68" s="136" customFormat="1" ht="16.2">
      <c r="B22" s="187"/>
      <c r="C22" s="187"/>
      <c r="D22" s="187"/>
      <c r="E22" s="187"/>
      <c r="F22" s="187"/>
      <c r="G22" s="187"/>
      <c r="H22" s="187"/>
      <c r="I22" s="187"/>
      <c r="J22" s="187"/>
      <c r="K22" s="187"/>
      <c r="L22" s="187"/>
      <c r="M22" s="187"/>
      <c r="N22" s="187"/>
      <c r="O22" s="187"/>
      <c r="P22" s="187"/>
      <c r="Q22" s="187"/>
      <c r="R22" s="187"/>
      <c r="S22" s="187"/>
      <c r="T22" s="187"/>
      <c r="U22" s="187"/>
      <c r="V22" s="187"/>
      <c r="W22" s="187"/>
      <c r="X22" s="187"/>
      <c r="Y22" s="921" t="s">
        <v>591</v>
      </c>
      <c r="Z22" s="921"/>
      <c r="AA22" s="922" t="s">
        <v>600</v>
      </c>
      <c r="AB22" s="923"/>
      <c r="AC22" s="923"/>
      <c r="AD22" s="923"/>
      <c r="AE22" s="923"/>
      <c r="AF22" s="923"/>
      <c r="AG22" s="923"/>
      <c r="AH22" s="923"/>
      <c r="AI22" s="923"/>
      <c r="AJ22" s="923"/>
      <c r="AK22" s="923"/>
      <c r="AL22" s="923"/>
      <c r="AM22" s="923"/>
      <c r="AN22" s="923"/>
      <c r="AO22" s="923"/>
      <c r="AP22" s="923"/>
      <c r="AQ22" s="923"/>
      <c r="AR22" s="923"/>
      <c r="AS22" s="924"/>
      <c r="AT22" s="188"/>
      <c r="AU22" s="187"/>
      <c r="AV22" s="921" t="s">
        <v>591</v>
      </c>
      <c r="AW22" s="921"/>
      <c r="AX22" s="922" t="s">
        <v>601</v>
      </c>
      <c r="AY22" s="923"/>
      <c r="AZ22" s="923"/>
      <c r="BA22" s="923"/>
      <c r="BB22" s="923"/>
      <c r="BC22" s="923"/>
      <c r="BD22" s="923"/>
      <c r="BE22" s="923"/>
      <c r="BF22" s="923"/>
      <c r="BG22" s="923"/>
      <c r="BH22" s="923"/>
      <c r="BI22" s="923"/>
      <c r="BJ22" s="923"/>
      <c r="BK22" s="923"/>
      <c r="BL22" s="923"/>
      <c r="BM22" s="923"/>
      <c r="BN22" s="923"/>
      <c r="BO22" s="923"/>
      <c r="BP22" s="924"/>
    </row>
    <row r="23" spans="2:68" s="136" customFormat="1" ht="16.2">
      <c r="B23" s="187"/>
      <c r="C23" s="187"/>
      <c r="D23" s="187"/>
      <c r="E23" s="187"/>
      <c r="F23" s="187"/>
      <c r="G23" s="187"/>
      <c r="H23" s="187"/>
      <c r="I23" s="187"/>
      <c r="J23" s="187"/>
      <c r="K23" s="187"/>
      <c r="L23" s="187"/>
      <c r="M23" s="187"/>
      <c r="N23" s="187"/>
      <c r="O23" s="187"/>
      <c r="P23" s="187"/>
      <c r="Q23" s="187"/>
      <c r="R23" s="187"/>
      <c r="S23" s="187"/>
      <c r="T23" s="187"/>
      <c r="U23" s="187"/>
      <c r="V23" s="187"/>
      <c r="W23" s="187"/>
      <c r="X23" s="187"/>
      <c r="Y23" s="921" t="s">
        <v>591</v>
      </c>
      <c r="Z23" s="921"/>
      <c r="AA23" s="922" t="s">
        <v>602</v>
      </c>
      <c r="AB23" s="923"/>
      <c r="AC23" s="923"/>
      <c r="AD23" s="923"/>
      <c r="AE23" s="923"/>
      <c r="AF23" s="923"/>
      <c r="AG23" s="923"/>
      <c r="AH23" s="923"/>
      <c r="AI23" s="923"/>
      <c r="AJ23" s="923"/>
      <c r="AK23" s="923"/>
      <c r="AL23" s="923"/>
      <c r="AM23" s="923"/>
      <c r="AN23" s="923"/>
      <c r="AO23" s="923"/>
      <c r="AP23" s="923"/>
      <c r="AQ23" s="923"/>
      <c r="AR23" s="923"/>
      <c r="AS23" s="924"/>
      <c r="AT23" s="188"/>
      <c r="AU23" s="187"/>
      <c r="AV23" s="921" t="s">
        <v>591</v>
      </c>
      <c r="AW23" s="921"/>
      <c r="AX23" s="922" t="s">
        <v>603</v>
      </c>
      <c r="AY23" s="923"/>
      <c r="AZ23" s="923"/>
      <c r="BA23" s="923"/>
      <c r="BB23" s="923"/>
      <c r="BC23" s="923"/>
      <c r="BD23" s="923"/>
      <c r="BE23" s="923"/>
      <c r="BF23" s="923"/>
      <c r="BG23" s="923"/>
      <c r="BH23" s="923"/>
      <c r="BI23" s="923"/>
      <c r="BJ23" s="923"/>
      <c r="BK23" s="923"/>
      <c r="BL23" s="923"/>
      <c r="BM23" s="923"/>
      <c r="BN23" s="923"/>
      <c r="BO23" s="923"/>
      <c r="BP23" s="924"/>
    </row>
    <row r="24" spans="2:68" s="136" customFormat="1" ht="16.2">
      <c r="B24" s="187"/>
      <c r="C24" s="187"/>
      <c r="D24" s="187"/>
      <c r="E24" s="187"/>
      <c r="F24" s="187"/>
      <c r="G24" s="187"/>
      <c r="H24" s="187"/>
      <c r="I24" s="187"/>
      <c r="J24" s="187"/>
      <c r="K24" s="187"/>
      <c r="L24" s="187"/>
      <c r="M24" s="187"/>
      <c r="N24" s="187"/>
      <c r="O24" s="187"/>
      <c r="P24" s="187"/>
      <c r="Q24" s="187"/>
      <c r="R24" s="187"/>
      <c r="S24" s="187"/>
      <c r="T24" s="187"/>
      <c r="U24" s="187"/>
      <c r="V24" s="187"/>
      <c r="W24" s="187"/>
      <c r="X24" s="187"/>
      <c r="Y24" s="921" t="s">
        <v>591</v>
      </c>
      <c r="Z24" s="921"/>
      <c r="AA24" s="922" t="s">
        <v>604</v>
      </c>
      <c r="AB24" s="923"/>
      <c r="AC24" s="923"/>
      <c r="AD24" s="923"/>
      <c r="AE24" s="923"/>
      <c r="AF24" s="923"/>
      <c r="AG24" s="923"/>
      <c r="AH24" s="923"/>
      <c r="AI24" s="923"/>
      <c r="AJ24" s="923"/>
      <c r="AK24" s="923"/>
      <c r="AL24" s="923"/>
      <c r="AM24" s="923"/>
      <c r="AN24" s="923"/>
      <c r="AO24" s="923"/>
      <c r="AP24" s="923"/>
      <c r="AQ24" s="923"/>
      <c r="AR24" s="923"/>
      <c r="AS24" s="924"/>
      <c r="AT24" s="188"/>
      <c r="AU24" s="187"/>
      <c r="AV24" s="921" t="s">
        <v>591</v>
      </c>
      <c r="AW24" s="921"/>
      <c r="AX24" s="922" t="s">
        <v>605</v>
      </c>
      <c r="AY24" s="923"/>
      <c r="AZ24" s="923"/>
      <c r="BA24" s="923"/>
      <c r="BB24" s="923"/>
      <c r="BC24" s="923"/>
      <c r="BD24" s="923"/>
      <c r="BE24" s="923"/>
      <c r="BF24" s="923"/>
      <c r="BG24" s="923"/>
      <c r="BH24" s="923"/>
      <c r="BI24" s="923"/>
      <c r="BJ24" s="923"/>
      <c r="BK24" s="923"/>
      <c r="BL24" s="923"/>
      <c r="BM24" s="923"/>
      <c r="BN24" s="923"/>
      <c r="BO24" s="923"/>
      <c r="BP24" s="924"/>
    </row>
    <row r="25" spans="2:68" s="136" customFormat="1" ht="16.2">
      <c r="B25" s="187"/>
      <c r="C25" s="187"/>
      <c r="D25" s="187"/>
      <c r="E25" s="187"/>
      <c r="F25" s="187"/>
      <c r="G25" s="187"/>
      <c r="H25" s="187"/>
      <c r="I25" s="187"/>
      <c r="J25" s="187"/>
      <c r="K25" s="187"/>
      <c r="L25" s="187"/>
      <c r="M25" s="187"/>
      <c r="N25" s="187"/>
      <c r="O25" s="187"/>
      <c r="P25" s="187"/>
      <c r="Q25" s="187"/>
      <c r="R25" s="187"/>
      <c r="S25" s="187"/>
      <c r="T25" s="187"/>
      <c r="U25" s="187"/>
      <c r="V25" s="187"/>
      <c r="W25" s="187"/>
      <c r="X25" s="187"/>
      <c r="Y25" s="921" t="s">
        <v>591</v>
      </c>
      <c r="Z25" s="921"/>
      <c r="AA25" s="922" t="s">
        <v>606</v>
      </c>
      <c r="AB25" s="923"/>
      <c r="AC25" s="923"/>
      <c r="AD25" s="923"/>
      <c r="AE25" s="923"/>
      <c r="AF25" s="923"/>
      <c r="AG25" s="923"/>
      <c r="AH25" s="923"/>
      <c r="AI25" s="923"/>
      <c r="AJ25" s="923"/>
      <c r="AK25" s="923"/>
      <c r="AL25" s="923"/>
      <c r="AM25" s="923"/>
      <c r="AN25" s="923"/>
      <c r="AO25" s="923"/>
      <c r="AP25" s="923"/>
      <c r="AQ25" s="923"/>
      <c r="AR25" s="923"/>
      <c r="AS25" s="924"/>
      <c r="AT25" s="188"/>
      <c r="AU25" s="187"/>
      <c r="AV25" s="921" t="s">
        <v>591</v>
      </c>
      <c r="AW25" s="921"/>
      <c r="AX25" s="922" t="s">
        <v>607</v>
      </c>
      <c r="AY25" s="923"/>
      <c r="AZ25" s="923"/>
      <c r="BA25" s="923"/>
      <c r="BB25" s="923"/>
      <c r="BC25" s="923"/>
      <c r="BD25" s="923"/>
      <c r="BE25" s="923"/>
      <c r="BF25" s="923"/>
      <c r="BG25" s="923"/>
      <c r="BH25" s="923"/>
      <c r="BI25" s="923"/>
      <c r="BJ25" s="923"/>
      <c r="BK25" s="923"/>
      <c r="BL25" s="923"/>
      <c r="BM25" s="923"/>
      <c r="BN25" s="923"/>
      <c r="BO25" s="923"/>
      <c r="BP25" s="924"/>
    </row>
    <row r="26" spans="2:68" s="136" customFormat="1" ht="16.2">
      <c r="B26" s="187"/>
      <c r="C26" s="187"/>
      <c r="D26" s="187"/>
      <c r="E26" s="187"/>
      <c r="F26" s="187"/>
      <c r="G26" s="187"/>
      <c r="H26" s="187"/>
      <c r="I26" s="187"/>
      <c r="J26" s="187"/>
      <c r="K26" s="187"/>
      <c r="L26" s="187"/>
      <c r="M26" s="187"/>
      <c r="N26" s="187"/>
      <c r="O26" s="187"/>
      <c r="P26" s="187"/>
      <c r="Q26" s="187"/>
      <c r="R26" s="187"/>
      <c r="S26" s="187"/>
      <c r="T26" s="187"/>
      <c r="U26" s="187"/>
      <c r="V26" s="187"/>
      <c r="W26" s="187"/>
      <c r="X26" s="187"/>
      <c r="Y26" s="921" t="s">
        <v>591</v>
      </c>
      <c r="Z26" s="921"/>
      <c r="AA26" s="928" t="s">
        <v>608</v>
      </c>
      <c r="AB26" s="929"/>
      <c r="AC26" s="929"/>
      <c r="AD26" s="929"/>
      <c r="AE26" s="929"/>
      <c r="AF26" s="929"/>
      <c r="AG26" s="929"/>
      <c r="AH26" s="929"/>
      <c r="AI26" s="929"/>
      <c r="AJ26" s="929"/>
      <c r="AK26" s="929"/>
      <c r="AL26" s="929"/>
      <c r="AM26" s="929"/>
      <c r="AN26" s="929"/>
      <c r="AO26" s="929"/>
      <c r="AP26" s="929"/>
      <c r="AQ26" s="929"/>
      <c r="AR26" s="929"/>
      <c r="AS26" s="930"/>
      <c r="AT26" s="189"/>
      <c r="AU26" s="187"/>
      <c r="AV26" s="187"/>
      <c r="AW26" s="187"/>
      <c r="AX26" s="187"/>
      <c r="AY26" s="187"/>
      <c r="AZ26" s="187"/>
      <c r="BA26" s="187"/>
      <c r="BB26" s="187"/>
      <c r="BC26" s="187"/>
      <c r="BD26" s="187"/>
      <c r="BE26" s="187"/>
      <c r="BF26" s="187"/>
      <c r="BG26" s="187"/>
      <c r="BH26" s="187"/>
      <c r="BI26" s="187"/>
      <c r="BJ26" s="187"/>
      <c r="BK26" s="187"/>
      <c r="BL26" s="187"/>
      <c r="BM26" s="187"/>
      <c r="BN26" s="187"/>
      <c r="BO26" s="187"/>
      <c r="BP26" s="187"/>
    </row>
    <row r="27" spans="2:68" s="136" customFormat="1" ht="16.2">
      <c r="B27" s="921" t="s">
        <v>68</v>
      </c>
      <c r="C27" s="921"/>
      <c r="D27" s="922" t="s">
        <v>193</v>
      </c>
      <c r="E27" s="923"/>
      <c r="F27" s="923"/>
      <c r="G27" s="923"/>
      <c r="H27" s="923"/>
      <c r="I27" s="923"/>
      <c r="J27" s="923"/>
      <c r="K27" s="923"/>
      <c r="L27" s="923"/>
      <c r="M27" s="923"/>
      <c r="N27" s="923"/>
      <c r="O27" s="923"/>
      <c r="P27" s="923"/>
      <c r="Q27" s="923"/>
      <c r="R27" s="923"/>
      <c r="S27" s="923"/>
      <c r="T27" s="923"/>
      <c r="U27" s="923"/>
      <c r="V27" s="924"/>
      <c r="W27" s="187"/>
      <c r="X27" s="187"/>
      <c r="Y27" s="921" t="s">
        <v>591</v>
      </c>
      <c r="Z27" s="921"/>
      <c r="AA27" s="922" t="s">
        <v>609</v>
      </c>
      <c r="AB27" s="923"/>
      <c r="AC27" s="923"/>
      <c r="AD27" s="923"/>
      <c r="AE27" s="923"/>
      <c r="AF27" s="923"/>
      <c r="AG27" s="923"/>
      <c r="AH27" s="923"/>
      <c r="AI27" s="923"/>
      <c r="AJ27" s="923"/>
      <c r="AK27" s="923"/>
      <c r="AL27" s="923"/>
      <c r="AM27" s="923"/>
      <c r="AN27" s="923"/>
      <c r="AO27" s="923"/>
      <c r="AP27" s="923"/>
      <c r="AQ27" s="923"/>
      <c r="AR27" s="923"/>
      <c r="AS27" s="924"/>
      <c r="AT27" s="188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</row>
    <row r="28" spans="2:68" s="136" customFormat="1" ht="16.2">
      <c r="Y28" s="138"/>
      <c r="Z28" s="138"/>
      <c r="AA28" s="139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</row>
    <row r="29" spans="2:68" s="136" customFormat="1" ht="16.2">
      <c r="Y29" s="138"/>
      <c r="Z29" s="138"/>
      <c r="AA29" s="139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</row>
    <row r="30" spans="2:68" s="136" customFormat="1" ht="16.2">
      <c r="Y30" s="138"/>
      <c r="Z30" s="138"/>
      <c r="AA30" s="139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</row>
    <row r="31" spans="2:68" s="136" customFormat="1" ht="16.2">
      <c r="Y31" s="138"/>
      <c r="Z31" s="138"/>
      <c r="AA31" s="139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</row>
    <row r="32" spans="2:68" s="136" customFormat="1" ht="16.2">
      <c r="Y32" s="138"/>
      <c r="Z32" s="138"/>
      <c r="AA32" s="139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</row>
    <row r="33" spans="2:68" s="136" customFormat="1" ht="16.2"/>
    <row r="34" spans="2:68" s="136" customFormat="1" ht="16.2">
      <c r="B34" s="141" t="s">
        <v>194</v>
      </c>
      <c r="J34" s="125" t="s">
        <v>189</v>
      </c>
    </row>
    <row r="35" spans="2:68" s="136" customFormat="1" ht="16.2">
      <c r="B35" s="142"/>
      <c r="C35" s="926" t="s">
        <v>190</v>
      </c>
      <c r="D35" s="926"/>
      <c r="E35" s="926"/>
      <c r="F35" s="926"/>
      <c r="G35" s="926"/>
      <c r="H35" s="926"/>
      <c r="I35" s="926"/>
      <c r="Z35" s="926" t="s">
        <v>191</v>
      </c>
      <c r="AA35" s="926"/>
      <c r="AB35" s="926"/>
      <c r="AC35" s="926"/>
      <c r="AD35" s="926"/>
      <c r="AE35" s="926"/>
      <c r="AF35" s="926"/>
      <c r="AW35" s="137" t="s">
        <v>192</v>
      </c>
      <c r="AX35" s="137"/>
      <c r="AY35" s="137"/>
      <c r="AZ35" s="137"/>
      <c r="BA35" s="137"/>
      <c r="BB35" s="137"/>
      <c r="BC35" s="137"/>
    </row>
    <row r="36" spans="2:68" s="136" customFormat="1" ht="16.2">
      <c r="B36" s="921" t="s">
        <v>591</v>
      </c>
      <c r="C36" s="921"/>
      <c r="D36" s="922" t="s">
        <v>594</v>
      </c>
      <c r="E36" s="923"/>
      <c r="F36" s="923"/>
      <c r="G36" s="923"/>
      <c r="H36" s="923"/>
      <c r="I36" s="923"/>
      <c r="J36" s="923"/>
      <c r="K36" s="923"/>
      <c r="L36" s="923"/>
      <c r="M36" s="923"/>
      <c r="N36" s="923"/>
      <c r="O36" s="923"/>
      <c r="P36" s="923"/>
      <c r="Q36" s="923"/>
      <c r="R36" s="923"/>
      <c r="S36" s="923"/>
      <c r="T36" s="923"/>
      <c r="U36" s="923"/>
      <c r="V36" s="924"/>
      <c r="W36" s="187"/>
      <c r="X36" s="187"/>
      <c r="Y36" s="921" t="s">
        <v>591</v>
      </c>
      <c r="Z36" s="921"/>
      <c r="AA36" s="922" t="s">
        <v>595</v>
      </c>
      <c r="AB36" s="923"/>
      <c r="AC36" s="923"/>
      <c r="AD36" s="923"/>
      <c r="AE36" s="923"/>
      <c r="AF36" s="923"/>
      <c r="AG36" s="923"/>
      <c r="AH36" s="923"/>
      <c r="AI36" s="923"/>
      <c r="AJ36" s="923"/>
      <c r="AK36" s="923"/>
      <c r="AL36" s="923"/>
      <c r="AM36" s="923"/>
      <c r="AN36" s="923"/>
      <c r="AO36" s="923"/>
      <c r="AP36" s="923"/>
      <c r="AQ36" s="923"/>
      <c r="AR36" s="923"/>
      <c r="AS36" s="924"/>
      <c r="AT36" s="188"/>
      <c r="AU36" s="187"/>
      <c r="AV36" s="921" t="s">
        <v>591</v>
      </c>
      <c r="AW36" s="921"/>
      <c r="AX36" s="922" t="s">
        <v>596</v>
      </c>
      <c r="AY36" s="923"/>
      <c r="AZ36" s="923"/>
      <c r="BA36" s="923"/>
      <c r="BB36" s="923"/>
      <c r="BC36" s="923"/>
      <c r="BD36" s="923"/>
      <c r="BE36" s="923"/>
      <c r="BF36" s="923"/>
      <c r="BG36" s="923"/>
      <c r="BH36" s="923"/>
      <c r="BI36" s="923"/>
      <c r="BJ36" s="923"/>
      <c r="BK36" s="923"/>
      <c r="BL36" s="923"/>
      <c r="BM36" s="923"/>
      <c r="BN36" s="923"/>
      <c r="BO36" s="923"/>
      <c r="BP36" s="924"/>
    </row>
    <row r="37" spans="2:68" s="136" customFormat="1" ht="16.2">
      <c r="B37" s="921" t="s">
        <v>591</v>
      </c>
      <c r="C37" s="921"/>
      <c r="D37" s="931" t="s">
        <v>597</v>
      </c>
      <c r="E37" s="923"/>
      <c r="F37" s="923"/>
      <c r="G37" s="923"/>
      <c r="H37" s="923"/>
      <c r="I37" s="923"/>
      <c r="J37" s="923"/>
      <c r="K37" s="923"/>
      <c r="L37" s="923"/>
      <c r="M37" s="923"/>
      <c r="N37" s="923"/>
      <c r="O37" s="923"/>
      <c r="P37" s="923"/>
      <c r="Q37" s="923"/>
      <c r="R37" s="923"/>
      <c r="S37" s="923"/>
      <c r="T37" s="923"/>
      <c r="U37" s="923"/>
      <c r="V37" s="924"/>
      <c r="W37" s="187"/>
      <c r="X37" s="187"/>
      <c r="Y37" s="921" t="s">
        <v>591</v>
      </c>
      <c r="Z37" s="921"/>
      <c r="AA37" s="922" t="s">
        <v>598</v>
      </c>
      <c r="AB37" s="923"/>
      <c r="AC37" s="923"/>
      <c r="AD37" s="923"/>
      <c r="AE37" s="923"/>
      <c r="AF37" s="923"/>
      <c r="AG37" s="923"/>
      <c r="AH37" s="923"/>
      <c r="AI37" s="923"/>
      <c r="AJ37" s="923"/>
      <c r="AK37" s="923"/>
      <c r="AL37" s="923"/>
      <c r="AM37" s="923"/>
      <c r="AN37" s="923"/>
      <c r="AO37" s="923"/>
      <c r="AP37" s="923"/>
      <c r="AQ37" s="923"/>
      <c r="AR37" s="923"/>
      <c r="AS37" s="924"/>
      <c r="AT37" s="188"/>
      <c r="AU37" s="187"/>
      <c r="AV37" s="921" t="s">
        <v>591</v>
      </c>
      <c r="AW37" s="921"/>
      <c r="AX37" s="922" t="s">
        <v>599</v>
      </c>
      <c r="AY37" s="923"/>
      <c r="AZ37" s="923"/>
      <c r="BA37" s="923"/>
      <c r="BB37" s="923"/>
      <c r="BC37" s="923"/>
      <c r="BD37" s="923"/>
      <c r="BE37" s="923"/>
      <c r="BF37" s="923"/>
      <c r="BG37" s="923"/>
      <c r="BH37" s="923"/>
      <c r="BI37" s="923"/>
      <c r="BJ37" s="923"/>
      <c r="BK37" s="923"/>
      <c r="BL37" s="923"/>
      <c r="BM37" s="923"/>
      <c r="BN37" s="923"/>
      <c r="BO37" s="923"/>
      <c r="BP37" s="924"/>
    </row>
    <row r="38" spans="2:68" s="136" customFormat="1" ht="16.2">
      <c r="B38" s="187"/>
      <c r="C38" s="187"/>
      <c r="D38" s="187"/>
      <c r="E38" s="187"/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921" t="s">
        <v>591</v>
      </c>
      <c r="Z38" s="921"/>
      <c r="AA38" s="922" t="s">
        <v>600</v>
      </c>
      <c r="AB38" s="923"/>
      <c r="AC38" s="923"/>
      <c r="AD38" s="923"/>
      <c r="AE38" s="923"/>
      <c r="AF38" s="923"/>
      <c r="AG38" s="923"/>
      <c r="AH38" s="923"/>
      <c r="AI38" s="923"/>
      <c r="AJ38" s="923"/>
      <c r="AK38" s="923"/>
      <c r="AL38" s="923"/>
      <c r="AM38" s="923"/>
      <c r="AN38" s="923"/>
      <c r="AO38" s="923"/>
      <c r="AP38" s="923"/>
      <c r="AQ38" s="923"/>
      <c r="AR38" s="923"/>
      <c r="AS38" s="924"/>
      <c r="AT38" s="188"/>
      <c r="AU38" s="187"/>
      <c r="AV38" s="921" t="s">
        <v>591</v>
      </c>
      <c r="AW38" s="921"/>
      <c r="AX38" s="922" t="s">
        <v>601</v>
      </c>
      <c r="AY38" s="923"/>
      <c r="AZ38" s="923"/>
      <c r="BA38" s="923"/>
      <c r="BB38" s="923"/>
      <c r="BC38" s="923"/>
      <c r="BD38" s="923"/>
      <c r="BE38" s="923"/>
      <c r="BF38" s="923"/>
      <c r="BG38" s="923"/>
      <c r="BH38" s="923"/>
      <c r="BI38" s="923"/>
      <c r="BJ38" s="923"/>
      <c r="BK38" s="923"/>
      <c r="BL38" s="923"/>
      <c r="BM38" s="923"/>
      <c r="BN38" s="923"/>
      <c r="BO38" s="923"/>
      <c r="BP38" s="924"/>
    </row>
    <row r="39" spans="2:68" s="136" customFormat="1" ht="16.2"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87"/>
      <c r="N39" s="187"/>
      <c r="O39" s="187"/>
      <c r="P39" s="187"/>
      <c r="Q39" s="187"/>
      <c r="R39" s="187"/>
      <c r="S39" s="187"/>
      <c r="T39" s="187"/>
      <c r="U39" s="187"/>
      <c r="V39" s="187"/>
      <c r="W39" s="187"/>
      <c r="X39" s="187"/>
      <c r="Y39" s="921" t="s">
        <v>591</v>
      </c>
      <c r="Z39" s="921"/>
      <c r="AA39" s="922" t="s">
        <v>602</v>
      </c>
      <c r="AB39" s="923"/>
      <c r="AC39" s="923"/>
      <c r="AD39" s="923"/>
      <c r="AE39" s="923"/>
      <c r="AF39" s="923"/>
      <c r="AG39" s="923"/>
      <c r="AH39" s="923"/>
      <c r="AI39" s="923"/>
      <c r="AJ39" s="923"/>
      <c r="AK39" s="923"/>
      <c r="AL39" s="923"/>
      <c r="AM39" s="923"/>
      <c r="AN39" s="923"/>
      <c r="AO39" s="923"/>
      <c r="AP39" s="923"/>
      <c r="AQ39" s="923"/>
      <c r="AR39" s="923"/>
      <c r="AS39" s="924"/>
      <c r="AT39" s="188"/>
      <c r="AU39" s="187"/>
      <c r="AV39" s="921" t="s">
        <v>591</v>
      </c>
      <c r="AW39" s="921"/>
      <c r="AX39" s="922" t="s">
        <v>603</v>
      </c>
      <c r="AY39" s="923"/>
      <c r="AZ39" s="923"/>
      <c r="BA39" s="923"/>
      <c r="BB39" s="923"/>
      <c r="BC39" s="923"/>
      <c r="BD39" s="923"/>
      <c r="BE39" s="923"/>
      <c r="BF39" s="923"/>
      <c r="BG39" s="923"/>
      <c r="BH39" s="923"/>
      <c r="BI39" s="923"/>
      <c r="BJ39" s="923"/>
      <c r="BK39" s="923"/>
      <c r="BL39" s="923"/>
      <c r="BM39" s="923"/>
      <c r="BN39" s="923"/>
      <c r="BO39" s="923"/>
      <c r="BP39" s="924"/>
    </row>
    <row r="40" spans="2:68" s="136" customFormat="1" ht="16.2"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87"/>
      <c r="N40" s="187"/>
      <c r="O40" s="187"/>
      <c r="P40" s="187"/>
      <c r="Q40" s="187"/>
      <c r="R40" s="187"/>
      <c r="S40" s="187"/>
      <c r="T40" s="187"/>
      <c r="U40" s="187"/>
      <c r="V40" s="187"/>
      <c r="W40" s="187"/>
      <c r="X40" s="187"/>
      <c r="Y40" s="921" t="s">
        <v>591</v>
      </c>
      <c r="Z40" s="921"/>
      <c r="AA40" s="922" t="s">
        <v>604</v>
      </c>
      <c r="AB40" s="923"/>
      <c r="AC40" s="923"/>
      <c r="AD40" s="923"/>
      <c r="AE40" s="923"/>
      <c r="AF40" s="923"/>
      <c r="AG40" s="923"/>
      <c r="AH40" s="923"/>
      <c r="AI40" s="923"/>
      <c r="AJ40" s="923"/>
      <c r="AK40" s="923"/>
      <c r="AL40" s="923"/>
      <c r="AM40" s="923"/>
      <c r="AN40" s="923"/>
      <c r="AO40" s="923"/>
      <c r="AP40" s="923"/>
      <c r="AQ40" s="923"/>
      <c r="AR40" s="923"/>
      <c r="AS40" s="924"/>
      <c r="AT40" s="188"/>
      <c r="AU40" s="187"/>
      <c r="AV40" s="921" t="s">
        <v>591</v>
      </c>
      <c r="AW40" s="921"/>
      <c r="AX40" s="922" t="s">
        <v>605</v>
      </c>
      <c r="AY40" s="923"/>
      <c r="AZ40" s="923"/>
      <c r="BA40" s="923"/>
      <c r="BB40" s="923"/>
      <c r="BC40" s="923"/>
      <c r="BD40" s="923"/>
      <c r="BE40" s="923"/>
      <c r="BF40" s="923"/>
      <c r="BG40" s="923"/>
      <c r="BH40" s="923"/>
      <c r="BI40" s="923"/>
      <c r="BJ40" s="923"/>
      <c r="BK40" s="923"/>
      <c r="BL40" s="923"/>
      <c r="BM40" s="923"/>
      <c r="BN40" s="923"/>
      <c r="BO40" s="923"/>
      <c r="BP40" s="924"/>
    </row>
    <row r="41" spans="2:68" s="136" customFormat="1" ht="16.2">
      <c r="B41" s="187"/>
      <c r="C41" s="187"/>
      <c r="D41" s="187"/>
      <c r="E41" s="187"/>
      <c r="F41" s="187"/>
      <c r="G41" s="187"/>
      <c r="H41" s="187"/>
      <c r="I41" s="187"/>
      <c r="J41" s="187"/>
      <c r="K41" s="187"/>
      <c r="L41" s="187"/>
      <c r="M41" s="187"/>
      <c r="N41" s="187"/>
      <c r="O41" s="187"/>
      <c r="P41" s="187"/>
      <c r="Q41" s="187"/>
      <c r="R41" s="187"/>
      <c r="S41" s="187"/>
      <c r="T41" s="187"/>
      <c r="U41" s="187"/>
      <c r="V41" s="187"/>
      <c r="W41" s="187"/>
      <c r="X41" s="187"/>
      <c r="Y41" s="921" t="s">
        <v>591</v>
      </c>
      <c r="Z41" s="921"/>
      <c r="AA41" s="922" t="s">
        <v>606</v>
      </c>
      <c r="AB41" s="923"/>
      <c r="AC41" s="923"/>
      <c r="AD41" s="923"/>
      <c r="AE41" s="923"/>
      <c r="AF41" s="923"/>
      <c r="AG41" s="923"/>
      <c r="AH41" s="923"/>
      <c r="AI41" s="923"/>
      <c r="AJ41" s="923"/>
      <c r="AK41" s="923"/>
      <c r="AL41" s="923"/>
      <c r="AM41" s="923"/>
      <c r="AN41" s="923"/>
      <c r="AO41" s="923"/>
      <c r="AP41" s="923"/>
      <c r="AQ41" s="923"/>
      <c r="AR41" s="923"/>
      <c r="AS41" s="924"/>
      <c r="AT41" s="188"/>
      <c r="AU41" s="187"/>
      <c r="AV41" s="921" t="s">
        <v>591</v>
      </c>
      <c r="AW41" s="921"/>
      <c r="AX41" s="922" t="s">
        <v>607</v>
      </c>
      <c r="AY41" s="923"/>
      <c r="AZ41" s="923"/>
      <c r="BA41" s="923"/>
      <c r="BB41" s="923"/>
      <c r="BC41" s="923"/>
      <c r="BD41" s="923"/>
      <c r="BE41" s="923"/>
      <c r="BF41" s="923"/>
      <c r="BG41" s="923"/>
      <c r="BH41" s="923"/>
      <c r="BI41" s="923"/>
      <c r="BJ41" s="923"/>
      <c r="BK41" s="923"/>
      <c r="BL41" s="923"/>
      <c r="BM41" s="923"/>
      <c r="BN41" s="923"/>
      <c r="BO41" s="923"/>
      <c r="BP41" s="924"/>
    </row>
    <row r="42" spans="2:68" s="136" customFormat="1" ht="16.2">
      <c r="B42" s="187"/>
      <c r="C42" s="187"/>
      <c r="D42" s="187"/>
      <c r="E42" s="187"/>
      <c r="F42" s="187"/>
      <c r="G42" s="187"/>
      <c r="H42" s="187"/>
      <c r="I42" s="187"/>
      <c r="J42" s="187"/>
      <c r="K42" s="187"/>
      <c r="L42" s="187"/>
      <c r="M42" s="187"/>
      <c r="N42" s="187"/>
      <c r="O42" s="187"/>
      <c r="P42" s="187"/>
      <c r="Q42" s="187"/>
      <c r="R42" s="187"/>
      <c r="S42" s="187"/>
      <c r="T42" s="187"/>
      <c r="U42" s="187"/>
      <c r="V42" s="187"/>
      <c r="W42" s="187"/>
      <c r="X42" s="187"/>
      <c r="Y42" s="921" t="s">
        <v>591</v>
      </c>
      <c r="Z42" s="921"/>
      <c r="AA42" s="928" t="s">
        <v>608</v>
      </c>
      <c r="AB42" s="929"/>
      <c r="AC42" s="929"/>
      <c r="AD42" s="929"/>
      <c r="AE42" s="929"/>
      <c r="AF42" s="929"/>
      <c r="AG42" s="929"/>
      <c r="AH42" s="929"/>
      <c r="AI42" s="929"/>
      <c r="AJ42" s="929"/>
      <c r="AK42" s="929"/>
      <c r="AL42" s="929"/>
      <c r="AM42" s="929"/>
      <c r="AN42" s="929" t="b">
        <v>1</v>
      </c>
      <c r="AO42" s="929"/>
      <c r="AP42" s="929"/>
      <c r="AQ42" s="929"/>
      <c r="AR42" s="929"/>
      <c r="AS42" s="930"/>
      <c r="AT42" s="189"/>
      <c r="AU42" s="187"/>
      <c r="AV42" s="187"/>
      <c r="AW42" s="187"/>
      <c r="AX42" s="187"/>
      <c r="AY42" s="187"/>
      <c r="AZ42" s="187"/>
      <c r="BA42" s="187"/>
      <c r="BB42" s="187"/>
      <c r="BC42" s="187"/>
      <c r="BD42" s="187"/>
      <c r="BE42" s="187"/>
      <c r="BF42" s="187"/>
      <c r="BG42" s="187"/>
      <c r="BH42" s="187"/>
      <c r="BI42" s="187"/>
      <c r="BJ42" s="187"/>
      <c r="BK42" s="187"/>
      <c r="BL42" s="187"/>
      <c r="BM42" s="187"/>
      <c r="BN42" s="187"/>
      <c r="BO42" s="187"/>
      <c r="BP42" s="187"/>
    </row>
    <row r="43" spans="2:68" s="136" customFormat="1" ht="16.2">
      <c r="B43" s="921" t="s">
        <v>68</v>
      </c>
      <c r="C43" s="921"/>
      <c r="D43" s="922" t="s">
        <v>193</v>
      </c>
      <c r="E43" s="923"/>
      <c r="F43" s="923"/>
      <c r="G43" s="923"/>
      <c r="H43" s="923"/>
      <c r="I43" s="923"/>
      <c r="J43" s="923"/>
      <c r="K43" s="923"/>
      <c r="L43" s="923"/>
      <c r="M43" s="923"/>
      <c r="N43" s="923"/>
      <c r="O43" s="923"/>
      <c r="P43" s="923"/>
      <c r="Q43" s="923"/>
      <c r="R43" s="923"/>
      <c r="S43" s="923"/>
      <c r="T43" s="923"/>
      <c r="U43" s="923"/>
      <c r="V43" s="924"/>
      <c r="W43" s="187"/>
      <c r="X43" s="187"/>
      <c r="Y43" s="921" t="s">
        <v>591</v>
      </c>
      <c r="Z43" s="921"/>
      <c r="AA43" s="922" t="s">
        <v>609</v>
      </c>
      <c r="AB43" s="923"/>
      <c r="AC43" s="923"/>
      <c r="AD43" s="923"/>
      <c r="AE43" s="923"/>
      <c r="AF43" s="923"/>
      <c r="AG43" s="923"/>
      <c r="AH43" s="923"/>
      <c r="AI43" s="923"/>
      <c r="AJ43" s="923"/>
      <c r="AK43" s="923"/>
      <c r="AL43" s="923"/>
      <c r="AM43" s="923"/>
      <c r="AN43" s="923"/>
      <c r="AO43" s="923"/>
      <c r="AP43" s="923"/>
      <c r="AQ43" s="923"/>
      <c r="AR43" s="923"/>
      <c r="AS43" s="924"/>
      <c r="AT43" s="188"/>
      <c r="AU43" s="187"/>
      <c r="AV43" s="187"/>
      <c r="AW43" s="187"/>
      <c r="AX43" s="187"/>
      <c r="AY43" s="187"/>
      <c r="AZ43" s="187"/>
      <c r="BA43" s="187"/>
      <c r="BB43" s="187"/>
      <c r="BC43" s="187"/>
      <c r="BD43" s="187"/>
      <c r="BE43" s="187"/>
      <c r="BF43" s="187"/>
      <c r="BG43" s="187"/>
      <c r="BH43" s="187"/>
      <c r="BI43" s="187"/>
      <c r="BJ43" s="187"/>
      <c r="BK43" s="187"/>
      <c r="BL43" s="187"/>
      <c r="BM43" s="187"/>
      <c r="BN43" s="187"/>
      <c r="BO43" s="187"/>
      <c r="BP43" s="187"/>
    </row>
    <row r="44" spans="2:68" s="136" customFormat="1" ht="16.2"/>
    <row r="45" spans="2:68" s="136" customFormat="1" ht="16.2"/>
    <row r="46" spans="2:68" s="136" customFormat="1" ht="16.2"/>
    <row r="47" spans="2:68" s="136" customFormat="1" ht="16.2"/>
    <row r="48" spans="2:68" s="136" customFormat="1" ht="16.2"/>
    <row r="49" spans="2:54" s="136" customFormat="1" ht="16.2"/>
    <row r="50" spans="2:54" s="136" customFormat="1" ht="16.2">
      <c r="B50" s="141" t="s">
        <v>195</v>
      </c>
    </row>
    <row r="51" spans="2:54" s="136" customFormat="1" ht="19.2">
      <c r="B51" s="897" t="s">
        <v>196</v>
      </c>
      <c r="C51" s="898"/>
      <c r="D51" s="898"/>
      <c r="E51" s="898"/>
      <c r="F51" s="898"/>
      <c r="G51" s="898"/>
      <c r="H51" s="899"/>
      <c r="I51" s="905"/>
      <c r="J51" s="906"/>
      <c r="K51" s="906"/>
      <c r="L51" s="906"/>
      <c r="M51" s="906"/>
      <c r="N51" s="906"/>
      <c r="O51" s="906"/>
      <c r="P51" s="906"/>
      <c r="Q51" s="906"/>
      <c r="R51" s="906"/>
      <c r="S51" s="906"/>
      <c r="T51" s="906"/>
      <c r="U51" s="906"/>
      <c r="V51" s="906"/>
      <c r="W51" s="906"/>
      <c r="X51" s="907"/>
    </row>
    <row r="52" spans="2:54" s="136" customFormat="1" ht="19.2">
      <c r="I52" s="905"/>
      <c r="J52" s="906"/>
      <c r="K52" s="906"/>
      <c r="L52" s="906"/>
      <c r="M52" s="906"/>
      <c r="N52" s="906"/>
      <c r="O52" s="906"/>
      <c r="P52" s="906"/>
      <c r="Q52" s="906"/>
      <c r="R52" s="906"/>
      <c r="S52" s="906"/>
      <c r="T52" s="906"/>
      <c r="U52" s="906"/>
      <c r="V52" s="906"/>
      <c r="W52" s="906"/>
      <c r="X52" s="907"/>
      <c r="Y52" s="38" t="s">
        <v>197</v>
      </c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200"/>
      <c r="BA52" s="199"/>
      <c r="BB52" s="199"/>
    </row>
    <row r="53" spans="2:54" s="136" customFormat="1" ht="16.2"/>
    <row r="54" spans="2:54" s="136" customFormat="1" ht="16.2"/>
    <row r="55" spans="2:54" s="136" customFormat="1" ht="16.2">
      <c r="B55" s="141" t="s">
        <v>198</v>
      </c>
      <c r="K55" s="125" t="s">
        <v>189</v>
      </c>
    </row>
    <row r="56" spans="2:54" s="136" customFormat="1" ht="16.2">
      <c r="B56" s="921" t="s">
        <v>68</v>
      </c>
      <c r="C56" s="921"/>
      <c r="D56" s="922" t="s">
        <v>199</v>
      </c>
      <c r="E56" s="923"/>
      <c r="F56" s="923"/>
      <c r="G56" s="923"/>
      <c r="H56" s="923"/>
      <c r="I56" s="923"/>
      <c r="J56" s="923"/>
      <c r="K56" s="923"/>
      <c r="L56" s="923"/>
      <c r="M56" s="923"/>
      <c r="N56" s="923"/>
      <c r="O56" s="923"/>
      <c r="P56" s="923"/>
      <c r="Q56" s="923"/>
      <c r="R56" s="923"/>
      <c r="S56" s="923"/>
      <c r="T56" s="923"/>
      <c r="U56" s="923"/>
      <c r="V56" s="924"/>
    </row>
    <row r="57" spans="2:54" s="136" customFormat="1" ht="16.2">
      <c r="B57" s="921" t="s">
        <v>68</v>
      </c>
      <c r="C57" s="921"/>
      <c r="D57" s="922" t="s">
        <v>200</v>
      </c>
      <c r="E57" s="923"/>
      <c r="F57" s="923"/>
      <c r="G57" s="923"/>
      <c r="H57" s="923"/>
      <c r="I57" s="923"/>
      <c r="J57" s="923"/>
      <c r="K57" s="923"/>
      <c r="L57" s="923"/>
      <c r="M57" s="923"/>
      <c r="N57" s="923"/>
      <c r="O57" s="923"/>
      <c r="P57" s="923"/>
      <c r="Q57" s="923"/>
      <c r="R57" s="923"/>
      <c r="S57" s="923"/>
      <c r="T57" s="923"/>
      <c r="U57" s="923"/>
      <c r="V57" s="924"/>
    </row>
    <row r="58" spans="2:54" s="136" customFormat="1" ht="16.2">
      <c r="B58" s="921" t="s">
        <v>68</v>
      </c>
      <c r="C58" s="921"/>
      <c r="D58" s="922" t="s">
        <v>610</v>
      </c>
      <c r="E58" s="923"/>
      <c r="F58" s="923"/>
      <c r="G58" s="923"/>
      <c r="H58" s="923"/>
      <c r="I58" s="923"/>
      <c r="J58" s="923"/>
      <c r="K58" s="923"/>
      <c r="L58" s="923"/>
      <c r="M58" s="923"/>
      <c r="N58" s="923"/>
      <c r="O58" s="923"/>
      <c r="P58" s="923"/>
      <c r="Q58" s="923"/>
      <c r="R58" s="923"/>
      <c r="S58" s="923"/>
      <c r="T58" s="923"/>
      <c r="U58" s="923"/>
      <c r="V58" s="924"/>
    </row>
    <row r="59" spans="2:54" s="136" customFormat="1" ht="16.2">
      <c r="B59" s="921" t="s">
        <v>68</v>
      </c>
      <c r="C59" s="921"/>
      <c r="D59" s="932" t="s">
        <v>201</v>
      </c>
      <c r="E59" s="933"/>
      <c r="F59" s="933"/>
      <c r="G59" s="933"/>
      <c r="H59" s="933"/>
      <c r="I59" s="933"/>
      <c r="J59" s="933"/>
      <c r="K59" s="933"/>
      <c r="L59" s="933"/>
      <c r="M59" s="933"/>
      <c r="N59" s="933"/>
      <c r="O59" s="933"/>
      <c r="P59" s="933"/>
      <c r="Q59" s="933"/>
      <c r="R59" s="933"/>
      <c r="S59" s="933"/>
      <c r="T59" s="933"/>
      <c r="U59" s="933"/>
      <c r="V59" s="934"/>
    </row>
    <row r="60" spans="2:54" s="136" customFormat="1" ht="16.2">
      <c r="B60" s="935" t="s">
        <v>68</v>
      </c>
      <c r="C60" s="936"/>
      <c r="D60" s="927" t="s">
        <v>202</v>
      </c>
      <c r="E60" s="927"/>
      <c r="F60" s="927"/>
      <c r="G60" s="927"/>
      <c r="H60" s="941"/>
      <c r="I60" s="942"/>
      <c r="J60" s="942"/>
      <c r="K60" s="942"/>
      <c r="L60" s="942"/>
      <c r="M60" s="942"/>
      <c r="N60" s="942"/>
      <c r="O60" s="942"/>
      <c r="P60" s="942"/>
      <c r="Q60" s="942"/>
      <c r="R60" s="942"/>
      <c r="S60" s="942"/>
      <c r="T60" s="942"/>
      <c r="U60" s="942"/>
      <c r="V60" s="943"/>
    </row>
    <row r="61" spans="2:54" s="136" customFormat="1" ht="16.2">
      <c r="B61" s="937"/>
      <c r="C61" s="938"/>
      <c r="D61" s="927"/>
      <c r="E61" s="927"/>
      <c r="F61" s="927"/>
      <c r="G61" s="927"/>
      <c r="H61" s="944"/>
      <c r="I61" s="945"/>
      <c r="J61" s="945"/>
      <c r="K61" s="945"/>
      <c r="L61" s="945"/>
      <c r="M61" s="945"/>
      <c r="N61" s="945"/>
      <c r="O61" s="945"/>
      <c r="P61" s="945"/>
      <c r="Q61" s="945"/>
      <c r="R61" s="945"/>
      <c r="S61" s="945"/>
      <c r="T61" s="945"/>
      <c r="U61" s="945"/>
      <c r="V61" s="946"/>
    </row>
    <row r="62" spans="2:54" s="136" customFormat="1" ht="16.2">
      <c r="B62" s="937"/>
      <c r="C62" s="938"/>
      <c r="D62" s="927"/>
      <c r="E62" s="927"/>
      <c r="F62" s="927"/>
      <c r="G62" s="927"/>
      <c r="H62" s="944"/>
      <c r="I62" s="945"/>
      <c r="J62" s="945"/>
      <c r="K62" s="945"/>
      <c r="L62" s="945"/>
      <c r="M62" s="945"/>
      <c r="N62" s="945"/>
      <c r="O62" s="945"/>
      <c r="P62" s="945"/>
      <c r="Q62" s="945"/>
      <c r="R62" s="945"/>
      <c r="S62" s="945"/>
      <c r="T62" s="945"/>
      <c r="U62" s="945"/>
      <c r="V62" s="946"/>
    </row>
    <row r="63" spans="2:54" s="136" customFormat="1" ht="16.2">
      <c r="B63" s="937"/>
      <c r="C63" s="938"/>
      <c r="D63" s="927"/>
      <c r="E63" s="927"/>
      <c r="F63" s="927"/>
      <c r="G63" s="927"/>
      <c r="H63" s="944"/>
      <c r="I63" s="945"/>
      <c r="J63" s="945"/>
      <c r="K63" s="945"/>
      <c r="L63" s="945"/>
      <c r="M63" s="945"/>
      <c r="N63" s="945"/>
      <c r="O63" s="945"/>
      <c r="P63" s="945"/>
      <c r="Q63" s="945"/>
      <c r="R63" s="945"/>
      <c r="S63" s="945"/>
      <c r="T63" s="945"/>
      <c r="U63" s="945"/>
      <c r="V63" s="946"/>
    </row>
    <row r="64" spans="2:54" s="136" customFormat="1" ht="16.2">
      <c r="B64" s="939"/>
      <c r="C64" s="940"/>
      <c r="D64" s="927"/>
      <c r="E64" s="927"/>
      <c r="F64" s="927"/>
      <c r="G64" s="927"/>
      <c r="H64" s="947"/>
      <c r="I64" s="948"/>
      <c r="J64" s="948"/>
      <c r="K64" s="948"/>
      <c r="L64" s="948"/>
      <c r="M64" s="948"/>
      <c r="N64" s="948"/>
      <c r="O64" s="948"/>
      <c r="P64" s="948"/>
      <c r="Q64" s="948"/>
      <c r="R64" s="948"/>
      <c r="S64" s="948"/>
      <c r="T64" s="948"/>
      <c r="U64" s="948"/>
      <c r="V64" s="949"/>
    </row>
    <row r="65" spans="2:51" s="136" customFormat="1" ht="16.2"/>
    <row r="66" spans="2:51" s="136" customFormat="1" ht="16.2">
      <c r="B66" s="141" t="s">
        <v>203</v>
      </c>
      <c r="D66" s="143"/>
    </row>
    <row r="67" spans="2:51" s="136" customFormat="1" ht="19.2">
      <c r="B67" s="897" t="s">
        <v>204</v>
      </c>
      <c r="C67" s="898"/>
      <c r="D67" s="898"/>
      <c r="E67" s="898"/>
      <c r="F67" s="898"/>
      <c r="G67" s="898"/>
      <c r="H67" s="899"/>
      <c r="I67" s="905"/>
      <c r="J67" s="906"/>
      <c r="K67" s="906"/>
      <c r="L67" s="906"/>
      <c r="M67" s="906"/>
      <c r="N67" s="906"/>
      <c r="O67" s="906"/>
      <c r="P67" s="906"/>
      <c r="Q67" s="906"/>
      <c r="R67" s="906"/>
      <c r="S67" s="906"/>
      <c r="T67" s="906"/>
      <c r="U67" s="906"/>
      <c r="V67" s="906"/>
      <c r="W67" s="906"/>
      <c r="X67" s="907"/>
    </row>
    <row r="68" spans="2:51" s="136" customFormat="1" ht="19.2">
      <c r="I68" s="905"/>
      <c r="J68" s="906"/>
      <c r="K68" s="906"/>
      <c r="L68" s="906"/>
      <c r="M68" s="906"/>
      <c r="N68" s="906"/>
      <c r="O68" s="906"/>
      <c r="P68" s="906"/>
      <c r="Q68" s="906"/>
      <c r="R68" s="906"/>
      <c r="S68" s="906"/>
      <c r="T68" s="906"/>
      <c r="U68" s="906"/>
      <c r="V68" s="906"/>
      <c r="W68" s="906"/>
      <c r="X68" s="907"/>
      <c r="Y68" s="38" t="s">
        <v>205</v>
      </c>
      <c r="Z68" s="39"/>
      <c r="AA68" s="39"/>
      <c r="AB68" s="39"/>
      <c r="AC68" s="199"/>
      <c r="AD68" s="199"/>
      <c r="AE68" s="199"/>
      <c r="AF68" s="199"/>
      <c r="AG68" s="199"/>
      <c r="AH68" s="199"/>
      <c r="AI68" s="199"/>
      <c r="AJ68" s="199"/>
      <c r="AK68" s="199"/>
      <c r="AL68" s="199"/>
      <c r="AM68" s="199"/>
      <c r="AN68" s="199"/>
      <c r="AO68" s="199"/>
      <c r="AP68" s="199"/>
      <c r="AQ68" s="199"/>
      <c r="AR68" s="199"/>
      <c r="AS68" s="199"/>
      <c r="AT68" s="199"/>
      <c r="AU68" s="199"/>
      <c r="AV68" s="199"/>
      <c r="AW68" s="199"/>
      <c r="AX68" s="199"/>
      <c r="AY68" s="199"/>
    </row>
    <row r="69" spans="2:51" s="136" customFormat="1" ht="16.2"/>
    <row r="70" spans="2:51" s="136" customFormat="1" ht="16.2"/>
    <row r="71" spans="2:51" s="136" customFormat="1" ht="16.2">
      <c r="B71" s="141" t="s">
        <v>206</v>
      </c>
      <c r="K71" s="125" t="s">
        <v>189</v>
      </c>
    </row>
    <row r="72" spans="2:51" s="136" customFormat="1" ht="16.2">
      <c r="B72" s="921" t="s">
        <v>68</v>
      </c>
      <c r="C72" s="921"/>
      <c r="D72" s="932" t="s">
        <v>207</v>
      </c>
      <c r="E72" s="933"/>
      <c r="F72" s="923"/>
      <c r="G72" s="923"/>
      <c r="H72" s="923"/>
      <c r="I72" s="923"/>
      <c r="J72" s="923"/>
      <c r="K72" s="923"/>
      <c r="L72" s="923"/>
      <c r="M72" s="923"/>
      <c r="N72" s="923"/>
      <c r="O72" s="923"/>
      <c r="P72" s="923"/>
      <c r="Q72" s="923"/>
      <c r="R72" s="923"/>
      <c r="S72" s="923"/>
      <c r="T72" s="923"/>
      <c r="U72" s="923"/>
      <c r="V72" s="924"/>
    </row>
    <row r="73" spans="2:51" s="136" customFormat="1" ht="17.25" customHeight="1">
      <c r="B73" s="921" t="s">
        <v>68</v>
      </c>
      <c r="C73" s="921"/>
      <c r="D73" s="932" t="s">
        <v>208</v>
      </c>
      <c r="E73" s="934"/>
      <c r="F73" s="950" t="s">
        <v>209</v>
      </c>
      <c r="G73" s="950"/>
      <c r="H73" s="950"/>
      <c r="I73" s="950"/>
      <c r="J73" s="950"/>
      <c r="K73" s="950"/>
      <c r="L73" s="950"/>
      <c r="M73" s="950"/>
      <c r="N73" s="950"/>
      <c r="O73" s="950"/>
      <c r="P73" s="950"/>
      <c r="Q73" s="950"/>
      <c r="R73" s="950"/>
      <c r="S73" s="950"/>
      <c r="T73" s="950"/>
      <c r="U73" s="950"/>
      <c r="V73" s="951"/>
    </row>
    <row r="74" spans="2:51" s="136" customFormat="1" ht="17.25" customHeight="1">
      <c r="B74" s="921" t="s">
        <v>68</v>
      </c>
      <c r="C74" s="921"/>
      <c r="D74" s="952"/>
      <c r="E74" s="953"/>
      <c r="F74" s="950" t="s">
        <v>210</v>
      </c>
      <c r="G74" s="950"/>
      <c r="H74" s="950"/>
      <c r="I74" s="950"/>
      <c r="J74" s="950"/>
      <c r="K74" s="950"/>
      <c r="L74" s="950"/>
      <c r="M74" s="950"/>
      <c r="N74" s="950"/>
      <c r="O74" s="950"/>
      <c r="P74" s="950"/>
      <c r="Q74" s="950"/>
      <c r="R74" s="950"/>
      <c r="S74" s="950"/>
      <c r="T74" s="950"/>
      <c r="U74" s="950"/>
      <c r="V74" s="951"/>
    </row>
    <row r="75" spans="2:51" s="136" customFormat="1" ht="17.25" customHeight="1">
      <c r="B75" s="921" t="s">
        <v>68</v>
      </c>
      <c r="C75" s="921"/>
      <c r="D75" s="952"/>
      <c r="E75" s="953"/>
      <c r="F75" s="950" t="s">
        <v>211</v>
      </c>
      <c r="G75" s="950"/>
      <c r="H75" s="950"/>
      <c r="I75" s="950"/>
      <c r="J75" s="950"/>
      <c r="K75" s="950"/>
      <c r="L75" s="950"/>
      <c r="M75" s="950"/>
      <c r="N75" s="950"/>
      <c r="O75" s="950"/>
      <c r="P75" s="950"/>
      <c r="Q75" s="950"/>
      <c r="R75" s="950"/>
      <c r="S75" s="950"/>
      <c r="T75" s="950"/>
      <c r="U75" s="950"/>
      <c r="V75" s="951"/>
    </row>
    <row r="76" spans="2:51" s="136" customFormat="1" ht="17.25" customHeight="1">
      <c r="B76" s="921" t="s">
        <v>68</v>
      </c>
      <c r="C76" s="921"/>
      <c r="D76" s="952"/>
      <c r="E76" s="953"/>
      <c r="F76" s="950" t="s">
        <v>611</v>
      </c>
      <c r="G76" s="950"/>
      <c r="H76" s="950"/>
      <c r="I76" s="950"/>
      <c r="J76" s="950"/>
      <c r="K76" s="950"/>
      <c r="L76" s="950"/>
      <c r="M76" s="950"/>
      <c r="N76" s="950"/>
      <c r="O76" s="950"/>
      <c r="P76" s="950"/>
      <c r="Q76" s="950"/>
      <c r="R76" s="950"/>
      <c r="S76" s="950"/>
      <c r="T76" s="950"/>
      <c r="U76" s="950"/>
      <c r="V76" s="951"/>
    </row>
    <row r="77" spans="2:51" s="136" customFormat="1" ht="17.25" customHeight="1">
      <c r="B77" s="921" t="s">
        <v>68</v>
      </c>
      <c r="C77" s="921"/>
      <c r="D77" s="954"/>
      <c r="E77" s="955"/>
      <c r="F77" s="931" t="s">
        <v>212</v>
      </c>
      <c r="G77" s="923"/>
      <c r="H77" s="923"/>
      <c r="I77" s="923"/>
      <c r="J77" s="923"/>
      <c r="K77" s="923"/>
      <c r="L77" s="923"/>
      <c r="M77" s="923"/>
      <c r="N77" s="923"/>
      <c r="O77" s="923"/>
      <c r="P77" s="923"/>
      <c r="Q77" s="923"/>
      <c r="R77" s="923"/>
      <c r="S77" s="923"/>
      <c r="T77" s="923"/>
      <c r="U77" s="923"/>
      <c r="V77" s="924"/>
    </row>
    <row r="78" spans="2:51" s="136" customFormat="1" ht="17.25" customHeight="1">
      <c r="B78" s="921" t="s">
        <v>68</v>
      </c>
      <c r="C78" s="921"/>
      <c r="D78" s="932" t="s">
        <v>213</v>
      </c>
      <c r="E78" s="934"/>
      <c r="F78" s="923" t="s">
        <v>612</v>
      </c>
      <c r="G78" s="923"/>
      <c r="H78" s="923"/>
      <c r="I78" s="923"/>
      <c r="J78" s="923"/>
      <c r="K78" s="923"/>
      <c r="L78" s="923"/>
      <c r="M78" s="923"/>
      <c r="N78" s="923"/>
      <c r="O78" s="923"/>
      <c r="P78" s="923"/>
      <c r="Q78" s="923"/>
      <c r="R78" s="923"/>
      <c r="S78" s="923"/>
      <c r="T78" s="923"/>
      <c r="U78" s="923"/>
      <c r="V78" s="924"/>
    </row>
    <row r="79" spans="2:51" s="136" customFormat="1" ht="17.25" customHeight="1">
      <c r="B79" s="921" t="s">
        <v>68</v>
      </c>
      <c r="C79" s="921"/>
      <c r="D79" s="952"/>
      <c r="E79" s="953"/>
      <c r="F79" s="950" t="s">
        <v>613</v>
      </c>
      <c r="G79" s="950"/>
      <c r="H79" s="950"/>
      <c r="I79" s="950"/>
      <c r="J79" s="950"/>
      <c r="K79" s="950"/>
      <c r="L79" s="950"/>
      <c r="M79" s="950"/>
      <c r="N79" s="950"/>
      <c r="O79" s="950"/>
      <c r="P79" s="950"/>
      <c r="Q79" s="950"/>
      <c r="R79" s="950"/>
      <c r="S79" s="950"/>
      <c r="T79" s="950"/>
      <c r="U79" s="950"/>
      <c r="V79" s="951"/>
    </row>
    <row r="80" spans="2:51" s="136" customFormat="1" ht="17.25" customHeight="1">
      <c r="B80" s="921" t="s">
        <v>68</v>
      </c>
      <c r="C80" s="921"/>
      <c r="D80" s="952"/>
      <c r="E80" s="953"/>
      <c r="F80" s="956" t="s">
        <v>614</v>
      </c>
      <c r="G80" s="956"/>
      <c r="H80" s="956"/>
      <c r="I80" s="956"/>
      <c r="J80" s="956"/>
      <c r="K80" s="956"/>
      <c r="L80" s="956"/>
      <c r="M80" s="956"/>
      <c r="N80" s="956"/>
      <c r="O80" s="956"/>
      <c r="P80" s="956"/>
      <c r="Q80" s="956"/>
      <c r="R80" s="956"/>
      <c r="S80" s="956"/>
      <c r="T80" s="956"/>
      <c r="U80" s="956"/>
      <c r="V80" s="957"/>
    </row>
    <row r="81" spans="2:22" s="136" customFormat="1" ht="17.25" customHeight="1">
      <c r="B81" s="921" t="s">
        <v>68</v>
      </c>
      <c r="C81" s="921"/>
      <c r="D81" s="954"/>
      <c r="E81" s="955"/>
      <c r="F81" s="958" t="s">
        <v>615</v>
      </c>
      <c r="G81" s="958"/>
      <c r="H81" s="958"/>
      <c r="I81" s="958"/>
      <c r="J81" s="958"/>
      <c r="K81" s="958"/>
      <c r="L81" s="958"/>
      <c r="M81" s="958"/>
      <c r="N81" s="958"/>
      <c r="O81" s="958"/>
      <c r="P81" s="958"/>
      <c r="Q81" s="958"/>
      <c r="R81" s="958"/>
      <c r="S81" s="958"/>
      <c r="T81" s="958"/>
      <c r="U81" s="958"/>
      <c r="V81" s="959"/>
    </row>
    <row r="82" spans="2:22" s="136" customFormat="1" ht="17.25" customHeight="1">
      <c r="B82" s="921" t="s">
        <v>68</v>
      </c>
      <c r="C82" s="921"/>
      <c r="D82" s="928" t="s">
        <v>214</v>
      </c>
      <c r="E82" s="956"/>
      <c r="F82" s="956"/>
      <c r="G82" s="956"/>
      <c r="H82" s="956"/>
      <c r="I82" s="956"/>
      <c r="J82" s="956"/>
      <c r="K82" s="956"/>
      <c r="L82" s="956"/>
      <c r="M82" s="956"/>
      <c r="N82" s="956"/>
      <c r="O82" s="956"/>
      <c r="P82" s="956"/>
      <c r="Q82" s="956"/>
      <c r="R82" s="956"/>
      <c r="S82" s="956"/>
      <c r="T82" s="956"/>
      <c r="U82" s="956"/>
      <c r="V82" s="957"/>
    </row>
    <row r="83" spans="2:22" s="136" customFormat="1" ht="16.2"/>
    <row r="84" spans="2:22" s="136" customFormat="1" ht="16.2">
      <c r="B84" s="141" t="s">
        <v>215</v>
      </c>
      <c r="K84" s="125"/>
      <c r="Q84" s="125" t="s">
        <v>189</v>
      </c>
    </row>
    <row r="85" spans="2:22" s="136" customFormat="1" ht="16.2">
      <c r="B85" s="921" t="s">
        <v>68</v>
      </c>
      <c r="C85" s="921"/>
      <c r="D85" s="922" t="s">
        <v>216</v>
      </c>
      <c r="E85" s="923"/>
      <c r="F85" s="923"/>
      <c r="G85" s="923"/>
      <c r="H85" s="923"/>
      <c r="I85" s="923"/>
      <c r="J85" s="923"/>
      <c r="K85" s="923"/>
      <c r="L85" s="923"/>
      <c r="M85" s="923"/>
      <c r="N85" s="923"/>
      <c r="O85" s="923"/>
      <c r="P85" s="923"/>
      <c r="Q85" s="923"/>
      <c r="R85" s="923"/>
      <c r="S85" s="923"/>
      <c r="T85" s="923"/>
      <c r="U85" s="923"/>
      <c r="V85" s="924"/>
    </row>
    <row r="86" spans="2:22" s="136" customFormat="1" ht="16.2">
      <c r="B86" s="921" t="s">
        <v>68</v>
      </c>
      <c r="C86" s="921"/>
      <c r="D86" s="922" t="s">
        <v>217</v>
      </c>
      <c r="E86" s="923"/>
      <c r="F86" s="923"/>
      <c r="G86" s="923"/>
      <c r="H86" s="923"/>
      <c r="I86" s="923"/>
      <c r="J86" s="923"/>
      <c r="K86" s="923"/>
      <c r="L86" s="923"/>
      <c r="M86" s="923"/>
      <c r="N86" s="923"/>
      <c r="O86" s="923"/>
      <c r="P86" s="923"/>
      <c r="Q86" s="923"/>
      <c r="R86" s="923"/>
      <c r="S86" s="923"/>
      <c r="T86" s="923"/>
      <c r="U86" s="923"/>
      <c r="V86" s="924"/>
    </row>
    <row r="87" spans="2:22" s="136" customFormat="1" ht="16.2">
      <c r="B87" s="921" t="s">
        <v>68</v>
      </c>
      <c r="C87" s="921"/>
      <c r="D87" s="922" t="s">
        <v>218</v>
      </c>
      <c r="E87" s="923"/>
      <c r="F87" s="923"/>
      <c r="G87" s="923"/>
      <c r="H87" s="923"/>
      <c r="I87" s="923"/>
      <c r="J87" s="923"/>
      <c r="K87" s="923"/>
      <c r="L87" s="923"/>
      <c r="M87" s="923"/>
      <c r="N87" s="923"/>
      <c r="O87" s="923"/>
      <c r="P87" s="923"/>
      <c r="Q87" s="923"/>
      <c r="R87" s="923"/>
      <c r="S87" s="923"/>
      <c r="T87" s="923"/>
      <c r="U87" s="923"/>
      <c r="V87" s="924"/>
    </row>
    <row r="88" spans="2:22" s="136" customFormat="1" ht="16.2">
      <c r="B88" s="921" t="s">
        <v>68</v>
      </c>
      <c r="C88" s="921"/>
      <c r="D88" s="922" t="s">
        <v>616</v>
      </c>
      <c r="E88" s="923"/>
      <c r="F88" s="923"/>
      <c r="G88" s="923"/>
      <c r="H88" s="923"/>
      <c r="I88" s="923"/>
      <c r="J88" s="923"/>
      <c r="K88" s="923"/>
      <c r="L88" s="923"/>
      <c r="M88" s="923"/>
      <c r="N88" s="923"/>
      <c r="O88" s="923"/>
      <c r="P88" s="923"/>
      <c r="Q88" s="923"/>
      <c r="R88" s="923"/>
      <c r="S88" s="923"/>
      <c r="T88" s="923"/>
      <c r="U88" s="923"/>
      <c r="V88" s="924"/>
    </row>
    <row r="89" spans="2:22" s="136" customFormat="1" ht="16.2">
      <c r="B89" s="921" t="s">
        <v>68</v>
      </c>
      <c r="C89" s="921"/>
      <c r="D89" s="932" t="s">
        <v>219</v>
      </c>
      <c r="E89" s="933"/>
      <c r="F89" s="933"/>
      <c r="G89" s="923"/>
      <c r="H89" s="923"/>
      <c r="I89" s="923"/>
      <c r="J89" s="923"/>
      <c r="K89" s="923"/>
      <c r="L89" s="923"/>
      <c r="M89" s="923"/>
      <c r="N89" s="923"/>
      <c r="O89" s="923"/>
      <c r="P89" s="923"/>
      <c r="Q89" s="923"/>
      <c r="R89" s="923"/>
      <c r="S89" s="923"/>
      <c r="T89" s="923"/>
      <c r="U89" s="923"/>
      <c r="V89" s="924"/>
    </row>
    <row r="90" spans="2:22" s="136" customFormat="1" ht="17.25" customHeight="1">
      <c r="B90" s="960" t="s">
        <v>68</v>
      </c>
      <c r="C90" s="936"/>
      <c r="D90" s="927" t="s">
        <v>202</v>
      </c>
      <c r="E90" s="927"/>
      <c r="F90" s="927"/>
      <c r="G90" s="927"/>
      <c r="H90" s="941"/>
      <c r="I90" s="942"/>
      <c r="J90" s="942"/>
      <c r="K90" s="942"/>
      <c r="L90" s="942"/>
      <c r="M90" s="942"/>
      <c r="N90" s="942"/>
      <c r="O90" s="942"/>
      <c r="P90" s="942"/>
      <c r="Q90" s="942"/>
      <c r="R90" s="942"/>
      <c r="S90" s="942"/>
      <c r="T90" s="942"/>
      <c r="U90" s="942"/>
      <c r="V90" s="943"/>
    </row>
    <row r="91" spans="2:22" s="136" customFormat="1" ht="16.2">
      <c r="B91" s="937"/>
      <c r="C91" s="938"/>
      <c r="D91" s="927"/>
      <c r="E91" s="927"/>
      <c r="F91" s="927"/>
      <c r="G91" s="927"/>
      <c r="H91" s="944"/>
      <c r="I91" s="945"/>
      <c r="J91" s="945"/>
      <c r="K91" s="945"/>
      <c r="L91" s="945"/>
      <c r="M91" s="945"/>
      <c r="N91" s="945"/>
      <c r="O91" s="945"/>
      <c r="P91" s="945"/>
      <c r="Q91" s="945"/>
      <c r="R91" s="945"/>
      <c r="S91" s="945"/>
      <c r="T91" s="945"/>
      <c r="U91" s="945"/>
      <c r="V91" s="946"/>
    </row>
    <row r="92" spans="2:22" s="136" customFormat="1" ht="16.2">
      <c r="B92" s="937"/>
      <c r="C92" s="938"/>
      <c r="D92" s="927"/>
      <c r="E92" s="927"/>
      <c r="F92" s="927"/>
      <c r="G92" s="927"/>
      <c r="H92" s="944"/>
      <c r="I92" s="945"/>
      <c r="J92" s="945"/>
      <c r="K92" s="945"/>
      <c r="L92" s="945"/>
      <c r="M92" s="945"/>
      <c r="N92" s="945"/>
      <c r="O92" s="945"/>
      <c r="P92" s="945"/>
      <c r="Q92" s="945"/>
      <c r="R92" s="945"/>
      <c r="S92" s="945"/>
      <c r="T92" s="945"/>
      <c r="U92" s="945"/>
      <c r="V92" s="946"/>
    </row>
    <row r="93" spans="2:22" s="136" customFormat="1" ht="16.2">
      <c r="B93" s="937"/>
      <c r="C93" s="938"/>
      <c r="D93" s="927"/>
      <c r="E93" s="927"/>
      <c r="F93" s="927"/>
      <c r="G93" s="927"/>
      <c r="H93" s="944"/>
      <c r="I93" s="945"/>
      <c r="J93" s="945"/>
      <c r="K93" s="945"/>
      <c r="L93" s="945"/>
      <c r="M93" s="945"/>
      <c r="N93" s="945"/>
      <c r="O93" s="945"/>
      <c r="P93" s="945"/>
      <c r="Q93" s="945"/>
      <c r="R93" s="945"/>
      <c r="S93" s="945"/>
      <c r="T93" s="945"/>
      <c r="U93" s="945"/>
      <c r="V93" s="946"/>
    </row>
    <row r="94" spans="2:22" s="136" customFormat="1" ht="16.2">
      <c r="B94" s="939"/>
      <c r="C94" s="940"/>
      <c r="D94" s="927"/>
      <c r="E94" s="927"/>
      <c r="F94" s="927"/>
      <c r="G94" s="927"/>
      <c r="H94" s="947"/>
      <c r="I94" s="948"/>
      <c r="J94" s="948"/>
      <c r="K94" s="948"/>
      <c r="L94" s="948"/>
      <c r="M94" s="948"/>
      <c r="N94" s="948"/>
      <c r="O94" s="948"/>
      <c r="P94" s="948"/>
      <c r="Q94" s="948"/>
      <c r="R94" s="948"/>
      <c r="S94" s="948"/>
      <c r="T94" s="948"/>
      <c r="U94" s="948"/>
      <c r="V94" s="949"/>
    </row>
    <row r="95" spans="2:22" s="136" customFormat="1" ht="16.2"/>
    <row r="96" spans="2:22" s="136" customFormat="1" ht="16.2"/>
    <row r="97" s="136" customFormat="1" ht="16.2"/>
    <row r="98" s="136" customFormat="1" ht="16.2"/>
    <row r="99" s="136" customFormat="1" ht="16.2"/>
    <row r="100" s="136" customFormat="1" ht="16.2"/>
    <row r="101" s="136" customFormat="1" ht="16.2"/>
    <row r="102" s="136" customFormat="1" ht="16.2"/>
    <row r="103" s="136" customFormat="1" ht="16.2"/>
    <row r="104" s="136" customFormat="1" ht="16.2"/>
    <row r="105" s="136" customFormat="1" ht="16.2"/>
    <row r="106" s="136" customFormat="1" ht="16.2"/>
    <row r="107" s="136" customFormat="1" ht="16.2"/>
    <row r="108" s="136" customFormat="1" ht="16.2"/>
    <row r="109" s="136" customFormat="1" ht="16.2"/>
    <row r="110" s="136" customFormat="1" ht="16.2"/>
    <row r="111" s="136" customFormat="1" ht="16.2"/>
    <row r="112" s="136" customFormat="1" ht="16.2"/>
    <row r="113" s="136" customFormat="1" ht="16.2"/>
    <row r="114" s="136" customFormat="1" ht="16.2"/>
    <row r="115" s="136" customFormat="1" ht="16.2"/>
    <row r="116" s="136" customFormat="1" ht="16.2"/>
    <row r="117" s="136" customFormat="1" ht="16.2"/>
    <row r="118" s="136" customFormat="1" ht="16.2"/>
    <row r="119" s="136" customFormat="1" ht="16.2"/>
    <row r="120" s="136" customFormat="1" ht="16.2"/>
    <row r="121" s="136" customFormat="1" ht="16.2"/>
    <row r="122" s="136" customFormat="1" ht="16.2"/>
    <row r="123" s="136" customFormat="1" ht="16.2"/>
    <row r="124" s="136" customFormat="1" ht="16.2"/>
    <row r="125" s="136" customFormat="1" ht="16.2"/>
    <row r="126" s="136" customFormat="1" ht="16.2"/>
    <row r="127" s="136" customFormat="1" ht="16.2"/>
    <row r="128" s="136" customFormat="1" ht="16.2"/>
    <row r="129" s="136" customFormat="1" ht="16.2"/>
    <row r="130" s="136" customFormat="1" ht="16.2"/>
    <row r="131" s="136" customFormat="1" ht="16.2"/>
    <row r="132" s="136" customFormat="1" ht="16.2"/>
    <row r="133" s="136" customFormat="1" ht="16.2"/>
    <row r="134" s="136" customFormat="1" ht="16.2"/>
    <row r="135" s="136" customFormat="1" ht="16.2"/>
    <row r="136" s="136" customFormat="1" ht="16.2"/>
    <row r="137" s="136" customFormat="1" ht="16.2"/>
    <row r="138" s="136" customFormat="1" ht="16.2"/>
    <row r="139" s="136" customFormat="1" ht="16.2"/>
    <row r="140" s="136" customFormat="1" ht="16.2"/>
    <row r="141" s="136" customFormat="1" ht="16.2"/>
    <row r="142" s="136" customFormat="1" ht="16.2"/>
    <row r="143" s="136" customFormat="1" ht="16.2"/>
    <row r="144" s="136" customFormat="1" ht="16.2"/>
    <row r="145" s="136" customFormat="1" ht="16.2"/>
    <row r="146" s="136" customFormat="1" ht="16.2"/>
    <row r="147" s="136" customFormat="1" ht="16.2"/>
    <row r="148" s="136" customFormat="1" ht="16.2"/>
    <row r="149" s="136" customFormat="1" ht="16.2"/>
  </sheetData>
  <sheetProtection algorithmName="SHA-512" hashValue="OJY6/zqkmJ8Ca/mtZWZZJ6FxBKQwu3qMN3xcPJAjGc3iiXNtYVzGX/7YyyuvcirHqQpkH3aVT3vT7HM828QEjg==" saltValue="srb+ndnyw++XLvvpS1wUnQ==" spinCount="100000" sheet="1" objects="1" scenarios="1"/>
  <mergeCells count="138">
    <mergeCell ref="B90:C94"/>
    <mergeCell ref="D90:G94"/>
    <mergeCell ref="H90:V94"/>
    <mergeCell ref="B87:C87"/>
    <mergeCell ref="D87:V87"/>
    <mergeCell ref="B88:C88"/>
    <mergeCell ref="D88:V88"/>
    <mergeCell ref="B89:C89"/>
    <mergeCell ref="D89:V89"/>
    <mergeCell ref="B82:C82"/>
    <mergeCell ref="D82:V82"/>
    <mergeCell ref="B85:C85"/>
    <mergeCell ref="D85:V85"/>
    <mergeCell ref="B86:C86"/>
    <mergeCell ref="D86:V86"/>
    <mergeCell ref="B78:C78"/>
    <mergeCell ref="D78:E81"/>
    <mergeCell ref="F78:V78"/>
    <mergeCell ref="B79:C79"/>
    <mergeCell ref="F79:V79"/>
    <mergeCell ref="B80:C80"/>
    <mergeCell ref="F80:V80"/>
    <mergeCell ref="B81:C81"/>
    <mergeCell ref="F81:V81"/>
    <mergeCell ref="B75:C75"/>
    <mergeCell ref="F75:V75"/>
    <mergeCell ref="B76:C76"/>
    <mergeCell ref="F76:V76"/>
    <mergeCell ref="B77:C77"/>
    <mergeCell ref="F77:V77"/>
    <mergeCell ref="B67:H67"/>
    <mergeCell ref="I67:X67"/>
    <mergeCell ref="I68:X68"/>
    <mergeCell ref="B72:C72"/>
    <mergeCell ref="D72:V72"/>
    <mergeCell ref="B73:C73"/>
    <mergeCell ref="D73:E77"/>
    <mergeCell ref="F73:V73"/>
    <mergeCell ref="B74:C74"/>
    <mergeCell ref="F74:V74"/>
    <mergeCell ref="B58:C58"/>
    <mergeCell ref="D58:V58"/>
    <mergeCell ref="B59:C59"/>
    <mergeCell ref="D59:V59"/>
    <mergeCell ref="B60:C64"/>
    <mergeCell ref="D60:G64"/>
    <mergeCell ref="H60:V64"/>
    <mergeCell ref="B51:H51"/>
    <mergeCell ref="I51:X51"/>
    <mergeCell ref="I52:X52"/>
    <mergeCell ref="B56:C56"/>
    <mergeCell ref="D56:V56"/>
    <mergeCell ref="B57:C57"/>
    <mergeCell ref="D57:V57"/>
    <mergeCell ref="Y42:Z42"/>
    <mergeCell ref="AA42:AS42"/>
    <mergeCell ref="B43:C43"/>
    <mergeCell ref="D43:V43"/>
    <mergeCell ref="Y43:Z43"/>
    <mergeCell ref="AA43:AS43"/>
    <mergeCell ref="Y40:Z40"/>
    <mergeCell ref="AA40:AS40"/>
    <mergeCell ref="AV40:AW40"/>
    <mergeCell ref="AX40:BP40"/>
    <mergeCell ref="Y41:Z41"/>
    <mergeCell ref="AA41:AS41"/>
    <mergeCell ref="AV41:AW41"/>
    <mergeCell ref="AX41:BP41"/>
    <mergeCell ref="Y38:Z38"/>
    <mergeCell ref="AA38:AS38"/>
    <mergeCell ref="AV38:AW38"/>
    <mergeCell ref="AX38:BP38"/>
    <mergeCell ref="Y39:Z39"/>
    <mergeCell ref="AA39:AS39"/>
    <mergeCell ref="AV39:AW39"/>
    <mergeCell ref="AX39:BP39"/>
    <mergeCell ref="AV36:AW36"/>
    <mergeCell ref="AX36:BP36"/>
    <mergeCell ref="B37:C37"/>
    <mergeCell ref="D37:V37"/>
    <mergeCell ref="Y37:Z37"/>
    <mergeCell ref="AA37:AS37"/>
    <mergeCell ref="AV37:AW37"/>
    <mergeCell ref="AX37:BP37"/>
    <mergeCell ref="C35:I35"/>
    <mergeCell ref="Z35:AF35"/>
    <mergeCell ref="B36:C36"/>
    <mergeCell ref="D36:V36"/>
    <mergeCell ref="Y36:Z36"/>
    <mergeCell ref="AA36:AS36"/>
    <mergeCell ref="Y26:Z26"/>
    <mergeCell ref="AA26:AS26"/>
    <mergeCell ref="B27:C27"/>
    <mergeCell ref="D27:V27"/>
    <mergeCell ref="Y27:Z27"/>
    <mergeCell ref="AA27:AS27"/>
    <mergeCell ref="Y24:Z24"/>
    <mergeCell ref="AA24:AS24"/>
    <mergeCell ref="AV24:AW24"/>
    <mergeCell ref="AX24:BP24"/>
    <mergeCell ref="Y25:Z25"/>
    <mergeCell ref="AA25:AS25"/>
    <mergeCell ref="AV25:AW25"/>
    <mergeCell ref="AX25:BP25"/>
    <mergeCell ref="Y22:Z22"/>
    <mergeCell ref="AA22:AS22"/>
    <mergeCell ref="AV22:AW22"/>
    <mergeCell ref="AX22:BP22"/>
    <mergeCell ref="Y23:Z23"/>
    <mergeCell ref="AA23:AS23"/>
    <mergeCell ref="AV23:AW23"/>
    <mergeCell ref="AX23:BP23"/>
    <mergeCell ref="AV20:AW20"/>
    <mergeCell ref="AX20:BP20"/>
    <mergeCell ref="B21:C21"/>
    <mergeCell ref="D21:V21"/>
    <mergeCell ref="Y21:Z21"/>
    <mergeCell ref="AA21:AS21"/>
    <mergeCell ref="AV21:AW21"/>
    <mergeCell ref="AX21:BP21"/>
    <mergeCell ref="C19:I19"/>
    <mergeCell ref="Z19:AF19"/>
    <mergeCell ref="B20:C20"/>
    <mergeCell ref="D20:V20"/>
    <mergeCell ref="Y20:Z20"/>
    <mergeCell ref="AA20:AS20"/>
    <mergeCell ref="B14:H14"/>
    <mergeCell ref="I14:X14"/>
    <mergeCell ref="I15:X15"/>
    <mergeCell ref="Y15:AZ15"/>
    <mergeCell ref="B16:H16"/>
    <mergeCell ref="I16:X16"/>
    <mergeCell ref="A1:BQ2"/>
    <mergeCell ref="B4:BQ10"/>
    <mergeCell ref="B13:H13"/>
    <mergeCell ref="I13:T13"/>
    <mergeCell ref="U13:X13"/>
    <mergeCell ref="Y13:AN13"/>
  </mergeCells>
  <phoneticPr fontId="18"/>
  <dataValidations disablePrompts="1" count="5">
    <dataValidation type="list" showInputMessage="1" showErrorMessage="1" sqref="I67:X67" xr:uid="{00000000-0002-0000-0600-000000000000}">
      <formula1>$CQ$1:$CQ$2</formula1>
    </dataValidation>
    <dataValidation type="list" allowBlank="1" showInputMessage="1" showErrorMessage="1" sqref="Y13:AN13" xr:uid="{00000000-0002-0000-0600-000001000000}">
      <formula1>INDIRECT($I$13)</formula1>
    </dataValidation>
    <dataValidation type="list" allowBlank="1" showInputMessage="1" showErrorMessage="1" sqref="AV14:AZ14" xr:uid="{00000000-0002-0000-0600-000002000000}">
      <formula1>INDIRECT(#REF!)</formula1>
    </dataValidation>
    <dataValidation type="list" allowBlank="1" showInputMessage="1" showErrorMessage="1" sqref="B20:B21 B72:B82 Y20:Y32 B36:B37 B43 B56:B59 AV36:AV41 B90:C94 AV20:AV25 B27 Y36:Y43 B60:C64 B85:B89" xr:uid="{00000000-0002-0000-0600-000003000000}">
      <formula1>"□,■"</formula1>
    </dataValidation>
    <dataValidation type="list" showInputMessage="1" showErrorMessage="1" sqref="AF14" xr:uid="{00000000-0002-0000-0600-000004000000}">
      <formula1>産業</formula1>
    </dataValidation>
  </dataValidations>
  <pageMargins left="0.7" right="0.7" top="0.75" bottom="0.75" header="0.3" footer="0.3"/>
  <pageSetup paperSize="9" scale="43" orientation="portrait" r:id="rId1"/>
  <colBreaks count="1" manualBreakCount="1">
    <brk id="70" max="95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showInputMessage="1" showErrorMessage="1" xr:uid="{00000000-0002-0000-0600-000005000000}">
          <x14:formula1>
            <xm:f>リスト!$N$1:$N$6</xm:f>
          </x14:formula1>
          <xm:sqref>I14:X14</xm:sqref>
        </x14:dataValidation>
        <x14:dataValidation type="list" showInputMessage="1" showErrorMessage="1" xr:uid="{00000000-0002-0000-0600-000006000000}">
          <x14:formula1>
            <xm:f>リスト!$P$1:$P$2</xm:f>
          </x14:formula1>
          <xm:sqref>I51:X51</xm:sqref>
        </x14:dataValidation>
        <x14:dataValidation type="list" showInputMessage="1" showErrorMessage="1" xr:uid="{00000000-0002-0000-0600-000007000000}">
          <x14:formula1>
            <xm:f>リスト!$O$1:$O$8</xm:f>
          </x14:formula1>
          <xm:sqref>I16:X16</xm:sqref>
        </x14:dataValidation>
        <x14:dataValidation type="list" showInputMessage="1" showErrorMessage="1" xr:uid="{00000000-0002-0000-0600-000008000000}">
          <x14:formula1>
            <xm:f>リスト!$Q$1:$Q$21</xm:f>
          </x14:formula1>
          <xm:sqref>I13:T13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tabColor rgb="FFCCFFCC"/>
  </sheetPr>
  <dimension ref="A1"/>
  <sheetViews>
    <sheetView workbookViewId="0"/>
  </sheetViews>
  <sheetFormatPr defaultRowHeight="12.6"/>
  <sheetData/>
  <sheetProtection algorithmName="SHA-512" hashValue="AZ0vbd31QWDRoSOMqUZL4Ps1V34970lGrAHxclk3HK5yH1Jg0VEv1rMcO0u4lY1xcSdWwFh5h/8Frev5ylN5lg==" saltValue="UCJFyOSWEhdSZUlsDyxAYg==" spinCount="100000" sheet="1" objects="1" scenarios="1"/>
  <phoneticPr fontId="18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2" tint="-9.9978637043366805E-2"/>
  </sheetPr>
  <dimension ref="A1:BM58"/>
  <sheetViews>
    <sheetView view="pageBreakPreview" zoomScaleNormal="100" zoomScaleSheetLayoutView="100" workbookViewId="0">
      <selection activeCell="S11" sqref="S11:AX13"/>
    </sheetView>
  </sheetViews>
  <sheetFormatPr defaultColWidth="9.109375" defaultRowHeight="13.2"/>
  <cols>
    <col min="1" max="52" width="3" style="6" customWidth="1"/>
    <col min="53" max="64" width="3" style="183" customWidth="1"/>
    <col min="65" max="149" width="3" style="6" customWidth="1"/>
    <col min="150" max="16384" width="9.109375" style="6"/>
  </cols>
  <sheetData>
    <row r="1" spans="1:65" ht="13.5" customHeight="1">
      <c r="A1" s="5"/>
      <c r="B1" s="5"/>
      <c r="C1" s="492" t="s">
        <v>733</v>
      </c>
      <c r="D1" s="492"/>
      <c r="E1" s="492"/>
      <c r="F1" s="492"/>
      <c r="G1" s="492"/>
      <c r="H1" s="492"/>
      <c r="I1" s="492"/>
      <c r="J1" s="492"/>
      <c r="K1" s="492"/>
      <c r="L1" s="492"/>
      <c r="M1" s="492"/>
      <c r="N1" s="492"/>
      <c r="O1" s="492"/>
      <c r="P1" s="492"/>
      <c r="Q1" s="492"/>
      <c r="R1" s="492"/>
      <c r="S1" s="492"/>
      <c r="T1" s="492"/>
      <c r="U1" s="492"/>
      <c r="V1" s="492"/>
      <c r="W1" s="492"/>
      <c r="X1" s="492"/>
      <c r="Y1" s="492"/>
      <c r="Z1" s="492"/>
      <c r="AA1" s="492"/>
      <c r="AB1" s="492"/>
      <c r="AC1" s="492"/>
      <c r="AD1" s="492"/>
      <c r="AE1" s="492"/>
      <c r="AF1" s="492"/>
      <c r="AG1" s="492"/>
      <c r="AH1" s="492"/>
      <c r="AI1" s="492"/>
      <c r="AJ1" s="492"/>
      <c r="AK1" s="492"/>
      <c r="AL1" s="492"/>
      <c r="AM1" s="492"/>
      <c r="AN1" s="492"/>
      <c r="AO1" s="492"/>
      <c r="AP1" s="492"/>
      <c r="AQ1" s="492"/>
      <c r="AR1" s="492"/>
      <c r="AS1" s="492"/>
      <c r="AT1" s="492"/>
      <c r="AU1" s="492"/>
      <c r="AV1" s="492"/>
      <c r="AW1" s="492"/>
      <c r="AX1" s="492"/>
      <c r="AY1" s="492"/>
      <c r="AZ1" s="5"/>
      <c r="BA1" s="385"/>
      <c r="BB1" s="385"/>
      <c r="BC1" s="385"/>
      <c r="BD1" s="385"/>
      <c r="BE1" s="385"/>
      <c r="BF1" s="385"/>
      <c r="BG1" s="385"/>
      <c r="BH1" s="385"/>
      <c r="BI1" s="385"/>
      <c r="BJ1" s="385"/>
      <c r="BK1" s="385"/>
      <c r="BL1" s="385"/>
      <c r="BM1" s="5"/>
    </row>
    <row r="2" spans="1:65" ht="13.5" customHeight="1">
      <c r="A2" s="5"/>
      <c r="B2" s="5"/>
      <c r="C2" s="492"/>
      <c r="D2" s="492"/>
      <c r="E2" s="492"/>
      <c r="F2" s="492"/>
      <c r="G2" s="492"/>
      <c r="H2" s="492"/>
      <c r="I2" s="492"/>
      <c r="J2" s="492"/>
      <c r="K2" s="492"/>
      <c r="L2" s="492"/>
      <c r="M2" s="492"/>
      <c r="N2" s="492"/>
      <c r="O2" s="492"/>
      <c r="P2" s="492"/>
      <c r="Q2" s="492"/>
      <c r="R2" s="492"/>
      <c r="S2" s="492"/>
      <c r="T2" s="492"/>
      <c r="U2" s="492"/>
      <c r="V2" s="492"/>
      <c r="W2" s="492"/>
      <c r="X2" s="492"/>
      <c r="Y2" s="492"/>
      <c r="Z2" s="492"/>
      <c r="AA2" s="492"/>
      <c r="AB2" s="492"/>
      <c r="AC2" s="492"/>
      <c r="AD2" s="492"/>
      <c r="AE2" s="492"/>
      <c r="AF2" s="492"/>
      <c r="AG2" s="492"/>
      <c r="AH2" s="492"/>
      <c r="AI2" s="492"/>
      <c r="AJ2" s="492"/>
      <c r="AK2" s="492"/>
      <c r="AL2" s="492"/>
      <c r="AM2" s="492"/>
      <c r="AN2" s="492"/>
      <c r="AO2" s="492"/>
      <c r="AP2" s="492"/>
      <c r="AQ2" s="492"/>
      <c r="AR2" s="492"/>
      <c r="AS2" s="492"/>
      <c r="AT2" s="492"/>
      <c r="AU2" s="492"/>
      <c r="AV2" s="492"/>
      <c r="AW2" s="492"/>
      <c r="AX2" s="492"/>
      <c r="AY2" s="492"/>
      <c r="AZ2" s="5"/>
      <c r="BA2" s="385"/>
      <c r="BB2" s="385"/>
      <c r="BC2" s="385"/>
      <c r="BD2" s="385"/>
      <c r="BE2" s="385"/>
      <c r="BF2" s="385"/>
      <c r="BG2" s="385"/>
      <c r="BH2" s="385"/>
      <c r="BI2" s="385"/>
      <c r="BJ2" s="385"/>
      <c r="BK2" s="385"/>
      <c r="BL2" s="385"/>
      <c r="BM2" s="5"/>
    </row>
    <row r="3" spans="1:65" ht="13.5" customHeight="1">
      <c r="A3" s="5"/>
      <c r="B3" s="5"/>
      <c r="C3" s="492"/>
      <c r="D3" s="492"/>
      <c r="E3" s="492"/>
      <c r="F3" s="492"/>
      <c r="G3" s="492"/>
      <c r="H3" s="492"/>
      <c r="I3" s="492"/>
      <c r="J3" s="492"/>
      <c r="K3" s="492"/>
      <c r="L3" s="492"/>
      <c r="M3" s="492"/>
      <c r="N3" s="492"/>
      <c r="O3" s="492"/>
      <c r="P3" s="492"/>
      <c r="Q3" s="492"/>
      <c r="R3" s="492"/>
      <c r="S3" s="492"/>
      <c r="T3" s="492"/>
      <c r="U3" s="492"/>
      <c r="V3" s="492"/>
      <c r="W3" s="492"/>
      <c r="X3" s="492"/>
      <c r="Y3" s="492"/>
      <c r="Z3" s="492"/>
      <c r="AA3" s="492"/>
      <c r="AB3" s="492"/>
      <c r="AC3" s="492"/>
      <c r="AD3" s="492"/>
      <c r="AE3" s="492"/>
      <c r="AF3" s="492"/>
      <c r="AG3" s="492"/>
      <c r="AH3" s="492"/>
      <c r="AI3" s="492"/>
      <c r="AJ3" s="492"/>
      <c r="AK3" s="492"/>
      <c r="AL3" s="492"/>
      <c r="AM3" s="492"/>
      <c r="AN3" s="492"/>
      <c r="AO3" s="492"/>
      <c r="AP3" s="492"/>
      <c r="AQ3" s="492"/>
      <c r="AR3" s="492"/>
      <c r="AS3" s="492"/>
      <c r="AT3" s="492"/>
      <c r="AU3" s="492"/>
      <c r="AV3" s="492"/>
      <c r="AW3" s="492"/>
      <c r="AX3" s="492"/>
      <c r="AY3" s="492"/>
      <c r="AZ3" s="5"/>
      <c r="BA3" s="385"/>
      <c r="BB3" s="385"/>
      <c r="BC3" s="385"/>
      <c r="BD3" s="385"/>
      <c r="BE3" s="385"/>
      <c r="BF3" s="385"/>
      <c r="BG3" s="385"/>
      <c r="BH3" s="385"/>
      <c r="BI3" s="385"/>
      <c r="BJ3" s="385"/>
      <c r="BK3" s="385"/>
      <c r="BL3" s="385"/>
      <c r="BM3" s="5"/>
    </row>
    <row r="4" spans="1:65" ht="13.5" customHeight="1">
      <c r="A4" s="5"/>
      <c r="B4" s="5"/>
      <c r="C4" s="492"/>
      <c r="D4" s="492"/>
      <c r="E4" s="492"/>
      <c r="F4" s="492"/>
      <c r="G4" s="492"/>
      <c r="H4" s="492"/>
      <c r="I4" s="492"/>
      <c r="J4" s="492"/>
      <c r="K4" s="492"/>
      <c r="L4" s="492"/>
      <c r="M4" s="492"/>
      <c r="N4" s="492"/>
      <c r="O4" s="492"/>
      <c r="P4" s="492"/>
      <c r="Q4" s="492"/>
      <c r="R4" s="492"/>
      <c r="S4" s="492"/>
      <c r="T4" s="492"/>
      <c r="U4" s="492"/>
      <c r="V4" s="492"/>
      <c r="W4" s="492"/>
      <c r="X4" s="492"/>
      <c r="Y4" s="492"/>
      <c r="Z4" s="492"/>
      <c r="AA4" s="492"/>
      <c r="AB4" s="492"/>
      <c r="AC4" s="492"/>
      <c r="AD4" s="492"/>
      <c r="AE4" s="492"/>
      <c r="AF4" s="492"/>
      <c r="AG4" s="492"/>
      <c r="AH4" s="492"/>
      <c r="AI4" s="492"/>
      <c r="AJ4" s="492"/>
      <c r="AK4" s="492"/>
      <c r="AL4" s="492"/>
      <c r="AM4" s="492"/>
      <c r="AN4" s="492"/>
      <c r="AO4" s="492"/>
      <c r="AP4" s="492"/>
      <c r="AQ4" s="492"/>
      <c r="AR4" s="492"/>
      <c r="AS4" s="492"/>
      <c r="AT4" s="492"/>
      <c r="AU4" s="492"/>
      <c r="AV4" s="492"/>
      <c r="AW4" s="492"/>
      <c r="AX4" s="492"/>
      <c r="AY4" s="492"/>
      <c r="AZ4" s="5"/>
      <c r="BA4" s="385"/>
      <c r="BB4" s="385"/>
      <c r="BC4" s="385"/>
      <c r="BD4" s="385"/>
      <c r="BE4" s="385"/>
      <c r="BF4" s="385"/>
      <c r="BG4" s="385"/>
      <c r="BH4" s="385"/>
      <c r="BI4" s="385"/>
      <c r="BJ4" s="385"/>
      <c r="BK4" s="385"/>
      <c r="BL4" s="385"/>
      <c r="BM4" s="5"/>
    </row>
    <row r="5" spans="1:65" ht="14.4">
      <c r="A5" s="5"/>
      <c r="B5" s="5"/>
      <c r="C5" s="222" t="s">
        <v>770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385"/>
      <c r="BB5" s="488" t="s">
        <v>775</v>
      </c>
      <c r="BC5" s="488"/>
      <c r="BD5" s="488"/>
      <c r="BE5" s="488"/>
      <c r="BF5" s="488"/>
      <c r="BG5" s="488"/>
      <c r="BH5" s="488"/>
      <c r="BI5" s="488"/>
      <c r="BJ5" s="385"/>
      <c r="BK5" s="385"/>
      <c r="BL5" s="385"/>
      <c r="BM5" s="5"/>
    </row>
    <row r="6" spans="1:65" ht="14.4">
      <c r="A6" s="5"/>
      <c r="B6" s="5"/>
      <c r="C6" s="223" t="s">
        <v>777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 t="str">
        <f>本紙!AR6</f>
        <v>Ver.3.50</v>
      </c>
      <c r="AS6" s="5"/>
      <c r="AT6" s="5"/>
      <c r="AU6" s="5"/>
      <c r="AV6" s="5"/>
      <c r="AW6" s="5"/>
      <c r="AX6" s="5"/>
      <c r="AY6" s="5"/>
      <c r="AZ6" s="5"/>
      <c r="BA6" s="385"/>
      <c r="BB6" s="488"/>
      <c r="BC6" s="488"/>
      <c r="BD6" s="488"/>
      <c r="BE6" s="488"/>
      <c r="BF6" s="488"/>
      <c r="BG6" s="488"/>
      <c r="BH6" s="488"/>
      <c r="BI6" s="488"/>
      <c r="BJ6" s="385"/>
      <c r="BK6" s="385"/>
      <c r="BL6" s="385"/>
      <c r="BM6" s="5"/>
    </row>
    <row r="7" spans="1:65" ht="20.25" customHeight="1">
      <c r="A7" s="5"/>
      <c r="B7" s="5"/>
      <c r="C7" s="20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205" t="str">
        <f>IF('別紙①_カメラ申込書 (記)'!M64="","",'別紙①_カメラ申込書 (記)'!M64)</f>
        <v/>
      </c>
      <c r="AS7" s="5"/>
      <c r="AT7" s="5"/>
      <c r="AU7" s="5"/>
      <c r="AV7" s="5"/>
      <c r="AW7" s="5"/>
      <c r="AX7" s="5"/>
      <c r="AY7" s="5"/>
      <c r="AZ7" s="5"/>
      <c r="BA7" s="385"/>
      <c r="BB7" s="488"/>
      <c r="BC7" s="488"/>
      <c r="BD7" s="488"/>
      <c r="BE7" s="488"/>
      <c r="BF7" s="488"/>
      <c r="BG7" s="488"/>
      <c r="BH7" s="488"/>
      <c r="BI7" s="488"/>
      <c r="BJ7" s="385"/>
      <c r="BK7" s="385"/>
      <c r="BL7" s="385"/>
      <c r="BM7" s="5"/>
    </row>
    <row r="8" spans="1:65" ht="10.5" hidden="1" customHeight="1">
      <c r="A8" s="5"/>
      <c r="B8" s="5"/>
      <c r="C8" s="206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496" t="s">
        <v>44</v>
      </c>
      <c r="T8" s="497"/>
      <c r="U8" s="497"/>
      <c r="V8" s="497"/>
      <c r="W8" s="497"/>
      <c r="X8" s="497"/>
      <c r="Y8" s="497"/>
      <c r="Z8" s="497"/>
      <c r="AA8" s="497"/>
      <c r="AB8" s="497"/>
      <c r="AC8" s="497"/>
      <c r="AD8" s="497"/>
      <c r="AE8" s="497"/>
      <c r="AF8" s="497"/>
      <c r="AG8" s="497"/>
      <c r="AH8" s="497"/>
      <c r="AI8" s="497"/>
      <c r="AJ8" s="497"/>
      <c r="AK8" s="497"/>
      <c r="AL8" s="497"/>
      <c r="AM8" s="497"/>
      <c r="AN8" s="497"/>
      <c r="AO8" s="497"/>
      <c r="AP8" s="497"/>
      <c r="AQ8" s="497"/>
      <c r="AR8" s="497"/>
      <c r="AS8" s="497"/>
      <c r="AT8" s="497"/>
      <c r="AU8" s="497"/>
      <c r="AV8" s="497"/>
      <c r="AW8" s="497"/>
      <c r="AX8" s="498"/>
      <c r="AY8" s="5"/>
      <c r="AZ8" s="5"/>
      <c r="BA8" s="385"/>
      <c r="BB8" s="386"/>
      <c r="BC8" s="386"/>
      <c r="BD8" s="386"/>
      <c r="BE8" s="386"/>
      <c r="BF8" s="386"/>
      <c r="BG8" s="386"/>
      <c r="BH8" s="386"/>
      <c r="BI8" s="386"/>
      <c r="BJ8" s="385"/>
      <c r="BK8" s="385"/>
      <c r="BL8" s="385"/>
      <c r="BM8" s="5"/>
    </row>
    <row r="9" spans="1:65" ht="10.5" hidden="1" customHeight="1">
      <c r="A9" s="5"/>
      <c r="B9" s="5"/>
      <c r="C9" s="206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499"/>
      <c r="T9" s="500"/>
      <c r="U9" s="500"/>
      <c r="V9" s="500"/>
      <c r="W9" s="500"/>
      <c r="X9" s="500"/>
      <c r="Y9" s="500"/>
      <c r="Z9" s="500"/>
      <c r="AA9" s="500"/>
      <c r="AB9" s="500"/>
      <c r="AC9" s="500"/>
      <c r="AD9" s="500"/>
      <c r="AE9" s="500"/>
      <c r="AF9" s="500"/>
      <c r="AG9" s="500"/>
      <c r="AH9" s="500"/>
      <c r="AI9" s="500"/>
      <c r="AJ9" s="500"/>
      <c r="AK9" s="500"/>
      <c r="AL9" s="500"/>
      <c r="AM9" s="500"/>
      <c r="AN9" s="500"/>
      <c r="AO9" s="500"/>
      <c r="AP9" s="500"/>
      <c r="AQ9" s="500"/>
      <c r="AR9" s="500"/>
      <c r="AS9" s="500"/>
      <c r="AT9" s="500"/>
      <c r="AU9" s="500"/>
      <c r="AV9" s="500"/>
      <c r="AW9" s="500"/>
      <c r="AX9" s="501"/>
      <c r="AY9" s="5"/>
      <c r="AZ9" s="5"/>
      <c r="BA9" s="385"/>
      <c r="BB9" s="386"/>
      <c r="BC9" s="386"/>
      <c r="BD9" s="386"/>
      <c r="BE9" s="386"/>
      <c r="BF9" s="386"/>
      <c r="BG9" s="386"/>
      <c r="BH9" s="386"/>
      <c r="BI9" s="386"/>
      <c r="BJ9" s="385"/>
      <c r="BK9" s="385"/>
      <c r="BL9" s="385"/>
      <c r="BM9" s="5"/>
    </row>
    <row r="10" spans="1:65" ht="15" hidden="1" customHeight="1">
      <c r="A10" s="5"/>
      <c r="B10" s="5"/>
      <c r="C10" s="206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02"/>
      <c r="T10" s="503"/>
      <c r="U10" s="503"/>
      <c r="V10" s="503"/>
      <c r="W10" s="503"/>
      <c r="X10" s="503"/>
      <c r="Y10" s="503"/>
      <c r="Z10" s="503"/>
      <c r="AA10" s="503"/>
      <c r="AB10" s="503"/>
      <c r="AC10" s="503"/>
      <c r="AD10" s="503"/>
      <c r="AE10" s="503"/>
      <c r="AF10" s="503"/>
      <c r="AG10" s="503"/>
      <c r="AH10" s="503"/>
      <c r="AI10" s="503"/>
      <c r="AJ10" s="503"/>
      <c r="AK10" s="503"/>
      <c r="AL10" s="503"/>
      <c r="AM10" s="503"/>
      <c r="AN10" s="503"/>
      <c r="AO10" s="503"/>
      <c r="AP10" s="503"/>
      <c r="AQ10" s="503"/>
      <c r="AR10" s="503"/>
      <c r="AS10" s="503"/>
      <c r="AT10" s="503"/>
      <c r="AU10" s="503"/>
      <c r="AV10" s="503"/>
      <c r="AW10" s="503"/>
      <c r="AX10" s="504"/>
      <c r="AY10" s="5"/>
      <c r="AZ10" s="5"/>
      <c r="BA10" s="385"/>
      <c r="BB10" s="386"/>
      <c r="BC10" s="386"/>
      <c r="BD10" s="386"/>
      <c r="BE10" s="386"/>
      <c r="BF10" s="386"/>
      <c r="BG10" s="386"/>
      <c r="BH10" s="386"/>
      <c r="BI10" s="386"/>
      <c r="BJ10" s="385"/>
      <c r="BK10" s="385"/>
      <c r="BL10" s="385"/>
      <c r="BM10" s="5"/>
    </row>
    <row r="11" spans="1:65" ht="14.25" customHeight="1">
      <c r="A11" s="5"/>
      <c r="B11" s="5"/>
      <c r="C11" s="493" t="s">
        <v>738</v>
      </c>
      <c r="D11" s="489"/>
      <c r="E11" s="489"/>
      <c r="F11" s="489"/>
      <c r="G11" s="489"/>
      <c r="H11" s="489"/>
      <c r="I11" s="489"/>
      <c r="J11" s="489"/>
      <c r="K11" s="489"/>
      <c r="L11" s="489"/>
      <c r="M11" s="489"/>
      <c r="N11" s="489"/>
      <c r="O11" s="489"/>
      <c r="P11" s="489"/>
      <c r="Q11" s="489"/>
      <c r="R11" s="494"/>
      <c r="S11" s="495" t="s">
        <v>40</v>
      </c>
      <c r="T11" s="495"/>
      <c r="U11" s="495"/>
      <c r="V11" s="495"/>
      <c r="W11" s="495"/>
      <c r="X11" s="495"/>
      <c r="Y11" s="495"/>
      <c r="Z11" s="495"/>
      <c r="AA11" s="495"/>
      <c r="AB11" s="495"/>
      <c r="AC11" s="495"/>
      <c r="AD11" s="495"/>
      <c r="AE11" s="495"/>
      <c r="AF11" s="495"/>
      <c r="AG11" s="495"/>
      <c r="AH11" s="495"/>
      <c r="AI11" s="495"/>
      <c r="AJ11" s="495"/>
      <c r="AK11" s="495"/>
      <c r="AL11" s="495"/>
      <c r="AM11" s="495"/>
      <c r="AN11" s="495"/>
      <c r="AO11" s="495"/>
      <c r="AP11" s="495"/>
      <c r="AQ11" s="495"/>
      <c r="AR11" s="495"/>
      <c r="AS11" s="495"/>
      <c r="AT11" s="495"/>
      <c r="AU11" s="495"/>
      <c r="AV11" s="495"/>
      <c r="AW11" s="495"/>
      <c r="AX11" s="495"/>
      <c r="AY11" s="5"/>
      <c r="AZ11" s="5"/>
      <c r="BA11" s="385"/>
      <c r="BB11" s="385"/>
      <c r="BC11" s="385"/>
      <c r="BD11" s="385"/>
      <c r="BE11" s="385"/>
      <c r="BF11" s="385"/>
      <c r="BG11" s="385"/>
      <c r="BH11" s="385"/>
      <c r="BI11" s="385"/>
      <c r="BJ11" s="385"/>
      <c r="BK11" s="385"/>
      <c r="BL11" s="385"/>
      <c r="BM11" s="5"/>
    </row>
    <row r="12" spans="1:65" ht="14.25" customHeight="1">
      <c r="A12" s="5"/>
      <c r="B12" s="5"/>
      <c r="C12" s="489"/>
      <c r="D12" s="489"/>
      <c r="E12" s="489"/>
      <c r="F12" s="489"/>
      <c r="G12" s="489"/>
      <c r="H12" s="489"/>
      <c r="I12" s="489"/>
      <c r="J12" s="489"/>
      <c r="K12" s="489"/>
      <c r="L12" s="489"/>
      <c r="M12" s="489"/>
      <c r="N12" s="489"/>
      <c r="O12" s="489"/>
      <c r="P12" s="489"/>
      <c r="Q12" s="489"/>
      <c r="R12" s="494"/>
      <c r="S12" s="495"/>
      <c r="T12" s="495"/>
      <c r="U12" s="495"/>
      <c r="V12" s="495"/>
      <c r="W12" s="495"/>
      <c r="X12" s="495"/>
      <c r="Y12" s="495"/>
      <c r="Z12" s="495"/>
      <c r="AA12" s="495"/>
      <c r="AB12" s="495"/>
      <c r="AC12" s="495"/>
      <c r="AD12" s="495"/>
      <c r="AE12" s="495"/>
      <c r="AF12" s="495"/>
      <c r="AG12" s="495"/>
      <c r="AH12" s="495"/>
      <c r="AI12" s="495"/>
      <c r="AJ12" s="495"/>
      <c r="AK12" s="495"/>
      <c r="AL12" s="495"/>
      <c r="AM12" s="495"/>
      <c r="AN12" s="495"/>
      <c r="AO12" s="495"/>
      <c r="AP12" s="495"/>
      <c r="AQ12" s="495"/>
      <c r="AR12" s="495"/>
      <c r="AS12" s="495"/>
      <c r="AT12" s="495"/>
      <c r="AU12" s="495"/>
      <c r="AV12" s="495"/>
      <c r="AW12" s="495"/>
      <c r="AX12" s="495"/>
      <c r="AY12" s="5"/>
      <c r="AZ12" s="5"/>
      <c r="BA12" s="388" t="s">
        <v>1033</v>
      </c>
      <c r="BB12" s="388"/>
      <c r="BC12" s="385"/>
      <c r="BD12" s="385"/>
      <c r="BE12" s="385"/>
      <c r="BF12" s="385"/>
      <c r="BG12" s="385"/>
      <c r="BH12" s="385"/>
      <c r="BI12" s="385"/>
      <c r="BJ12" s="385"/>
      <c r="BK12" s="385"/>
      <c r="BL12" s="385"/>
      <c r="BM12" s="5"/>
    </row>
    <row r="13" spans="1:65" ht="14.25" customHeight="1">
      <c r="A13" s="5"/>
      <c r="B13" s="5"/>
      <c r="C13" s="489"/>
      <c r="D13" s="489"/>
      <c r="E13" s="489"/>
      <c r="F13" s="489"/>
      <c r="G13" s="489"/>
      <c r="H13" s="489"/>
      <c r="I13" s="489"/>
      <c r="J13" s="489"/>
      <c r="K13" s="489"/>
      <c r="L13" s="489"/>
      <c r="M13" s="489"/>
      <c r="N13" s="489"/>
      <c r="O13" s="489"/>
      <c r="P13" s="489"/>
      <c r="Q13" s="489"/>
      <c r="R13" s="494"/>
      <c r="S13" s="495"/>
      <c r="T13" s="495"/>
      <c r="U13" s="495"/>
      <c r="V13" s="495"/>
      <c r="W13" s="495"/>
      <c r="X13" s="495"/>
      <c r="Y13" s="495"/>
      <c r="Z13" s="495"/>
      <c r="AA13" s="495"/>
      <c r="AB13" s="495"/>
      <c r="AC13" s="495"/>
      <c r="AD13" s="495"/>
      <c r="AE13" s="495"/>
      <c r="AF13" s="495"/>
      <c r="AG13" s="495"/>
      <c r="AH13" s="495"/>
      <c r="AI13" s="495"/>
      <c r="AJ13" s="495"/>
      <c r="AK13" s="495"/>
      <c r="AL13" s="495"/>
      <c r="AM13" s="495"/>
      <c r="AN13" s="495"/>
      <c r="AO13" s="495"/>
      <c r="AP13" s="495"/>
      <c r="AQ13" s="495"/>
      <c r="AR13" s="495"/>
      <c r="AS13" s="495"/>
      <c r="AT13" s="495"/>
      <c r="AU13" s="495"/>
      <c r="AV13" s="495"/>
      <c r="AW13" s="495"/>
      <c r="AX13" s="495"/>
      <c r="AY13" s="5"/>
      <c r="AZ13" s="5"/>
      <c r="BA13" s="388" t="s">
        <v>1034</v>
      </c>
      <c r="BB13" s="388"/>
      <c r="BC13" s="385"/>
      <c r="BD13" s="385"/>
      <c r="BE13" s="385"/>
      <c r="BF13" s="385"/>
      <c r="BG13" s="385"/>
      <c r="BH13" s="385"/>
      <c r="BI13" s="385"/>
      <c r="BJ13" s="385"/>
      <c r="BK13" s="385"/>
      <c r="BL13" s="385"/>
      <c r="BM13" s="5"/>
    </row>
    <row r="14" spans="1:65" ht="14.25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388" t="s">
        <v>1035</v>
      </c>
      <c r="BB14" s="388"/>
      <c r="BC14" s="385"/>
      <c r="BD14" s="385"/>
      <c r="BE14" s="385"/>
      <c r="BF14" s="385"/>
      <c r="BG14" s="385"/>
      <c r="BH14" s="385"/>
      <c r="BI14" s="385"/>
      <c r="BJ14" s="385"/>
      <c r="BK14" s="385"/>
      <c r="BL14" s="385"/>
      <c r="BM14" s="5"/>
    </row>
    <row r="15" spans="1:65" ht="14.25" customHeight="1">
      <c r="A15" s="5"/>
      <c r="B15" s="5"/>
      <c r="C15" s="489" t="s">
        <v>41</v>
      </c>
      <c r="D15" s="489"/>
      <c r="E15" s="489"/>
      <c r="F15" s="489"/>
      <c r="G15" s="489"/>
      <c r="H15" s="489"/>
      <c r="I15" s="489"/>
      <c r="J15" s="489"/>
      <c r="K15" s="489"/>
      <c r="L15" s="489"/>
      <c r="M15" s="489"/>
      <c r="N15" s="489"/>
      <c r="O15" s="489"/>
      <c r="P15" s="489"/>
      <c r="Q15" s="489"/>
      <c r="R15" s="489"/>
      <c r="S15" s="489" t="s">
        <v>42</v>
      </c>
      <c r="T15" s="489"/>
      <c r="U15" s="489"/>
      <c r="V15" s="489"/>
      <c r="W15" s="489"/>
      <c r="X15" s="489"/>
      <c r="Y15" s="489"/>
      <c r="Z15" s="489"/>
      <c r="AA15" s="489"/>
      <c r="AB15" s="489"/>
      <c r="AC15" s="489"/>
      <c r="AD15" s="489"/>
      <c r="AE15" s="489"/>
      <c r="AF15" s="489"/>
      <c r="AG15" s="489"/>
      <c r="AH15" s="489"/>
      <c r="AI15" s="489" t="s">
        <v>43</v>
      </c>
      <c r="AJ15" s="489"/>
      <c r="AK15" s="489"/>
      <c r="AL15" s="489"/>
      <c r="AM15" s="489"/>
      <c r="AN15" s="489"/>
      <c r="AO15" s="489"/>
      <c r="AP15" s="489"/>
      <c r="AQ15" s="489"/>
      <c r="AR15" s="489"/>
      <c r="AS15" s="489"/>
      <c r="AT15" s="489"/>
      <c r="AU15" s="489"/>
      <c r="AV15" s="489"/>
      <c r="AW15" s="489"/>
      <c r="AX15" s="489"/>
      <c r="AY15" s="5"/>
      <c r="AZ15" s="5"/>
      <c r="BA15" s="388" t="s">
        <v>1036</v>
      </c>
      <c r="BB15" s="388"/>
      <c r="BC15" s="385"/>
      <c r="BD15" s="385"/>
      <c r="BE15" s="385"/>
      <c r="BF15" s="385"/>
      <c r="BG15" s="385"/>
      <c r="BH15" s="385"/>
      <c r="BI15" s="385"/>
      <c r="BJ15" s="385"/>
      <c r="BK15" s="385"/>
      <c r="BL15" s="385"/>
      <c r="BM15" s="5"/>
    </row>
    <row r="16" spans="1:65" ht="14.25" customHeight="1">
      <c r="A16" s="5"/>
      <c r="B16" s="5"/>
      <c r="C16" s="489"/>
      <c r="D16" s="489"/>
      <c r="E16" s="489"/>
      <c r="F16" s="489"/>
      <c r="G16" s="489"/>
      <c r="H16" s="489"/>
      <c r="I16" s="489"/>
      <c r="J16" s="489"/>
      <c r="K16" s="489"/>
      <c r="L16" s="489"/>
      <c r="M16" s="489"/>
      <c r="N16" s="489"/>
      <c r="O16" s="489"/>
      <c r="P16" s="489"/>
      <c r="Q16" s="489"/>
      <c r="R16" s="489"/>
      <c r="S16" s="489"/>
      <c r="T16" s="489"/>
      <c r="U16" s="489"/>
      <c r="V16" s="489"/>
      <c r="W16" s="489"/>
      <c r="X16" s="489"/>
      <c r="Y16" s="489"/>
      <c r="Z16" s="489"/>
      <c r="AA16" s="489"/>
      <c r="AB16" s="489"/>
      <c r="AC16" s="489"/>
      <c r="AD16" s="489"/>
      <c r="AE16" s="489"/>
      <c r="AF16" s="489"/>
      <c r="AG16" s="489"/>
      <c r="AH16" s="489"/>
      <c r="AI16" s="489"/>
      <c r="AJ16" s="489"/>
      <c r="AK16" s="489"/>
      <c r="AL16" s="489"/>
      <c r="AM16" s="489"/>
      <c r="AN16" s="489"/>
      <c r="AO16" s="489"/>
      <c r="AP16" s="489"/>
      <c r="AQ16" s="489"/>
      <c r="AR16" s="489"/>
      <c r="AS16" s="489"/>
      <c r="AT16" s="489"/>
      <c r="AU16" s="489"/>
      <c r="AV16" s="489"/>
      <c r="AW16" s="489"/>
      <c r="AX16" s="489"/>
      <c r="AY16" s="5"/>
      <c r="AZ16" s="5"/>
      <c r="BA16" s="388" t="s">
        <v>1037</v>
      </c>
      <c r="BB16" s="388"/>
      <c r="BC16" s="385"/>
      <c r="BD16" s="385"/>
      <c r="BE16" s="385"/>
      <c r="BF16" s="385"/>
      <c r="BG16" s="385"/>
      <c r="BH16" s="385"/>
      <c r="BI16" s="385"/>
      <c r="BJ16" s="385"/>
      <c r="BK16" s="385"/>
      <c r="BL16" s="385"/>
      <c r="BM16" s="5"/>
    </row>
    <row r="17" spans="1:65" ht="14.25" customHeight="1">
      <c r="A17" s="5"/>
      <c r="B17" s="5"/>
      <c r="C17" s="489"/>
      <c r="D17" s="489"/>
      <c r="E17" s="489"/>
      <c r="F17" s="489"/>
      <c r="G17" s="489"/>
      <c r="H17" s="489"/>
      <c r="I17" s="489"/>
      <c r="J17" s="489"/>
      <c r="K17" s="489"/>
      <c r="L17" s="489"/>
      <c r="M17" s="489"/>
      <c r="N17" s="489"/>
      <c r="O17" s="489"/>
      <c r="P17" s="489"/>
      <c r="Q17" s="489"/>
      <c r="R17" s="489"/>
      <c r="S17" s="489"/>
      <c r="T17" s="489"/>
      <c r="U17" s="489"/>
      <c r="V17" s="489"/>
      <c r="W17" s="489"/>
      <c r="X17" s="489"/>
      <c r="Y17" s="489"/>
      <c r="Z17" s="489"/>
      <c r="AA17" s="489"/>
      <c r="AB17" s="489"/>
      <c r="AC17" s="489"/>
      <c r="AD17" s="489"/>
      <c r="AE17" s="489"/>
      <c r="AF17" s="489"/>
      <c r="AG17" s="489"/>
      <c r="AH17" s="489"/>
      <c r="AI17" s="490"/>
      <c r="AJ17" s="490"/>
      <c r="AK17" s="490"/>
      <c r="AL17" s="490"/>
      <c r="AM17" s="490"/>
      <c r="AN17" s="490"/>
      <c r="AO17" s="490"/>
      <c r="AP17" s="490"/>
      <c r="AQ17" s="490"/>
      <c r="AR17" s="490"/>
      <c r="AS17" s="490"/>
      <c r="AT17" s="490"/>
      <c r="AU17" s="490"/>
      <c r="AV17" s="490"/>
      <c r="AW17" s="490"/>
      <c r="AX17" s="490"/>
      <c r="AY17" s="5"/>
      <c r="AZ17" s="5"/>
      <c r="BA17" s="388"/>
      <c r="BB17" s="388"/>
      <c r="BC17" s="385"/>
      <c r="BD17" s="385"/>
      <c r="BE17" s="385"/>
      <c r="BF17" s="385"/>
      <c r="BG17" s="385"/>
      <c r="BH17" s="385"/>
      <c r="BI17" s="385"/>
      <c r="BJ17" s="385"/>
      <c r="BK17" s="385"/>
      <c r="BL17" s="385"/>
      <c r="BM17" s="5"/>
    </row>
    <row r="18" spans="1:65" ht="14.25" customHeight="1">
      <c r="A18" s="5"/>
      <c r="B18" s="5"/>
      <c r="C18" s="491" t="s">
        <v>771</v>
      </c>
      <c r="D18" s="491"/>
      <c r="E18" s="491"/>
      <c r="F18" s="491"/>
      <c r="G18" s="491"/>
      <c r="H18" s="491"/>
      <c r="I18" s="491"/>
      <c r="J18" s="491"/>
      <c r="K18" s="491"/>
      <c r="L18" s="491"/>
      <c r="M18" s="491"/>
      <c r="N18" s="491"/>
      <c r="O18" s="491"/>
      <c r="P18" s="491"/>
      <c r="Q18" s="491"/>
      <c r="R18" s="491"/>
      <c r="S18" s="474" t="s">
        <v>45</v>
      </c>
      <c r="T18" s="474"/>
      <c r="U18" s="474"/>
      <c r="V18" s="474"/>
      <c r="W18" s="474"/>
      <c r="X18" s="474"/>
      <c r="Y18" s="474"/>
      <c r="Z18" s="474"/>
      <c r="AA18" s="474"/>
      <c r="AB18" s="474"/>
      <c r="AC18" s="474"/>
      <c r="AD18" s="474"/>
      <c r="AE18" s="474"/>
      <c r="AF18" s="474"/>
      <c r="AG18" s="474"/>
      <c r="AH18" s="475"/>
      <c r="AI18" s="961" t="s">
        <v>1042</v>
      </c>
      <c r="AJ18" s="962"/>
      <c r="AK18" s="962"/>
      <c r="AL18" s="962"/>
      <c r="AM18" s="962"/>
      <c r="AN18" s="962"/>
      <c r="AO18" s="962"/>
      <c r="AP18" s="962"/>
      <c r="AQ18" s="962"/>
      <c r="AR18" s="962"/>
      <c r="AS18" s="962"/>
      <c r="AT18" s="962"/>
      <c r="AU18" s="962"/>
      <c r="AV18" s="962"/>
      <c r="AW18" s="962"/>
      <c r="AX18" s="963"/>
      <c r="AY18" s="5"/>
      <c r="AZ18" s="5"/>
      <c r="BA18" s="388" t="s">
        <v>1038</v>
      </c>
      <c r="BB18" s="388"/>
      <c r="BC18" s="385"/>
      <c r="BD18" s="385"/>
      <c r="BE18" s="385"/>
      <c r="BF18" s="385"/>
      <c r="BG18" s="385"/>
      <c r="BH18" s="385"/>
      <c r="BI18" s="385"/>
      <c r="BJ18" s="385"/>
      <c r="BK18" s="385"/>
      <c r="BL18" s="385"/>
      <c r="BM18" s="5"/>
    </row>
    <row r="19" spans="1:65" ht="14.25" customHeight="1">
      <c r="A19" s="5"/>
      <c r="B19" s="5"/>
      <c r="C19" s="491"/>
      <c r="D19" s="491"/>
      <c r="E19" s="491"/>
      <c r="F19" s="491"/>
      <c r="G19" s="491"/>
      <c r="H19" s="491"/>
      <c r="I19" s="491"/>
      <c r="J19" s="491"/>
      <c r="K19" s="491"/>
      <c r="L19" s="491"/>
      <c r="M19" s="491"/>
      <c r="N19" s="491"/>
      <c r="O19" s="491"/>
      <c r="P19" s="491"/>
      <c r="Q19" s="491"/>
      <c r="R19" s="491"/>
      <c r="S19" s="474"/>
      <c r="T19" s="474"/>
      <c r="U19" s="474"/>
      <c r="V19" s="474"/>
      <c r="W19" s="474"/>
      <c r="X19" s="474"/>
      <c r="Y19" s="474"/>
      <c r="Z19" s="474"/>
      <c r="AA19" s="474"/>
      <c r="AB19" s="474"/>
      <c r="AC19" s="474"/>
      <c r="AD19" s="474"/>
      <c r="AE19" s="474"/>
      <c r="AF19" s="474"/>
      <c r="AG19" s="474"/>
      <c r="AH19" s="475"/>
      <c r="AI19" s="964"/>
      <c r="AJ19" s="965"/>
      <c r="AK19" s="965"/>
      <c r="AL19" s="965"/>
      <c r="AM19" s="965"/>
      <c r="AN19" s="965"/>
      <c r="AO19" s="965"/>
      <c r="AP19" s="965"/>
      <c r="AQ19" s="965"/>
      <c r="AR19" s="965"/>
      <c r="AS19" s="965"/>
      <c r="AT19" s="965"/>
      <c r="AU19" s="965"/>
      <c r="AV19" s="965"/>
      <c r="AW19" s="965"/>
      <c r="AX19" s="966"/>
      <c r="AY19" s="5"/>
      <c r="AZ19" s="5"/>
      <c r="BA19" s="388" t="s">
        <v>1039</v>
      </c>
      <c r="BB19" s="388"/>
      <c r="BC19" s="385"/>
      <c r="BD19" s="385"/>
      <c r="BE19" s="385"/>
      <c r="BF19" s="385"/>
      <c r="BG19" s="385"/>
      <c r="BH19" s="385"/>
      <c r="BI19" s="385"/>
      <c r="BJ19" s="385"/>
      <c r="BK19" s="385"/>
      <c r="BL19" s="385"/>
      <c r="BM19" s="5"/>
    </row>
    <row r="20" spans="1:65" ht="14.25" customHeight="1">
      <c r="A20" s="5"/>
      <c r="B20" s="5"/>
      <c r="C20" s="491"/>
      <c r="D20" s="491"/>
      <c r="E20" s="491"/>
      <c r="F20" s="491"/>
      <c r="G20" s="491"/>
      <c r="H20" s="491"/>
      <c r="I20" s="491"/>
      <c r="J20" s="491"/>
      <c r="K20" s="491"/>
      <c r="L20" s="491"/>
      <c r="M20" s="491"/>
      <c r="N20" s="491"/>
      <c r="O20" s="491"/>
      <c r="P20" s="491"/>
      <c r="Q20" s="491"/>
      <c r="R20" s="491"/>
      <c r="S20" s="474"/>
      <c r="T20" s="474"/>
      <c r="U20" s="474"/>
      <c r="V20" s="474"/>
      <c r="W20" s="474"/>
      <c r="X20" s="474"/>
      <c r="Y20" s="474"/>
      <c r="Z20" s="474"/>
      <c r="AA20" s="474"/>
      <c r="AB20" s="474"/>
      <c r="AC20" s="474"/>
      <c r="AD20" s="474"/>
      <c r="AE20" s="474"/>
      <c r="AF20" s="474"/>
      <c r="AG20" s="474"/>
      <c r="AH20" s="475"/>
      <c r="AI20" s="964"/>
      <c r="AJ20" s="965"/>
      <c r="AK20" s="965"/>
      <c r="AL20" s="965"/>
      <c r="AM20" s="965"/>
      <c r="AN20" s="965"/>
      <c r="AO20" s="965"/>
      <c r="AP20" s="965"/>
      <c r="AQ20" s="965"/>
      <c r="AR20" s="965"/>
      <c r="AS20" s="965"/>
      <c r="AT20" s="965"/>
      <c r="AU20" s="965"/>
      <c r="AV20" s="965"/>
      <c r="AW20" s="965"/>
      <c r="AX20" s="966"/>
      <c r="AY20" s="5"/>
      <c r="AZ20" s="5"/>
      <c r="BA20" s="390" t="s">
        <v>1040</v>
      </c>
      <c r="BB20" s="388"/>
      <c r="BC20" s="385"/>
      <c r="BD20" s="385"/>
      <c r="BE20" s="385"/>
      <c r="BF20" s="385"/>
      <c r="BG20" s="385"/>
      <c r="BH20" s="385"/>
      <c r="BI20" s="385"/>
      <c r="BJ20" s="385"/>
      <c r="BK20" s="385"/>
      <c r="BL20" s="385"/>
      <c r="BM20" s="5"/>
    </row>
    <row r="21" spans="1:65">
      <c r="A21" s="5"/>
      <c r="B21" s="5"/>
      <c r="C21" s="491"/>
      <c r="D21" s="491"/>
      <c r="E21" s="491"/>
      <c r="F21" s="491"/>
      <c r="G21" s="491"/>
      <c r="H21" s="491"/>
      <c r="I21" s="491"/>
      <c r="J21" s="491"/>
      <c r="K21" s="491"/>
      <c r="L21" s="491"/>
      <c r="M21" s="491"/>
      <c r="N21" s="491"/>
      <c r="O21" s="491"/>
      <c r="P21" s="491"/>
      <c r="Q21" s="491"/>
      <c r="R21" s="491"/>
      <c r="S21" s="474" t="s">
        <v>46</v>
      </c>
      <c r="T21" s="474"/>
      <c r="U21" s="474"/>
      <c r="V21" s="474"/>
      <c r="W21" s="474"/>
      <c r="X21" s="474"/>
      <c r="Y21" s="474"/>
      <c r="Z21" s="474"/>
      <c r="AA21" s="474"/>
      <c r="AB21" s="474"/>
      <c r="AC21" s="474"/>
      <c r="AD21" s="474"/>
      <c r="AE21" s="474"/>
      <c r="AF21" s="474"/>
      <c r="AG21" s="474"/>
      <c r="AH21" s="475"/>
      <c r="AI21" s="964"/>
      <c r="AJ21" s="965"/>
      <c r="AK21" s="965"/>
      <c r="AL21" s="965"/>
      <c r="AM21" s="965"/>
      <c r="AN21" s="965"/>
      <c r="AO21" s="965"/>
      <c r="AP21" s="965"/>
      <c r="AQ21" s="965"/>
      <c r="AR21" s="965"/>
      <c r="AS21" s="965"/>
      <c r="AT21" s="965"/>
      <c r="AU21" s="965"/>
      <c r="AV21" s="965"/>
      <c r="AW21" s="965"/>
      <c r="AX21" s="966"/>
      <c r="AY21" s="5"/>
      <c r="AZ21" s="5"/>
      <c r="BA21" s="385"/>
      <c r="BB21" s="385"/>
      <c r="BC21" s="385"/>
      <c r="BD21" s="385"/>
      <c r="BE21" s="385"/>
      <c r="BF21" s="385"/>
      <c r="BG21" s="385"/>
      <c r="BH21" s="385"/>
      <c r="BI21" s="385"/>
      <c r="BJ21" s="385"/>
      <c r="BK21" s="385"/>
      <c r="BL21" s="385"/>
      <c r="BM21" s="5"/>
    </row>
    <row r="22" spans="1:65">
      <c r="A22" s="5"/>
      <c r="B22" s="5"/>
      <c r="C22" s="491"/>
      <c r="D22" s="491"/>
      <c r="E22" s="491"/>
      <c r="F22" s="491"/>
      <c r="G22" s="491"/>
      <c r="H22" s="491"/>
      <c r="I22" s="491"/>
      <c r="J22" s="491"/>
      <c r="K22" s="491"/>
      <c r="L22" s="491"/>
      <c r="M22" s="491"/>
      <c r="N22" s="491"/>
      <c r="O22" s="491"/>
      <c r="P22" s="491"/>
      <c r="Q22" s="491"/>
      <c r="R22" s="491"/>
      <c r="S22" s="474"/>
      <c r="T22" s="474"/>
      <c r="U22" s="474"/>
      <c r="V22" s="474"/>
      <c r="W22" s="474"/>
      <c r="X22" s="474"/>
      <c r="Y22" s="474"/>
      <c r="Z22" s="474"/>
      <c r="AA22" s="474"/>
      <c r="AB22" s="474"/>
      <c r="AC22" s="474"/>
      <c r="AD22" s="474"/>
      <c r="AE22" s="474"/>
      <c r="AF22" s="474"/>
      <c r="AG22" s="474"/>
      <c r="AH22" s="475"/>
      <c r="AI22" s="964"/>
      <c r="AJ22" s="965"/>
      <c r="AK22" s="965"/>
      <c r="AL22" s="965"/>
      <c r="AM22" s="965"/>
      <c r="AN22" s="965"/>
      <c r="AO22" s="965"/>
      <c r="AP22" s="965"/>
      <c r="AQ22" s="965"/>
      <c r="AR22" s="965"/>
      <c r="AS22" s="965"/>
      <c r="AT22" s="965"/>
      <c r="AU22" s="965"/>
      <c r="AV22" s="965"/>
      <c r="AW22" s="965"/>
      <c r="AX22" s="966"/>
      <c r="AY22" s="5"/>
      <c r="AZ22" s="5"/>
      <c r="BA22" s="385"/>
      <c r="BB22" s="385"/>
      <c r="BC22" s="385"/>
      <c r="BD22" s="385"/>
      <c r="BE22" s="385"/>
      <c r="BF22" s="385"/>
      <c r="BG22" s="385"/>
      <c r="BH22" s="385"/>
      <c r="BI22" s="385"/>
      <c r="BJ22" s="385"/>
      <c r="BK22" s="385"/>
      <c r="BL22" s="385"/>
      <c r="BM22" s="5"/>
    </row>
    <row r="23" spans="1:65">
      <c r="A23" s="5"/>
      <c r="B23" s="5"/>
      <c r="C23" s="491"/>
      <c r="D23" s="491"/>
      <c r="E23" s="491"/>
      <c r="F23" s="491"/>
      <c r="G23" s="491"/>
      <c r="H23" s="491"/>
      <c r="I23" s="491"/>
      <c r="J23" s="491"/>
      <c r="K23" s="491"/>
      <c r="L23" s="491"/>
      <c r="M23" s="491"/>
      <c r="N23" s="491"/>
      <c r="O23" s="491"/>
      <c r="P23" s="491"/>
      <c r="Q23" s="491"/>
      <c r="R23" s="491"/>
      <c r="S23" s="474"/>
      <c r="T23" s="474"/>
      <c r="U23" s="474"/>
      <c r="V23" s="474"/>
      <c r="W23" s="474"/>
      <c r="X23" s="474"/>
      <c r="Y23" s="474"/>
      <c r="Z23" s="474"/>
      <c r="AA23" s="474"/>
      <c r="AB23" s="474"/>
      <c r="AC23" s="474"/>
      <c r="AD23" s="474"/>
      <c r="AE23" s="474"/>
      <c r="AF23" s="474"/>
      <c r="AG23" s="474"/>
      <c r="AH23" s="475"/>
      <c r="AI23" s="967" t="s">
        <v>1041</v>
      </c>
      <c r="AJ23" s="483"/>
      <c r="AK23" s="483"/>
      <c r="AL23" s="483"/>
      <c r="AM23" s="483"/>
      <c r="AN23" s="483"/>
      <c r="AO23" s="483"/>
      <c r="AP23" s="483"/>
      <c r="AQ23" s="483"/>
      <c r="AR23" s="483"/>
      <c r="AS23" s="483"/>
      <c r="AT23" s="483"/>
      <c r="AU23" s="483"/>
      <c r="AV23" s="483"/>
      <c r="AW23" s="483"/>
      <c r="AX23" s="484"/>
      <c r="AY23" s="5"/>
      <c r="AZ23" s="5"/>
      <c r="BA23" s="385"/>
      <c r="BB23" s="385"/>
      <c r="BC23" s="385"/>
      <c r="BD23" s="385"/>
      <c r="BE23" s="385"/>
      <c r="BF23" s="385"/>
      <c r="BG23" s="385"/>
      <c r="BH23" s="385"/>
      <c r="BI23" s="385"/>
      <c r="BJ23" s="385"/>
      <c r="BK23" s="385"/>
      <c r="BL23" s="385"/>
      <c r="BM23" s="5"/>
    </row>
    <row r="24" spans="1:65">
      <c r="A24" s="5"/>
      <c r="B24" s="5"/>
      <c r="C24" s="474" t="s">
        <v>47</v>
      </c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5"/>
      <c r="S24" s="474" t="s">
        <v>48</v>
      </c>
      <c r="T24" s="474"/>
      <c r="U24" s="474"/>
      <c r="V24" s="474"/>
      <c r="W24" s="474"/>
      <c r="X24" s="474"/>
      <c r="Y24" s="474"/>
      <c r="Z24" s="474"/>
      <c r="AA24" s="474"/>
      <c r="AB24" s="474"/>
      <c r="AC24" s="474"/>
      <c r="AD24" s="474"/>
      <c r="AE24" s="474"/>
      <c r="AF24" s="474"/>
      <c r="AG24" s="474"/>
      <c r="AH24" s="475"/>
      <c r="AI24" s="967"/>
      <c r="AJ24" s="483"/>
      <c r="AK24" s="483"/>
      <c r="AL24" s="483"/>
      <c r="AM24" s="483"/>
      <c r="AN24" s="483"/>
      <c r="AO24" s="483"/>
      <c r="AP24" s="483"/>
      <c r="AQ24" s="483"/>
      <c r="AR24" s="483"/>
      <c r="AS24" s="483"/>
      <c r="AT24" s="483"/>
      <c r="AU24" s="483"/>
      <c r="AV24" s="483"/>
      <c r="AW24" s="483"/>
      <c r="AX24" s="484"/>
      <c r="AY24" s="5"/>
      <c r="AZ24" s="5"/>
      <c r="BA24" s="385"/>
      <c r="BB24" s="385"/>
      <c r="BC24" s="385"/>
      <c r="BD24" s="385"/>
      <c r="BE24" s="385"/>
      <c r="BF24" s="385"/>
      <c r="BG24" s="385"/>
      <c r="BH24" s="385"/>
      <c r="BI24" s="385"/>
      <c r="BJ24" s="385"/>
      <c r="BK24" s="385"/>
      <c r="BL24" s="385"/>
      <c r="BM24" s="5"/>
    </row>
    <row r="25" spans="1:65">
      <c r="A25" s="5"/>
      <c r="B25" s="5"/>
      <c r="C25" s="474"/>
      <c r="D25" s="474"/>
      <c r="E25" s="474"/>
      <c r="F25" s="474"/>
      <c r="G25" s="474"/>
      <c r="H25" s="474"/>
      <c r="I25" s="474"/>
      <c r="J25" s="474"/>
      <c r="K25" s="474"/>
      <c r="L25" s="474"/>
      <c r="M25" s="474"/>
      <c r="N25" s="474"/>
      <c r="O25" s="474"/>
      <c r="P25" s="474"/>
      <c r="Q25" s="474"/>
      <c r="R25" s="475"/>
      <c r="S25" s="474"/>
      <c r="T25" s="474"/>
      <c r="U25" s="474"/>
      <c r="V25" s="474"/>
      <c r="W25" s="474"/>
      <c r="X25" s="474"/>
      <c r="Y25" s="474"/>
      <c r="Z25" s="474"/>
      <c r="AA25" s="474"/>
      <c r="AB25" s="474"/>
      <c r="AC25" s="474"/>
      <c r="AD25" s="474"/>
      <c r="AE25" s="474"/>
      <c r="AF25" s="474"/>
      <c r="AG25" s="474"/>
      <c r="AH25" s="475"/>
      <c r="AI25" s="967"/>
      <c r="AJ25" s="483"/>
      <c r="AK25" s="483"/>
      <c r="AL25" s="483"/>
      <c r="AM25" s="483"/>
      <c r="AN25" s="483"/>
      <c r="AO25" s="483"/>
      <c r="AP25" s="483"/>
      <c r="AQ25" s="483"/>
      <c r="AR25" s="483"/>
      <c r="AS25" s="483"/>
      <c r="AT25" s="483"/>
      <c r="AU25" s="483"/>
      <c r="AV25" s="483"/>
      <c r="AW25" s="483"/>
      <c r="AX25" s="484"/>
      <c r="AY25" s="5"/>
      <c r="AZ25" s="5"/>
      <c r="BA25" s="385"/>
      <c r="BB25" s="385"/>
      <c r="BC25" s="385"/>
      <c r="BD25" s="385"/>
      <c r="BE25" s="385"/>
      <c r="BF25" s="385"/>
      <c r="BG25" s="385"/>
      <c r="BH25" s="385"/>
      <c r="BI25" s="385"/>
      <c r="BJ25" s="385"/>
      <c r="BK25" s="385"/>
      <c r="BL25" s="385"/>
      <c r="BM25" s="5"/>
    </row>
    <row r="26" spans="1:65">
      <c r="A26" s="5"/>
      <c r="B26" s="5"/>
      <c r="C26" s="474"/>
      <c r="D26" s="474"/>
      <c r="E26" s="474"/>
      <c r="F26" s="474"/>
      <c r="G26" s="474"/>
      <c r="H26" s="474"/>
      <c r="I26" s="474"/>
      <c r="J26" s="474"/>
      <c r="K26" s="474"/>
      <c r="L26" s="474"/>
      <c r="M26" s="474"/>
      <c r="N26" s="474"/>
      <c r="O26" s="474"/>
      <c r="P26" s="474"/>
      <c r="Q26" s="474"/>
      <c r="R26" s="475"/>
      <c r="S26" s="474"/>
      <c r="T26" s="474"/>
      <c r="U26" s="474"/>
      <c r="V26" s="474"/>
      <c r="W26" s="474"/>
      <c r="X26" s="474"/>
      <c r="Y26" s="474"/>
      <c r="Z26" s="474"/>
      <c r="AA26" s="474"/>
      <c r="AB26" s="474"/>
      <c r="AC26" s="474"/>
      <c r="AD26" s="474"/>
      <c r="AE26" s="474"/>
      <c r="AF26" s="474"/>
      <c r="AG26" s="474"/>
      <c r="AH26" s="475"/>
      <c r="AI26" s="968"/>
      <c r="AJ26" s="969"/>
      <c r="AK26" s="969"/>
      <c r="AL26" s="969"/>
      <c r="AM26" s="969"/>
      <c r="AN26" s="969"/>
      <c r="AO26" s="969"/>
      <c r="AP26" s="969"/>
      <c r="AQ26" s="969"/>
      <c r="AR26" s="969"/>
      <c r="AS26" s="969"/>
      <c r="AT26" s="969"/>
      <c r="AU26" s="969"/>
      <c r="AV26" s="969"/>
      <c r="AW26" s="969"/>
      <c r="AX26" s="970"/>
      <c r="AY26" s="5"/>
      <c r="AZ26" s="5"/>
      <c r="BA26" s="385"/>
      <c r="BB26" s="385"/>
      <c r="BC26" s="385"/>
      <c r="BD26" s="385"/>
      <c r="BE26" s="385"/>
      <c r="BF26" s="385"/>
      <c r="BG26" s="385"/>
      <c r="BH26" s="385"/>
      <c r="BI26" s="385"/>
      <c r="BJ26" s="385"/>
      <c r="BK26" s="385"/>
      <c r="BL26" s="385"/>
      <c r="BM26" s="5"/>
    </row>
    <row r="27" spans="1:6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385"/>
      <c r="BB27" s="385"/>
      <c r="BC27" s="385"/>
      <c r="BD27" s="385"/>
      <c r="BE27" s="385"/>
      <c r="BF27" s="385"/>
      <c r="BG27" s="385"/>
      <c r="BH27" s="385"/>
      <c r="BI27" s="385"/>
      <c r="BJ27" s="385"/>
      <c r="BK27" s="385"/>
      <c r="BL27" s="385"/>
      <c r="BM27" s="5"/>
    </row>
    <row r="28" spans="1:6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385"/>
      <c r="BB28" s="385"/>
      <c r="BC28" s="385"/>
      <c r="BD28" s="385"/>
      <c r="BE28" s="385"/>
      <c r="BF28" s="385"/>
      <c r="BG28" s="385"/>
      <c r="BH28" s="385"/>
      <c r="BI28" s="385"/>
      <c r="BJ28" s="385"/>
      <c r="BK28" s="385"/>
      <c r="BL28" s="385"/>
      <c r="BM28" s="5"/>
    </row>
    <row r="29" spans="1:6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385"/>
      <c r="BB29" s="385"/>
      <c r="BC29" s="385"/>
      <c r="BD29" s="385"/>
      <c r="BE29" s="385"/>
      <c r="BF29" s="385"/>
      <c r="BG29" s="385"/>
      <c r="BH29" s="385"/>
      <c r="BI29" s="385"/>
      <c r="BJ29" s="385"/>
      <c r="BK29" s="385"/>
      <c r="BL29" s="385"/>
      <c r="BM29" s="5"/>
    </row>
    <row r="30" spans="1:6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</row>
    <row r="31" spans="1:6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</row>
    <row r="32" spans="1:6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</row>
    <row r="33" spans="1:5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</row>
    <row r="34" spans="1:5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</row>
    <row r="35" spans="1:5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</row>
    <row r="36" spans="1:5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</row>
    <row r="37" spans="1:5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</row>
    <row r="38" spans="1:5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</row>
    <row r="39" spans="1:5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</row>
    <row r="40" spans="1:5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</row>
    <row r="41" spans="1:5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</row>
    <row r="42" spans="1:5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</row>
    <row r="43" spans="1:5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</row>
    <row r="44" spans="1:5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</row>
    <row r="45" spans="1:5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</row>
    <row r="46" spans="1:5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</row>
    <row r="47" spans="1:5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</row>
    <row r="48" spans="1:52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</row>
    <row r="49" spans="1:52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</row>
    <row r="50" spans="1:52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</row>
    <row r="51" spans="1:52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</row>
    <row r="52" spans="1:5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</row>
    <row r="53" spans="1:5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</row>
    <row r="54" spans="1:52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</row>
    <row r="55" spans="1:52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</row>
    <row r="56" spans="1:52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</row>
    <row r="57" spans="1:52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</row>
    <row r="58" spans="1:52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</row>
  </sheetData>
  <sheetProtection algorithmName="SHA-512" hashValue="gogXO/JLwWGwPYH0hH4HO0kffWC5Ah1kSlJwm7QbDcsbvrvvE1sVuU9oXQ/bdSNPpAQGP0hH6MDeKV0bApth9Q==" saltValue="95tu1iuZiHhIHMsxRGQ6kw==" spinCount="100000" sheet="1" selectLockedCells="1"/>
  <mergeCells count="15">
    <mergeCell ref="C15:R17"/>
    <mergeCell ref="S15:AH17"/>
    <mergeCell ref="AI15:AX17"/>
    <mergeCell ref="C1:AY4"/>
    <mergeCell ref="BB5:BI7"/>
    <mergeCell ref="S8:AX10"/>
    <mergeCell ref="C11:R13"/>
    <mergeCell ref="S11:AX13"/>
    <mergeCell ref="AI18:AX22"/>
    <mergeCell ref="AI23:AX26"/>
    <mergeCell ref="C18:R23"/>
    <mergeCell ref="S18:AH20"/>
    <mergeCell ref="S21:AH23"/>
    <mergeCell ref="C24:R26"/>
    <mergeCell ref="S24:AH26"/>
  </mergeCells>
  <phoneticPr fontId="18"/>
  <conditionalFormatting sqref="S21:AH23">
    <cfRule type="expression" dxfId="128" priority="14">
      <formula>AND(#REF!&lt;&gt;"■選択して下さい■",#REF!&lt;&gt;"新規・追加・減少・廃止・タイプ変更申込")</formula>
    </cfRule>
    <cfRule type="expression" dxfId="127" priority="15">
      <formula>AND(#REF!="■選択して下さい■",#REF!="新規・追加・減少・廃止・タイプ変更申込")</formula>
    </cfRule>
  </conditionalFormatting>
  <conditionalFormatting sqref="S18:AH20">
    <cfRule type="expression" dxfId="126" priority="12">
      <formula>AND(#REF!&lt;&gt;"■選択して下さい■",#REF!&lt;&gt;"新規・追加・減少・廃止・タイプ変更申込")</formula>
    </cfRule>
    <cfRule type="expression" dxfId="125" priority="13">
      <formula>AND(#REF!="■選択して下さい■",#REF!="新規・追加・減少・廃止・タイプ変更申込")</formula>
    </cfRule>
  </conditionalFormatting>
  <conditionalFormatting sqref="S24:AH26">
    <cfRule type="expression" dxfId="124" priority="10">
      <formula>AND(#REF!&lt;&gt;"■選択して下さい■",#REF!&lt;&gt;"新規・追加・減少・廃止・タイプ変更申込")</formula>
    </cfRule>
    <cfRule type="expression" dxfId="123" priority="11">
      <formula>AND(#REF!="■選択して下さい■",#REF!="新規・追加・減少・廃止・タイプ変更申込")</formula>
    </cfRule>
  </conditionalFormatting>
  <conditionalFormatting sqref="C24:R26">
    <cfRule type="expression" dxfId="122" priority="8">
      <formula>AND(#REF!&lt;&gt;"■選択して下さい■",#REF!&lt;&gt;"新規・追加・減少・廃止・タイプ変更申込")</formula>
    </cfRule>
    <cfRule type="expression" dxfId="121" priority="9">
      <formula>AND(#REF!="■選択して下さい■",#REF!="新規・追加・減少・廃止・タイプ変更申込")</formula>
    </cfRule>
  </conditionalFormatting>
  <conditionalFormatting sqref="S11:AX13">
    <cfRule type="cellIs" dxfId="120" priority="7" operator="equal">
      <formula>""</formula>
    </cfRule>
  </conditionalFormatting>
  <conditionalFormatting sqref="C18:R20">
    <cfRule type="expression" dxfId="119" priority="5">
      <formula>AND(#REF!&lt;&gt;"■選択して下さい■",#REF!&lt;&gt;"新規・追加・減少・廃止・タイプ変更申込")</formula>
    </cfRule>
    <cfRule type="expression" dxfId="118" priority="6">
      <formula>AND(#REF!="■選択して下さい■",#REF!="新規・追加・減少・廃止・タイプ変更申込")</formula>
    </cfRule>
  </conditionalFormatting>
  <conditionalFormatting sqref="C21:R23">
    <cfRule type="expression" dxfId="117" priority="3">
      <formula>AND(#REF!&lt;&gt;"■選択して下さい■",#REF!&lt;&gt;"新規・追加・減少・廃止・タイプ変更申込")</formula>
    </cfRule>
    <cfRule type="expression" dxfId="116" priority="4">
      <formula>AND(#REF!="■選択して下さい■",#REF!="新規・追加・減少・廃止・タイプ変更申込")</formula>
    </cfRule>
  </conditionalFormatting>
  <conditionalFormatting sqref="S8:AX10">
    <cfRule type="cellIs" dxfId="115" priority="1" operator="equal">
      <formula>""</formula>
    </cfRule>
  </conditionalFormatting>
  <hyperlinks>
    <hyperlink ref="AI18" r:id="rId1" xr:uid="{00000000-0004-0000-0800-000000000000}"/>
  </hyperlinks>
  <pageMargins left="0.7" right="0.7" top="0.75" bottom="0.75" header="0.3" footer="0.3"/>
  <pageSetup paperSize="9" scale="4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5" name="Button 1">
              <controlPr defaultSize="0" print="0" autoFill="0" autoPict="0" macro="[0]!checkB_Click">
                <anchor moveWithCells="1" sizeWithCells="1">
                  <from>
                    <xdr:col>53</xdr:col>
                    <xdr:colOff>7620</xdr:colOff>
                    <xdr:row>0</xdr:row>
                    <xdr:rowOff>99060</xdr:rowOff>
                  </from>
                  <to>
                    <xdr:col>60</xdr:col>
                    <xdr:colOff>190500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operator="containsText" id="{ECA01909-68FA-4030-9075-9AF4B82A1F61}">
            <xm:f>NOT(ISERROR(SEARCH('\\10.32.33.25\99_個別フォルダ\2_スマートICT部門\他部署共有\クラウド型カメラとれ～る\■本社定例\32_ユーザー申込書\[【BD部作成版】【様式camera1】サービス申込書_1.0版（OEM）端末セットプラン _20191113 .xlsx]リスト'!#REF!,S11)))</xm:f>
            <xm:f>'\\10.32.33.25\99_個別フォルダ\2_スマートICT部門\他部署共有\クラウド型カメラとれ～る\■本社定例\32_ユーザー申込書\[【BD部作成版】【様式camera1】サービス申込書_1.0版（OEM）端末セットプラン _20191113 .xlsx]リスト'!#REF!</xm:f>
            <x14:dxf>
              <font>
                <color rgb="FFFF0000"/>
              </font>
              <fill>
                <patternFill>
                  <bgColor theme="5" tint="0.59996337778862885"/>
                </patternFill>
              </fill>
            </x14:dxf>
          </x14:cfRule>
          <xm:sqref>S11:AX13</xm:sqref>
        </x14:conditionalFormatting>
        <x14:conditionalFormatting xmlns:xm="http://schemas.microsoft.com/office/excel/2006/main">
          <x14:cfRule type="containsText" priority="2" operator="containsText" id="{D7BBFC37-9D61-44D7-80B4-4D898B65F22D}">
            <xm:f>NOT(ISERROR(SEARCH('\\10.32.33.25\99_個別フォルダ\2_スマートICT部門\他部署共有\クラウド型カメラとれ～る\■本社定例\32_ユーザー申込書\[【BD部作成版】【様式camera1】サービス申込書_2.0版(OEM).xlsx]リスト'!#REF!,S8)))</xm:f>
            <xm:f>'\\10.32.33.25\99_個別フォルダ\2_スマートICT部門\他部署共有\クラウド型カメラとれ～る\■本社定例\32_ユーザー申込書\[【BD部作成版】【様式camera1】サービス申込書_2.0版(OEM).xlsx]リスト'!#REF!</xm:f>
            <x14:dxf>
              <font>
                <color rgb="FFFF0000"/>
              </font>
              <fill>
                <patternFill>
                  <bgColor theme="5" tint="0.59996337778862885"/>
                </patternFill>
              </fill>
            </x14:dxf>
          </x14:cfRule>
          <xm:sqref>S8:AX10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800-000000000000}">
          <x14:formula1>
            <xm:f>'[【様式camera1】サービス申込書_1.6版（OEM）お客様用意型.xlsm]リスト'!#REF!</xm:f>
          </x14:formula1>
          <xm:sqref>S8:AX10</xm:sqref>
        </x14:dataValidation>
        <x14:dataValidation type="list" allowBlank="1" showInputMessage="1" showErrorMessage="1" xr:uid="{00000000-0002-0000-0800-000001000000}">
          <x14:formula1>
            <xm:f>リスト!$B$2:$B$4</xm:f>
          </x14:formula1>
          <xm:sqref>S11:AX13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2" tint="-9.9978637043366805E-2"/>
    <pageSetUpPr fitToPage="1"/>
  </sheetPr>
  <dimension ref="A1:CG108"/>
  <sheetViews>
    <sheetView view="pageBreakPreview" zoomScaleNormal="60" zoomScaleSheetLayoutView="100" workbookViewId="0">
      <selection activeCell="B4" sqref="B4:AQ4"/>
    </sheetView>
  </sheetViews>
  <sheetFormatPr defaultColWidth="2.88671875" defaultRowHeight="13.2"/>
  <cols>
    <col min="1" max="10" width="2.88671875" style="6"/>
    <col min="11" max="11" width="3.6640625" style="6" customWidth="1"/>
    <col min="12" max="38" width="2.88671875" style="6"/>
    <col min="39" max="39" width="4" style="6" customWidth="1"/>
    <col min="40" max="41" width="2.88671875" style="6"/>
    <col min="42" max="42" width="3.88671875" style="6" customWidth="1"/>
    <col min="43" max="52" width="2.88671875" style="6"/>
    <col min="53" max="55" width="2.88671875" style="6" customWidth="1"/>
    <col min="56" max="62" width="2.88671875" style="6" hidden="1" customWidth="1"/>
    <col min="63" max="63" width="2.88671875" style="11" hidden="1" customWidth="1"/>
    <col min="64" max="75" width="2.88671875" style="6" hidden="1" customWidth="1"/>
    <col min="76" max="79" width="2.88671875" style="6" customWidth="1"/>
    <col min="80" max="16384" width="2.88671875" style="6"/>
  </cols>
  <sheetData>
    <row r="1" spans="1:85" s="7" customFormat="1" ht="6.75" customHeight="1">
      <c r="A1" s="270"/>
      <c r="B1" s="276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734" t="s">
        <v>49</v>
      </c>
      <c r="O1" s="735"/>
      <c r="P1" s="735"/>
      <c r="Q1" s="735"/>
      <c r="R1" s="735"/>
      <c r="S1" s="735"/>
      <c r="T1" s="735"/>
      <c r="U1" s="735"/>
      <c r="V1" s="735"/>
      <c r="W1" s="735"/>
      <c r="X1" s="735"/>
      <c r="Y1" s="735"/>
      <c r="Z1" s="735"/>
      <c r="AA1" s="735"/>
      <c r="AB1" s="735"/>
      <c r="AC1" s="735"/>
      <c r="AD1" s="735"/>
      <c r="AE1" s="735"/>
      <c r="AF1" s="735"/>
      <c r="AG1" s="735"/>
      <c r="AH1" s="735"/>
      <c r="AI1" s="735"/>
      <c r="AJ1" s="735"/>
      <c r="AK1" s="735"/>
      <c r="AL1" s="735"/>
      <c r="AM1" s="735"/>
      <c r="AN1" s="250"/>
      <c r="AO1" s="250"/>
      <c r="AP1" s="250"/>
      <c r="AQ1" s="250"/>
      <c r="AR1" s="250"/>
      <c r="AS1" s="250"/>
      <c r="AT1" s="250"/>
      <c r="AU1" s="250"/>
      <c r="AV1" s="250"/>
      <c r="AW1" s="250"/>
      <c r="AX1" s="250"/>
      <c r="AY1" s="250"/>
      <c r="AZ1" s="270"/>
      <c r="BK1" s="8"/>
    </row>
    <row r="2" spans="1:85" s="7" customFormat="1" ht="6.75" customHeight="1">
      <c r="A2" s="270"/>
      <c r="B2" s="250"/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735"/>
      <c r="O2" s="735"/>
      <c r="P2" s="735"/>
      <c r="Q2" s="735"/>
      <c r="R2" s="735"/>
      <c r="S2" s="735"/>
      <c r="T2" s="735"/>
      <c r="U2" s="735"/>
      <c r="V2" s="735"/>
      <c r="W2" s="735"/>
      <c r="X2" s="735"/>
      <c r="Y2" s="735"/>
      <c r="Z2" s="735"/>
      <c r="AA2" s="735"/>
      <c r="AB2" s="735"/>
      <c r="AC2" s="735"/>
      <c r="AD2" s="735"/>
      <c r="AE2" s="735"/>
      <c r="AF2" s="735"/>
      <c r="AG2" s="735"/>
      <c r="AH2" s="735"/>
      <c r="AI2" s="735"/>
      <c r="AJ2" s="735"/>
      <c r="AK2" s="735"/>
      <c r="AL2" s="735"/>
      <c r="AM2" s="735"/>
      <c r="AN2" s="250"/>
      <c r="AO2" s="250"/>
      <c r="AP2" s="250"/>
      <c r="AQ2" s="250"/>
      <c r="AR2" s="250"/>
      <c r="AS2" s="250"/>
      <c r="AT2" s="250"/>
      <c r="AU2" s="250"/>
      <c r="AV2" s="250"/>
      <c r="AW2" s="250"/>
      <c r="AX2" s="250"/>
      <c r="AY2" s="250"/>
      <c r="AZ2" s="270"/>
      <c r="BK2" s="8"/>
    </row>
    <row r="3" spans="1:85" s="7" customFormat="1" ht="6.75" customHeight="1">
      <c r="A3" s="270"/>
      <c r="B3" s="250"/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735"/>
      <c r="O3" s="735"/>
      <c r="P3" s="735"/>
      <c r="Q3" s="735"/>
      <c r="R3" s="735"/>
      <c r="S3" s="735"/>
      <c r="T3" s="735"/>
      <c r="U3" s="735"/>
      <c r="V3" s="735"/>
      <c r="W3" s="735"/>
      <c r="X3" s="735"/>
      <c r="Y3" s="735"/>
      <c r="Z3" s="735"/>
      <c r="AA3" s="735"/>
      <c r="AB3" s="735"/>
      <c r="AC3" s="735"/>
      <c r="AD3" s="735"/>
      <c r="AE3" s="735"/>
      <c r="AF3" s="735"/>
      <c r="AG3" s="735"/>
      <c r="AH3" s="735"/>
      <c r="AI3" s="735"/>
      <c r="AJ3" s="735"/>
      <c r="AK3" s="735"/>
      <c r="AL3" s="735"/>
      <c r="AM3" s="735"/>
      <c r="AN3" s="250"/>
      <c r="AO3" s="250"/>
      <c r="AP3" s="250"/>
      <c r="AQ3" s="250"/>
      <c r="AR3" s="250"/>
      <c r="AS3" s="250"/>
      <c r="AT3" s="250"/>
      <c r="AU3" s="250"/>
      <c r="AV3" s="250"/>
      <c r="AW3" s="250"/>
      <c r="AX3" s="250"/>
      <c r="AY3" s="250"/>
      <c r="AZ3" s="270"/>
      <c r="BK3" s="8"/>
    </row>
    <row r="4" spans="1:85" s="7" customFormat="1" ht="42" customHeight="1">
      <c r="A4" s="270"/>
      <c r="B4" s="1083" t="s">
        <v>1043</v>
      </c>
      <c r="C4" s="1084"/>
      <c r="D4" s="1084"/>
      <c r="E4" s="1084"/>
      <c r="F4" s="1084"/>
      <c r="G4" s="1084"/>
      <c r="H4" s="1084"/>
      <c r="I4" s="1084"/>
      <c r="J4" s="1084"/>
      <c r="K4" s="1084"/>
      <c r="L4" s="1084"/>
      <c r="M4" s="1084"/>
      <c r="N4" s="1084"/>
      <c r="O4" s="1084"/>
      <c r="P4" s="1084"/>
      <c r="Q4" s="1084"/>
      <c r="R4" s="1084"/>
      <c r="S4" s="1084"/>
      <c r="T4" s="1084"/>
      <c r="U4" s="1084"/>
      <c r="V4" s="1084"/>
      <c r="W4" s="1084"/>
      <c r="X4" s="1084"/>
      <c r="Y4" s="1084"/>
      <c r="Z4" s="1084"/>
      <c r="AA4" s="1084"/>
      <c r="AB4" s="1084"/>
      <c r="AC4" s="1084"/>
      <c r="AD4" s="1084"/>
      <c r="AE4" s="1084"/>
      <c r="AF4" s="1084"/>
      <c r="AG4" s="1084"/>
      <c r="AH4" s="1084"/>
      <c r="AI4" s="1084"/>
      <c r="AJ4" s="1084"/>
      <c r="AK4" s="1084"/>
      <c r="AL4" s="1084"/>
      <c r="AM4" s="1084"/>
      <c r="AN4" s="1084"/>
      <c r="AO4" s="1084"/>
      <c r="AP4" s="1084"/>
      <c r="AQ4" s="1084"/>
      <c r="AR4" s="250"/>
      <c r="AS4" s="250"/>
      <c r="AT4" s="251" t="str">
        <f>'本紙 (記)'!AR6</f>
        <v>Ver.3.50</v>
      </c>
      <c r="AU4" s="250"/>
      <c r="AV4" s="250"/>
      <c r="AW4" s="250"/>
      <c r="AX4" s="250"/>
      <c r="AY4" s="250"/>
      <c r="AZ4" s="270"/>
      <c r="BK4" s="8"/>
    </row>
    <row r="5" spans="1:85" s="7" customFormat="1" ht="20.25" customHeight="1">
      <c r="A5" s="271"/>
      <c r="B5" s="738" t="s">
        <v>742</v>
      </c>
      <c r="C5" s="738"/>
      <c r="D5" s="738"/>
      <c r="E5" s="738"/>
      <c r="F5" s="738"/>
      <c r="G5" s="738"/>
      <c r="H5" s="745" t="s">
        <v>751</v>
      </c>
      <c r="I5" s="746"/>
      <c r="J5" s="746"/>
      <c r="K5" s="746"/>
      <c r="L5" s="746"/>
      <c r="M5" s="746"/>
      <c r="N5" s="746"/>
      <c r="O5" s="746"/>
      <c r="P5" s="746"/>
      <c r="Q5" s="746"/>
      <c r="R5" s="746"/>
      <c r="S5" s="746"/>
      <c r="T5" s="746"/>
      <c r="U5" s="746"/>
      <c r="V5" s="746"/>
      <c r="W5" s="746"/>
      <c r="X5" s="746"/>
      <c r="Y5" s="747"/>
      <c r="Z5" s="748"/>
      <c r="AA5" s="749"/>
      <c r="AB5" s="749"/>
      <c r="AC5" s="749"/>
      <c r="AD5" s="750"/>
      <c r="AE5" s="739"/>
      <c r="AF5" s="740"/>
      <c r="AG5" s="740"/>
      <c r="AH5" s="740"/>
      <c r="AI5" s="740"/>
      <c r="AJ5" s="740"/>
      <c r="AK5" s="740"/>
      <c r="AL5" s="740"/>
      <c r="AM5" s="740"/>
      <c r="AN5" s="740"/>
      <c r="AO5" s="740"/>
      <c r="AP5" s="740"/>
      <c r="AQ5" s="740"/>
      <c r="AR5" s="740"/>
      <c r="AS5" s="740"/>
      <c r="AT5" s="740"/>
      <c r="AU5" s="740"/>
      <c r="AV5" s="740"/>
      <c r="AW5" s="740"/>
      <c r="AX5" s="740"/>
      <c r="AY5" s="741"/>
      <c r="AZ5" s="273"/>
      <c r="BK5" s="8"/>
    </row>
    <row r="6" spans="1:85" ht="26.25" customHeight="1">
      <c r="A6" s="272"/>
      <c r="B6" s="1085" t="s">
        <v>50</v>
      </c>
      <c r="C6" s="1085"/>
      <c r="D6" s="1085"/>
      <c r="E6" s="1085"/>
      <c r="F6" s="1085"/>
      <c r="G6" s="1085"/>
      <c r="H6" s="744" t="s">
        <v>51</v>
      </c>
      <c r="I6" s="744"/>
      <c r="J6" s="372"/>
      <c r="K6" s="751"/>
      <c r="L6" s="752"/>
      <c r="M6" s="752"/>
      <c r="N6" s="753"/>
      <c r="O6" s="372" t="s">
        <v>52</v>
      </c>
      <c r="P6" s="751"/>
      <c r="Q6" s="752"/>
      <c r="R6" s="752"/>
      <c r="S6" s="753"/>
      <c r="T6" s="372" t="s">
        <v>53</v>
      </c>
      <c r="U6" s="751"/>
      <c r="V6" s="752"/>
      <c r="W6" s="752"/>
      <c r="X6" s="753"/>
      <c r="Y6" s="372" t="s">
        <v>54</v>
      </c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  <c r="AO6" s="289"/>
      <c r="AP6" s="289"/>
      <c r="AQ6" s="289"/>
      <c r="AR6" s="289"/>
      <c r="AS6" s="289"/>
      <c r="AT6" s="289"/>
      <c r="AU6" s="289"/>
      <c r="AV6" s="289"/>
      <c r="AW6" s="289"/>
      <c r="AX6" s="289"/>
      <c r="AY6" s="290"/>
      <c r="AZ6" s="5"/>
      <c r="BC6" s="109"/>
      <c r="BD6" s="109"/>
      <c r="BE6" s="109"/>
      <c r="BF6" s="109"/>
      <c r="BG6" s="109"/>
      <c r="BH6" s="109"/>
      <c r="BI6" s="109"/>
      <c r="BJ6" s="109"/>
      <c r="BK6" s="109"/>
      <c r="BL6" s="109"/>
      <c r="BM6" s="109"/>
      <c r="BN6" s="109"/>
      <c r="BO6" s="109"/>
      <c r="BP6" s="109"/>
      <c r="BQ6" s="109"/>
      <c r="BR6" s="109"/>
      <c r="BS6" s="109"/>
      <c r="BT6" s="109"/>
      <c r="BU6" s="109"/>
      <c r="BV6" s="109"/>
      <c r="BW6" s="109"/>
      <c r="BX6" s="109"/>
      <c r="BY6" s="109"/>
      <c r="BZ6" s="109"/>
      <c r="CA6" s="109"/>
      <c r="CB6" s="109"/>
      <c r="CC6" s="109"/>
      <c r="CD6" s="109"/>
      <c r="CE6" s="109"/>
      <c r="CF6" s="109"/>
      <c r="CG6" s="109"/>
    </row>
    <row r="7" spans="1:85" ht="13.5" customHeight="1">
      <c r="A7" s="5"/>
      <c r="B7" s="1082" t="s">
        <v>743</v>
      </c>
      <c r="C7" s="1082"/>
      <c r="D7" s="1082"/>
      <c r="E7" s="1082"/>
      <c r="F7" s="1082"/>
      <c r="G7" s="1082"/>
      <c r="H7" s="757" t="s">
        <v>55</v>
      </c>
      <c r="I7" s="758"/>
      <c r="J7" s="758"/>
      <c r="K7" s="758"/>
      <c r="L7" s="759"/>
      <c r="M7" s="759"/>
      <c r="N7" s="759"/>
      <c r="O7" s="759"/>
      <c r="P7" s="759"/>
      <c r="Q7" s="759"/>
      <c r="R7" s="759"/>
      <c r="S7" s="759"/>
      <c r="T7" s="759"/>
      <c r="U7" s="759"/>
      <c r="V7" s="759"/>
      <c r="W7" s="759"/>
      <c r="X7" s="759"/>
      <c r="Y7" s="759"/>
      <c r="Z7" s="759"/>
      <c r="AA7" s="759"/>
      <c r="AB7" s="759"/>
      <c r="AC7" s="759"/>
      <c r="AD7" s="759"/>
      <c r="AE7" s="759"/>
      <c r="AF7" s="759"/>
      <c r="AG7" s="759"/>
      <c r="AH7" s="759"/>
      <c r="AI7" s="759"/>
      <c r="AJ7" s="759"/>
      <c r="AK7" s="759"/>
      <c r="AL7" s="759"/>
      <c r="AM7" s="759"/>
      <c r="AN7" s="759"/>
      <c r="AO7" s="759"/>
      <c r="AP7" s="759"/>
      <c r="AQ7" s="759"/>
      <c r="AR7" s="759"/>
      <c r="AS7" s="759"/>
      <c r="AT7" s="759"/>
      <c r="AU7" s="759"/>
      <c r="AV7" s="759"/>
      <c r="AW7" s="759"/>
      <c r="AX7" s="759"/>
      <c r="AY7" s="760"/>
      <c r="AZ7" s="5"/>
      <c r="BC7" s="109"/>
      <c r="BD7" s="109"/>
      <c r="BE7" s="109"/>
      <c r="BF7" s="109"/>
      <c r="BG7" s="109"/>
      <c r="BH7" s="109"/>
      <c r="BI7" s="109"/>
      <c r="BJ7" s="109"/>
      <c r="BK7" s="109"/>
      <c r="BL7" s="109"/>
      <c r="BM7" s="109"/>
      <c r="BN7" s="109"/>
      <c r="BO7" s="109"/>
      <c r="BP7" s="109"/>
      <c r="BQ7" s="109"/>
      <c r="BR7" s="109"/>
      <c r="BS7" s="109"/>
      <c r="BT7" s="109"/>
      <c r="BU7" s="109"/>
      <c r="BV7" s="109"/>
      <c r="BW7" s="109"/>
      <c r="BX7" s="109"/>
      <c r="BY7" s="109"/>
      <c r="BZ7" s="109"/>
      <c r="CA7" s="109"/>
      <c r="CB7" s="109"/>
      <c r="CC7" s="109"/>
      <c r="CD7" s="109"/>
      <c r="CE7" s="109"/>
      <c r="CF7" s="109"/>
      <c r="CG7" s="109"/>
    </row>
    <row r="8" spans="1:85">
      <c r="A8" s="5"/>
      <c r="B8" s="1082"/>
      <c r="C8" s="1082"/>
      <c r="D8" s="1082"/>
      <c r="E8" s="1082"/>
      <c r="F8" s="1082"/>
      <c r="G8" s="1082"/>
      <c r="H8" s="761"/>
      <c r="I8" s="762"/>
      <c r="J8" s="762"/>
      <c r="K8" s="762"/>
      <c r="L8" s="762"/>
      <c r="M8" s="762"/>
      <c r="N8" s="762"/>
      <c r="O8" s="762"/>
      <c r="P8" s="762"/>
      <c r="Q8" s="762"/>
      <c r="R8" s="762"/>
      <c r="S8" s="762"/>
      <c r="T8" s="762"/>
      <c r="U8" s="762"/>
      <c r="V8" s="762"/>
      <c r="W8" s="762"/>
      <c r="X8" s="762"/>
      <c r="Y8" s="762"/>
      <c r="Z8" s="762"/>
      <c r="AA8" s="762"/>
      <c r="AB8" s="762"/>
      <c r="AC8" s="762"/>
      <c r="AD8" s="762"/>
      <c r="AE8" s="762"/>
      <c r="AF8" s="762"/>
      <c r="AG8" s="762"/>
      <c r="AH8" s="762"/>
      <c r="AI8" s="762"/>
      <c r="AJ8" s="762"/>
      <c r="AK8" s="762"/>
      <c r="AL8" s="762"/>
      <c r="AM8" s="762"/>
      <c r="AN8" s="762"/>
      <c r="AO8" s="762"/>
      <c r="AP8" s="762"/>
      <c r="AQ8" s="762"/>
      <c r="AR8" s="762"/>
      <c r="AS8" s="762"/>
      <c r="AT8" s="762"/>
      <c r="AU8" s="762"/>
      <c r="AV8" s="762"/>
      <c r="AW8" s="762"/>
      <c r="AX8" s="762"/>
      <c r="AY8" s="762"/>
      <c r="AZ8" s="5"/>
      <c r="BC8" s="109"/>
      <c r="BD8" s="109"/>
      <c r="BE8" s="109"/>
      <c r="BF8" s="109"/>
      <c r="BG8" s="109"/>
      <c r="BH8" s="109"/>
      <c r="BI8" s="109"/>
      <c r="BJ8" s="109"/>
      <c r="BK8" s="109"/>
      <c r="BL8" s="109"/>
      <c r="BM8" s="109"/>
      <c r="BN8" s="109"/>
      <c r="BO8" s="109"/>
      <c r="BP8" s="109"/>
      <c r="BQ8" s="109"/>
      <c r="BR8" s="109"/>
      <c r="BS8" s="109"/>
      <c r="BT8" s="109"/>
      <c r="BU8" s="109"/>
      <c r="BV8" s="109"/>
      <c r="BW8" s="109"/>
      <c r="BX8" s="109"/>
      <c r="BY8" s="109"/>
      <c r="BZ8" s="109"/>
      <c r="CA8" s="109"/>
      <c r="CB8" s="109"/>
      <c r="CC8" s="109"/>
      <c r="CD8" s="109"/>
      <c r="CE8" s="109"/>
      <c r="CF8" s="109"/>
      <c r="CG8" s="109"/>
    </row>
    <row r="9" spans="1:85" ht="12.75" customHeight="1">
      <c r="A9" s="5"/>
      <c r="B9" s="1082"/>
      <c r="C9" s="1082"/>
      <c r="D9" s="1082"/>
      <c r="E9" s="1082"/>
      <c r="F9" s="1082"/>
      <c r="G9" s="1082"/>
      <c r="H9" s="761"/>
      <c r="I9" s="762"/>
      <c r="J9" s="762"/>
      <c r="K9" s="762"/>
      <c r="L9" s="762"/>
      <c r="M9" s="762"/>
      <c r="N9" s="762"/>
      <c r="O9" s="762"/>
      <c r="P9" s="762"/>
      <c r="Q9" s="762"/>
      <c r="R9" s="762"/>
      <c r="S9" s="762"/>
      <c r="T9" s="762"/>
      <c r="U9" s="762"/>
      <c r="V9" s="762"/>
      <c r="W9" s="762"/>
      <c r="X9" s="762"/>
      <c r="Y9" s="762"/>
      <c r="Z9" s="762"/>
      <c r="AA9" s="762"/>
      <c r="AB9" s="762"/>
      <c r="AC9" s="762"/>
      <c r="AD9" s="762"/>
      <c r="AE9" s="762"/>
      <c r="AF9" s="762"/>
      <c r="AG9" s="762"/>
      <c r="AH9" s="762"/>
      <c r="AI9" s="762"/>
      <c r="AJ9" s="762"/>
      <c r="AK9" s="762"/>
      <c r="AL9" s="762"/>
      <c r="AM9" s="762"/>
      <c r="AN9" s="762"/>
      <c r="AO9" s="762"/>
      <c r="AP9" s="762"/>
      <c r="AQ9" s="762"/>
      <c r="AR9" s="762"/>
      <c r="AS9" s="762"/>
      <c r="AT9" s="762"/>
      <c r="AU9" s="762"/>
      <c r="AV9" s="762"/>
      <c r="AW9" s="762"/>
      <c r="AX9" s="762"/>
      <c r="AY9" s="762"/>
      <c r="AZ9" s="5"/>
      <c r="BC9" s="109"/>
      <c r="BD9" s="109"/>
      <c r="BE9" s="109"/>
      <c r="BF9" s="109"/>
      <c r="BG9" s="109"/>
      <c r="BH9" s="109"/>
      <c r="BI9" s="109"/>
      <c r="BJ9" s="109"/>
      <c r="BK9" s="109"/>
      <c r="BL9" s="109"/>
      <c r="BM9" s="109"/>
      <c r="BN9" s="109"/>
      <c r="BO9" s="109"/>
      <c r="BP9" s="109"/>
      <c r="BQ9" s="109"/>
      <c r="BR9" s="109"/>
      <c r="BS9" s="109"/>
      <c r="BT9" s="109"/>
      <c r="BU9" s="109"/>
      <c r="BV9" s="109"/>
      <c r="BW9" s="109"/>
      <c r="BX9" s="109"/>
      <c r="BY9" s="109"/>
      <c r="BZ9" s="109"/>
      <c r="CA9" s="109"/>
      <c r="CB9" s="109"/>
      <c r="CC9" s="109"/>
      <c r="CD9" s="109"/>
      <c r="CE9" s="109"/>
      <c r="CF9" s="109"/>
      <c r="CG9" s="109"/>
    </row>
    <row r="10" spans="1:85" ht="13.5" customHeight="1">
      <c r="A10" s="5"/>
      <c r="B10" s="1019" t="s">
        <v>744</v>
      </c>
      <c r="C10" s="1020"/>
      <c r="D10" s="1020"/>
      <c r="E10" s="1020"/>
      <c r="F10" s="1020"/>
      <c r="G10" s="1021"/>
      <c r="H10" s="370" t="s">
        <v>56</v>
      </c>
      <c r="I10" s="625"/>
      <c r="J10" s="627"/>
      <c r="K10" s="627"/>
      <c r="L10" s="627"/>
      <c r="M10" s="252" t="s">
        <v>58</v>
      </c>
      <c r="N10" s="627"/>
      <c r="O10" s="627"/>
      <c r="P10" s="627"/>
      <c r="Q10" s="786"/>
      <c r="R10" s="782" t="s">
        <v>55</v>
      </c>
      <c r="S10" s="783"/>
      <c r="T10" s="784"/>
      <c r="U10" s="785"/>
      <c r="V10" s="759"/>
      <c r="W10" s="759"/>
      <c r="X10" s="759"/>
      <c r="Y10" s="759"/>
      <c r="Z10" s="759"/>
      <c r="AA10" s="759"/>
      <c r="AB10" s="759"/>
      <c r="AC10" s="759"/>
      <c r="AD10" s="759"/>
      <c r="AE10" s="759"/>
      <c r="AF10" s="759"/>
      <c r="AG10" s="759"/>
      <c r="AH10" s="759"/>
      <c r="AI10" s="759"/>
      <c r="AJ10" s="759"/>
      <c r="AK10" s="759"/>
      <c r="AL10" s="759"/>
      <c r="AM10" s="759"/>
      <c r="AN10" s="759"/>
      <c r="AO10" s="759"/>
      <c r="AP10" s="759"/>
      <c r="AQ10" s="759"/>
      <c r="AR10" s="759"/>
      <c r="AS10" s="759"/>
      <c r="AT10" s="759"/>
      <c r="AU10" s="759"/>
      <c r="AV10" s="759"/>
      <c r="AW10" s="759"/>
      <c r="AX10" s="759"/>
      <c r="AY10" s="760"/>
      <c r="AZ10" s="5"/>
      <c r="BD10" s="9" t="s">
        <v>61</v>
      </c>
      <c r="BK10" s="579">
        <v>12</v>
      </c>
      <c r="BL10" s="579"/>
      <c r="BM10" s="579"/>
      <c r="BN10" s="579"/>
      <c r="BO10" s="579"/>
      <c r="BP10" s="579"/>
    </row>
    <row r="11" spans="1:85" ht="13.5" customHeight="1">
      <c r="A11" s="5"/>
      <c r="B11" s="1022"/>
      <c r="C11" s="1023"/>
      <c r="D11" s="1023"/>
      <c r="E11" s="1023"/>
      <c r="F11" s="1023"/>
      <c r="G11" s="1024"/>
      <c r="H11" s="771" t="s">
        <v>62</v>
      </c>
      <c r="I11" s="638"/>
      <c r="J11" s="638"/>
      <c r="K11" s="639"/>
      <c r="L11" s="787"/>
      <c r="M11" s="788"/>
      <c r="N11" s="788"/>
      <c r="O11" s="788"/>
      <c r="P11" s="788"/>
      <c r="Q11" s="789"/>
      <c r="R11" s="793" t="s">
        <v>63</v>
      </c>
      <c r="S11" s="794"/>
      <c r="T11" s="795"/>
      <c r="U11" s="799"/>
      <c r="V11" s="800"/>
      <c r="W11" s="800"/>
      <c r="X11" s="800"/>
      <c r="Y11" s="800"/>
      <c r="Z11" s="800"/>
      <c r="AA11" s="800"/>
      <c r="AB11" s="801"/>
      <c r="AC11" s="793" t="s">
        <v>64</v>
      </c>
      <c r="AD11" s="794"/>
      <c r="AE11" s="795"/>
      <c r="AF11" s="805"/>
      <c r="AG11" s="806"/>
      <c r="AH11" s="806"/>
      <c r="AI11" s="806"/>
      <c r="AJ11" s="806"/>
      <c r="AK11" s="806"/>
      <c r="AL11" s="806"/>
      <c r="AM11" s="806"/>
      <c r="AN11" s="806"/>
      <c r="AO11" s="806"/>
      <c r="AP11" s="806"/>
      <c r="AQ11" s="806"/>
      <c r="AR11" s="806"/>
      <c r="AS11" s="806"/>
      <c r="AT11" s="806"/>
      <c r="AU11" s="806"/>
      <c r="AV11" s="806"/>
      <c r="AW11" s="806"/>
      <c r="AX11" s="806"/>
      <c r="AY11" s="807"/>
      <c r="AZ11" s="5"/>
      <c r="BD11" s="9" t="s">
        <v>66</v>
      </c>
      <c r="BK11" s="579">
        <v>13</v>
      </c>
      <c r="BL11" s="579"/>
      <c r="BM11" s="579"/>
      <c r="BN11" s="579"/>
      <c r="BO11" s="579"/>
      <c r="BP11" s="579"/>
    </row>
    <row r="12" spans="1:85" ht="13.5" customHeight="1">
      <c r="A12" s="5"/>
      <c r="B12" s="1022"/>
      <c r="C12" s="1023"/>
      <c r="D12" s="1023"/>
      <c r="E12" s="1023"/>
      <c r="F12" s="1023"/>
      <c r="G12" s="1024"/>
      <c r="H12" s="537"/>
      <c r="I12" s="538"/>
      <c r="J12" s="538"/>
      <c r="K12" s="539"/>
      <c r="L12" s="790"/>
      <c r="M12" s="791"/>
      <c r="N12" s="791"/>
      <c r="O12" s="791"/>
      <c r="P12" s="791"/>
      <c r="Q12" s="792"/>
      <c r="R12" s="796"/>
      <c r="S12" s="797"/>
      <c r="T12" s="798"/>
      <c r="U12" s="802"/>
      <c r="V12" s="803"/>
      <c r="W12" s="803"/>
      <c r="X12" s="803"/>
      <c r="Y12" s="803"/>
      <c r="Z12" s="803"/>
      <c r="AA12" s="803"/>
      <c r="AB12" s="804"/>
      <c r="AC12" s="796"/>
      <c r="AD12" s="797"/>
      <c r="AE12" s="798"/>
      <c r="AF12" s="808"/>
      <c r="AG12" s="809"/>
      <c r="AH12" s="809"/>
      <c r="AI12" s="809"/>
      <c r="AJ12" s="809"/>
      <c r="AK12" s="809"/>
      <c r="AL12" s="809"/>
      <c r="AM12" s="809"/>
      <c r="AN12" s="809"/>
      <c r="AO12" s="809"/>
      <c r="AP12" s="809"/>
      <c r="AQ12" s="809"/>
      <c r="AR12" s="809"/>
      <c r="AS12" s="809"/>
      <c r="AT12" s="809"/>
      <c r="AU12" s="809"/>
      <c r="AV12" s="809"/>
      <c r="AW12" s="809"/>
      <c r="AX12" s="809"/>
      <c r="AY12" s="810"/>
      <c r="AZ12" s="5"/>
      <c r="BD12" s="9" t="s">
        <v>67</v>
      </c>
      <c r="BK12" s="579">
        <v>16</v>
      </c>
      <c r="BL12" s="579"/>
      <c r="BM12" s="579"/>
      <c r="BN12" s="579"/>
      <c r="BO12" s="579"/>
      <c r="BP12" s="579"/>
    </row>
    <row r="13" spans="1:85" ht="13.5" customHeight="1">
      <c r="A13" s="5"/>
      <c r="B13" s="1025"/>
      <c r="C13" s="1026"/>
      <c r="D13" s="1026"/>
      <c r="E13" s="1026"/>
      <c r="F13" s="1026"/>
      <c r="G13" s="1027"/>
      <c r="H13" s="518" t="s">
        <v>68</v>
      </c>
      <c r="I13" s="772"/>
      <c r="J13" s="367"/>
      <c r="K13" s="773" t="s">
        <v>69</v>
      </c>
      <c r="L13" s="774"/>
      <c r="M13" s="774"/>
      <c r="N13" s="774"/>
      <c r="O13" s="774"/>
      <c r="P13" s="775"/>
      <c r="Q13" s="776" t="s">
        <v>70</v>
      </c>
      <c r="R13" s="777"/>
      <c r="S13" s="778"/>
      <c r="T13" s="779"/>
      <c r="U13" s="780"/>
      <c r="V13" s="780"/>
      <c r="W13" s="780"/>
      <c r="X13" s="780"/>
      <c r="Y13" s="780"/>
      <c r="Z13" s="780"/>
      <c r="AA13" s="780"/>
      <c r="AB13" s="780"/>
      <c r="AC13" s="780"/>
      <c r="AD13" s="780"/>
      <c r="AE13" s="780"/>
      <c r="AF13" s="780"/>
      <c r="AG13" s="780"/>
      <c r="AH13" s="780"/>
      <c r="AI13" s="780"/>
      <c r="AJ13" s="780"/>
      <c r="AK13" s="780"/>
      <c r="AL13" s="780"/>
      <c r="AM13" s="780"/>
      <c r="AN13" s="780"/>
      <c r="AO13" s="780"/>
      <c r="AP13" s="780"/>
      <c r="AQ13" s="780"/>
      <c r="AR13" s="780"/>
      <c r="AS13" s="780"/>
      <c r="AT13" s="780"/>
      <c r="AU13" s="780"/>
      <c r="AV13" s="780"/>
      <c r="AW13" s="780"/>
      <c r="AX13" s="780"/>
      <c r="AY13" s="781"/>
      <c r="AZ13" s="5"/>
      <c r="BD13" s="10" t="s">
        <v>71</v>
      </c>
      <c r="BK13" s="579">
        <f>BC6+90</f>
        <v>90</v>
      </c>
      <c r="BL13" s="579"/>
      <c r="BM13" s="579"/>
      <c r="BN13" s="579"/>
      <c r="BO13" s="579"/>
      <c r="BP13" s="579"/>
    </row>
    <row r="14" spans="1:85" ht="13.5" customHeight="1">
      <c r="A14" s="5"/>
      <c r="B14" s="1073" t="s">
        <v>72</v>
      </c>
      <c r="C14" s="1074"/>
      <c r="D14" s="1074"/>
      <c r="E14" s="1074"/>
      <c r="F14" s="1074"/>
      <c r="G14" s="1075"/>
      <c r="H14" s="518" t="s">
        <v>68</v>
      </c>
      <c r="I14" s="519"/>
      <c r="J14" s="367"/>
      <c r="K14" s="253" t="s">
        <v>745</v>
      </c>
      <c r="L14" s="253"/>
      <c r="M14" s="253"/>
      <c r="N14" s="253"/>
      <c r="O14" s="253"/>
      <c r="P14" s="254"/>
      <c r="Q14" s="255"/>
      <c r="R14" s="255"/>
      <c r="S14" s="255"/>
      <c r="T14" s="256"/>
      <c r="U14" s="256"/>
      <c r="V14" s="256"/>
      <c r="W14" s="257"/>
      <c r="X14" s="257"/>
      <c r="Y14" s="257"/>
      <c r="Z14" s="257"/>
      <c r="AA14" s="257"/>
      <c r="AB14" s="257"/>
      <c r="AC14" s="257"/>
      <c r="AD14" s="257"/>
      <c r="AE14" s="257"/>
      <c r="AF14" s="257"/>
      <c r="AG14" s="257"/>
      <c r="AH14" s="257"/>
      <c r="AI14" s="257"/>
      <c r="AJ14" s="257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257"/>
      <c r="AY14" s="258"/>
      <c r="AZ14" s="5"/>
      <c r="BD14" s="10"/>
      <c r="BK14" s="357"/>
      <c r="BL14" s="357"/>
      <c r="BM14" s="357"/>
      <c r="BN14" s="357"/>
      <c r="BO14" s="357"/>
      <c r="BP14" s="357"/>
    </row>
    <row r="15" spans="1:85" ht="13.5" customHeight="1">
      <c r="A15" s="5"/>
      <c r="B15" s="1076"/>
      <c r="C15" s="1077"/>
      <c r="D15" s="1077"/>
      <c r="E15" s="1077"/>
      <c r="F15" s="1077"/>
      <c r="G15" s="1078"/>
      <c r="H15" s="370" t="s">
        <v>56</v>
      </c>
      <c r="I15" s="625"/>
      <c r="J15" s="627"/>
      <c r="K15" s="627"/>
      <c r="L15" s="627"/>
      <c r="M15" s="252" t="s">
        <v>58</v>
      </c>
      <c r="N15" s="627"/>
      <c r="O15" s="627"/>
      <c r="P15" s="627"/>
      <c r="Q15" s="786"/>
      <c r="R15" s="782" t="s">
        <v>55</v>
      </c>
      <c r="S15" s="783"/>
      <c r="T15" s="784"/>
      <c r="U15" s="785"/>
      <c r="V15" s="759"/>
      <c r="W15" s="759"/>
      <c r="X15" s="759"/>
      <c r="Y15" s="759"/>
      <c r="Z15" s="759"/>
      <c r="AA15" s="759"/>
      <c r="AB15" s="759"/>
      <c r="AC15" s="759"/>
      <c r="AD15" s="759"/>
      <c r="AE15" s="759"/>
      <c r="AF15" s="759"/>
      <c r="AG15" s="759"/>
      <c r="AH15" s="759"/>
      <c r="AI15" s="759"/>
      <c r="AJ15" s="759"/>
      <c r="AK15" s="759"/>
      <c r="AL15" s="759"/>
      <c r="AM15" s="759"/>
      <c r="AN15" s="759"/>
      <c r="AO15" s="759"/>
      <c r="AP15" s="759"/>
      <c r="AQ15" s="759"/>
      <c r="AR15" s="759"/>
      <c r="AS15" s="759"/>
      <c r="AT15" s="759"/>
      <c r="AU15" s="759"/>
      <c r="AV15" s="759"/>
      <c r="AW15" s="759"/>
      <c r="AX15" s="759"/>
      <c r="AY15" s="760"/>
      <c r="AZ15" s="5"/>
      <c r="BD15" s="10"/>
      <c r="BK15" s="357"/>
      <c r="BL15" s="357"/>
      <c r="BM15" s="357"/>
      <c r="BN15" s="357"/>
      <c r="BO15" s="357"/>
      <c r="BP15" s="357"/>
    </row>
    <row r="16" spans="1:85" ht="13.5" customHeight="1">
      <c r="A16" s="5"/>
      <c r="B16" s="1076"/>
      <c r="C16" s="1077"/>
      <c r="D16" s="1077"/>
      <c r="E16" s="1077"/>
      <c r="F16" s="1077"/>
      <c r="G16" s="1078"/>
      <c r="H16" s="771" t="s">
        <v>62</v>
      </c>
      <c r="I16" s="638"/>
      <c r="J16" s="638"/>
      <c r="K16" s="639"/>
      <c r="L16" s="787"/>
      <c r="M16" s="788"/>
      <c r="N16" s="788"/>
      <c r="O16" s="788"/>
      <c r="P16" s="788"/>
      <c r="Q16" s="789"/>
      <c r="R16" s="793" t="s">
        <v>63</v>
      </c>
      <c r="S16" s="794"/>
      <c r="T16" s="795"/>
      <c r="U16" s="799"/>
      <c r="V16" s="800"/>
      <c r="W16" s="800"/>
      <c r="X16" s="800"/>
      <c r="Y16" s="800"/>
      <c r="Z16" s="800"/>
      <c r="AA16" s="800"/>
      <c r="AB16" s="801"/>
      <c r="AC16" s="793" t="s">
        <v>64</v>
      </c>
      <c r="AD16" s="861"/>
      <c r="AE16" s="862"/>
      <c r="AF16" s="805"/>
      <c r="AG16" s="806"/>
      <c r="AH16" s="806"/>
      <c r="AI16" s="806"/>
      <c r="AJ16" s="806"/>
      <c r="AK16" s="806"/>
      <c r="AL16" s="806"/>
      <c r="AM16" s="806"/>
      <c r="AN16" s="806"/>
      <c r="AO16" s="806"/>
      <c r="AP16" s="806"/>
      <c r="AQ16" s="806"/>
      <c r="AR16" s="806"/>
      <c r="AS16" s="806"/>
      <c r="AT16" s="806"/>
      <c r="AU16" s="806"/>
      <c r="AV16" s="806"/>
      <c r="AW16" s="806"/>
      <c r="AX16" s="806"/>
      <c r="AY16" s="807"/>
      <c r="AZ16" s="275"/>
      <c r="BE16" s="10"/>
      <c r="BK16" s="6"/>
      <c r="BL16" s="357"/>
      <c r="BM16" s="357"/>
      <c r="BN16" s="357"/>
      <c r="BO16" s="357"/>
      <c r="BP16" s="357"/>
      <c r="BQ16" s="357"/>
    </row>
    <row r="17" spans="1:76" ht="13.5" customHeight="1">
      <c r="A17" s="5"/>
      <c r="B17" s="1076"/>
      <c r="C17" s="1077"/>
      <c r="D17" s="1077"/>
      <c r="E17" s="1077"/>
      <c r="F17" s="1077"/>
      <c r="G17" s="1078"/>
      <c r="H17" s="537"/>
      <c r="I17" s="538"/>
      <c r="J17" s="538"/>
      <c r="K17" s="539"/>
      <c r="L17" s="790"/>
      <c r="M17" s="791"/>
      <c r="N17" s="791"/>
      <c r="O17" s="791"/>
      <c r="P17" s="791"/>
      <c r="Q17" s="792"/>
      <c r="R17" s="796"/>
      <c r="S17" s="797"/>
      <c r="T17" s="798"/>
      <c r="U17" s="802"/>
      <c r="V17" s="803"/>
      <c r="W17" s="803"/>
      <c r="X17" s="803"/>
      <c r="Y17" s="803"/>
      <c r="Z17" s="803"/>
      <c r="AA17" s="803"/>
      <c r="AB17" s="804"/>
      <c r="AC17" s="863"/>
      <c r="AD17" s="864"/>
      <c r="AE17" s="865"/>
      <c r="AF17" s="808"/>
      <c r="AG17" s="809"/>
      <c r="AH17" s="809"/>
      <c r="AI17" s="809"/>
      <c r="AJ17" s="809"/>
      <c r="AK17" s="809"/>
      <c r="AL17" s="809"/>
      <c r="AM17" s="809"/>
      <c r="AN17" s="809"/>
      <c r="AO17" s="809"/>
      <c r="AP17" s="809"/>
      <c r="AQ17" s="809"/>
      <c r="AR17" s="809"/>
      <c r="AS17" s="809"/>
      <c r="AT17" s="809"/>
      <c r="AU17" s="809"/>
      <c r="AV17" s="809"/>
      <c r="AW17" s="809"/>
      <c r="AX17" s="809"/>
      <c r="AY17" s="810"/>
      <c r="AZ17" s="275"/>
      <c r="BE17" s="10"/>
      <c r="BK17" s="6"/>
      <c r="BL17" s="357"/>
      <c r="BM17" s="357"/>
      <c r="BN17" s="357"/>
      <c r="BO17" s="357"/>
      <c r="BP17" s="357"/>
      <c r="BQ17" s="357"/>
    </row>
    <row r="18" spans="1:76" ht="13.5" customHeight="1">
      <c r="A18" s="5"/>
      <c r="B18" s="1079"/>
      <c r="C18" s="1080"/>
      <c r="D18" s="1080"/>
      <c r="E18" s="1080"/>
      <c r="F18" s="1080"/>
      <c r="G18" s="1081"/>
      <c r="H18" s="518" t="s">
        <v>591</v>
      </c>
      <c r="I18" s="772"/>
      <c r="J18" s="367"/>
      <c r="K18" s="773" t="s">
        <v>69</v>
      </c>
      <c r="L18" s="660"/>
      <c r="M18" s="660"/>
      <c r="N18" s="660"/>
      <c r="O18" s="660"/>
      <c r="P18" s="660"/>
      <c r="Q18" s="277"/>
      <c r="R18" s="793" t="s">
        <v>70</v>
      </c>
      <c r="S18" s="794"/>
      <c r="T18" s="795"/>
      <c r="U18" s="665"/>
      <c r="V18" s="859"/>
      <c r="W18" s="859"/>
      <c r="X18" s="859"/>
      <c r="Y18" s="859"/>
      <c r="Z18" s="859"/>
      <c r="AA18" s="859"/>
      <c r="AB18" s="859"/>
      <c r="AC18" s="859"/>
      <c r="AD18" s="859"/>
      <c r="AE18" s="859"/>
      <c r="AF18" s="859"/>
      <c r="AG18" s="859"/>
      <c r="AH18" s="859"/>
      <c r="AI18" s="859"/>
      <c r="AJ18" s="859"/>
      <c r="AK18" s="859"/>
      <c r="AL18" s="859"/>
      <c r="AM18" s="859"/>
      <c r="AN18" s="859"/>
      <c r="AO18" s="859"/>
      <c r="AP18" s="859"/>
      <c r="AQ18" s="859"/>
      <c r="AR18" s="859"/>
      <c r="AS18" s="859"/>
      <c r="AT18" s="859"/>
      <c r="AU18" s="859"/>
      <c r="AV18" s="859"/>
      <c r="AW18" s="859"/>
      <c r="AX18" s="859"/>
      <c r="AY18" s="860"/>
      <c r="AZ18" s="275"/>
      <c r="BE18" s="10"/>
      <c r="BK18" s="6"/>
      <c r="BL18" s="357"/>
      <c r="BM18" s="357"/>
      <c r="BN18" s="357"/>
      <c r="BO18" s="357"/>
      <c r="BP18" s="357"/>
      <c r="BQ18" s="357"/>
    </row>
    <row r="19" spans="1:76" ht="13.5" customHeight="1">
      <c r="A19" s="5"/>
      <c r="B19" s="1053" t="s">
        <v>75</v>
      </c>
      <c r="C19" s="1054"/>
      <c r="D19" s="1054"/>
      <c r="E19" s="1054"/>
      <c r="F19" s="1054"/>
      <c r="G19" s="1055"/>
      <c r="H19" s="817" t="s">
        <v>76</v>
      </c>
      <c r="I19" s="818"/>
      <c r="J19" s="818"/>
      <c r="K19" s="818"/>
      <c r="L19" s="197"/>
      <c r="M19" s="197"/>
      <c r="N19" s="197"/>
      <c r="O19" s="197"/>
      <c r="P19" s="197"/>
      <c r="Q19" s="198"/>
      <c r="R19" s="198"/>
      <c r="S19" s="198"/>
      <c r="T19" s="198"/>
      <c r="U19" s="198"/>
      <c r="V19" s="835" t="s">
        <v>77</v>
      </c>
      <c r="W19" s="836"/>
      <c r="X19" s="836"/>
      <c r="Y19" s="836"/>
      <c r="Z19" s="836"/>
      <c r="AA19" s="836"/>
      <c r="AB19" s="836"/>
      <c r="AC19" s="836"/>
      <c r="AD19" s="836"/>
      <c r="AE19" s="836"/>
      <c r="AF19" s="836"/>
      <c r="AG19" s="836"/>
      <c r="AH19" s="836"/>
      <c r="AI19" s="836"/>
      <c r="AJ19" s="836"/>
      <c r="AK19" s="836"/>
      <c r="AL19" s="836"/>
      <c r="AM19" s="836"/>
      <c r="AN19" s="836"/>
      <c r="AO19" s="836"/>
      <c r="AP19" s="836"/>
      <c r="AQ19" s="836"/>
      <c r="AR19" s="836"/>
      <c r="AS19" s="836"/>
      <c r="AT19" s="836"/>
      <c r="AU19" s="836"/>
      <c r="AV19" s="836"/>
      <c r="AW19" s="836"/>
      <c r="AX19" s="836"/>
      <c r="AY19" s="837"/>
      <c r="AZ19" s="5"/>
      <c r="BD19" s="10"/>
      <c r="BK19" s="357"/>
      <c r="BL19" s="357"/>
      <c r="BM19" s="357"/>
      <c r="BN19" s="357"/>
      <c r="BO19" s="357"/>
      <c r="BP19" s="357"/>
    </row>
    <row r="20" spans="1:76" ht="13.5" customHeight="1">
      <c r="A20" s="5"/>
      <c r="B20" s="1056" t="s">
        <v>746</v>
      </c>
      <c r="C20" s="1059" t="s">
        <v>78</v>
      </c>
      <c r="D20" s="1059"/>
      <c r="E20" s="1059"/>
      <c r="F20" s="1059"/>
      <c r="G20" s="1060"/>
      <c r="H20" s="819"/>
      <c r="I20" s="820"/>
      <c r="J20" s="820"/>
      <c r="K20" s="820"/>
      <c r="L20" s="821"/>
      <c r="M20" s="821"/>
      <c r="N20" s="821"/>
      <c r="O20" s="821"/>
      <c r="P20" s="821"/>
      <c r="Q20" s="821"/>
      <c r="R20" s="821"/>
      <c r="S20" s="821"/>
      <c r="T20" s="821"/>
      <c r="U20" s="821"/>
      <c r="V20" s="822"/>
      <c r="W20" s="827" t="s">
        <v>1</v>
      </c>
      <c r="X20" s="827"/>
      <c r="Y20" s="827"/>
      <c r="Z20" s="827"/>
      <c r="AA20" s="827"/>
      <c r="AB20" s="827"/>
      <c r="AC20" s="758" t="s">
        <v>55</v>
      </c>
      <c r="AD20" s="758"/>
      <c r="AE20" s="758"/>
      <c r="AF20" s="785"/>
      <c r="AG20" s="759"/>
      <c r="AH20" s="759"/>
      <c r="AI20" s="759"/>
      <c r="AJ20" s="759"/>
      <c r="AK20" s="759"/>
      <c r="AL20" s="759"/>
      <c r="AM20" s="759"/>
      <c r="AN20" s="759"/>
      <c r="AO20" s="759"/>
      <c r="AP20" s="759"/>
      <c r="AQ20" s="759"/>
      <c r="AR20" s="759"/>
      <c r="AS20" s="759"/>
      <c r="AT20" s="759"/>
      <c r="AU20" s="759"/>
      <c r="AV20" s="759"/>
      <c r="AW20" s="759"/>
      <c r="AX20" s="759"/>
      <c r="AY20" s="760"/>
      <c r="AZ20" s="5"/>
    </row>
    <row r="21" spans="1:76">
      <c r="A21" s="5"/>
      <c r="B21" s="1057"/>
      <c r="C21" s="1061"/>
      <c r="D21" s="1061"/>
      <c r="E21" s="1061"/>
      <c r="F21" s="1061"/>
      <c r="G21" s="1062"/>
      <c r="H21" s="605"/>
      <c r="I21" s="821"/>
      <c r="J21" s="821"/>
      <c r="K21" s="821"/>
      <c r="L21" s="821"/>
      <c r="M21" s="821"/>
      <c r="N21" s="821"/>
      <c r="O21" s="821"/>
      <c r="P21" s="821"/>
      <c r="Q21" s="821"/>
      <c r="R21" s="821"/>
      <c r="S21" s="821"/>
      <c r="T21" s="821"/>
      <c r="U21" s="821"/>
      <c r="V21" s="823"/>
      <c r="W21" s="827"/>
      <c r="X21" s="827"/>
      <c r="Y21" s="827"/>
      <c r="Z21" s="827"/>
      <c r="AA21" s="827"/>
      <c r="AB21" s="827"/>
      <c r="AC21" s="543"/>
      <c r="AD21" s="828"/>
      <c r="AE21" s="828"/>
      <c r="AF21" s="828"/>
      <c r="AG21" s="828"/>
      <c r="AH21" s="828"/>
      <c r="AI21" s="828"/>
      <c r="AJ21" s="828"/>
      <c r="AK21" s="828"/>
      <c r="AL21" s="828"/>
      <c r="AM21" s="828"/>
      <c r="AN21" s="828"/>
      <c r="AO21" s="828"/>
      <c r="AP21" s="828"/>
      <c r="AQ21" s="828"/>
      <c r="AR21" s="828"/>
      <c r="AS21" s="828"/>
      <c r="AT21" s="828"/>
      <c r="AU21" s="828"/>
      <c r="AV21" s="828"/>
      <c r="AW21" s="828"/>
      <c r="AX21" s="828"/>
      <c r="AY21" s="829"/>
      <c r="AZ21" s="5"/>
    </row>
    <row r="22" spans="1:76" ht="12.75" customHeight="1">
      <c r="A22" s="5"/>
      <c r="B22" s="1057"/>
      <c r="C22" s="1063"/>
      <c r="D22" s="1063"/>
      <c r="E22" s="1063"/>
      <c r="F22" s="1063"/>
      <c r="G22" s="1064"/>
      <c r="H22" s="824"/>
      <c r="I22" s="825"/>
      <c r="J22" s="825"/>
      <c r="K22" s="825"/>
      <c r="L22" s="825"/>
      <c r="M22" s="825"/>
      <c r="N22" s="825"/>
      <c r="O22" s="825"/>
      <c r="P22" s="825"/>
      <c r="Q22" s="825"/>
      <c r="R22" s="825"/>
      <c r="S22" s="825"/>
      <c r="T22" s="825"/>
      <c r="U22" s="825"/>
      <c r="V22" s="826"/>
      <c r="W22" s="827"/>
      <c r="X22" s="827"/>
      <c r="Y22" s="827"/>
      <c r="Z22" s="827"/>
      <c r="AA22" s="827"/>
      <c r="AB22" s="827"/>
      <c r="AC22" s="830"/>
      <c r="AD22" s="831"/>
      <c r="AE22" s="831"/>
      <c r="AF22" s="831"/>
      <c r="AG22" s="831"/>
      <c r="AH22" s="831"/>
      <c r="AI22" s="831"/>
      <c r="AJ22" s="831"/>
      <c r="AK22" s="831"/>
      <c r="AL22" s="831"/>
      <c r="AM22" s="831"/>
      <c r="AN22" s="831"/>
      <c r="AO22" s="831"/>
      <c r="AP22" s="831"/>
      <c r="AQ22" s="831"/>
      <c r="AR22" s="831"/>
      <c r="AS22" s="831"/>
      <c r="AT22" s="831"/>
      <c r="AU22" s="831"/>
      <c r="AV22" s="831"/>
      <c r="AW22" s="831"/>
      <c r="AX22" s="831"/>
      <c r="AY22" s="832"/>
      <c r="AZ22" s="5"/>
    </row>
    <row r="23" spans="1:76" ht="18" customHeight="1">
      <c r="A23" s="5"/>
      <c r="B23" s="1057"/>
      <c r="C23" s="1065" t="s">
        <v>79</v>
      </c>
      <c r="D23" s="1065"/>
      <c r="E23" s="1065"/>
      <c r="F23" s="1065"/>
      <c r="G23" s="1066"/>
      <c r="H23" s="363"/>
      <c r="I23" s="364"/>
      <c r="J23" s="364"/>
      <c r="K23" s="364"/>
      <c r="L23" s="364"/>
      <c r="M23" s="364"/>
      <c r="N23" s="364"/>
      <c r="O23" s="364"/>
      <c r="P23" s="364"/>
      <c r="Q23" s="364"/>
      <c r="R23" s="364"/>
      <c r="S23" s="364"/>
      <c r="T23" s="364"/>
      <c r="U23" s="364"/>
      <c r="V23" s="365"/>
      <c r="W23" s="848" t="s">
        <v>747</v>
      </c>
      <c r="X23" s="849"/>
      <c r="Y23" s="849"/>
      <c r="Z23" s="849"/>
      <c r="AA23" s="849"/>
      <c r="AB23" s="849"/>
      <c r="AC23" s="849"/>
      <c r="AD23" s="849"/>
      <c r="AE23" s="849"/>
      <c r="AF23" s="849"/>
      <c r="AG23" s="849"/>
      <c r="AH23" s="849"/>
      <c r="AI23" s="849"/>
      <c r="AJ23" s="849"/>
      <c r="AK23" s="849"/>
      <c r="AL23" s="849"/>
      <c r="AM23" s="849"/>
      <c r="AN23" s="849"/>
      <c r="AO23" s="849"/>
      <c r="AP23" s="849"/>
      <c r="AQ23" s="849"/>
      <c r="AR23" s="849"/>
      <c r="AS23" s="849"/>
      <c r="AT23" s="849"/>
      <c r="AU23" s="849"/>
      <c r="AV23" s="849"/>
      <c r="AW23" s="849"/>
      <c r="AX23" s="849"/>
      <c r="AY23" s="850"/>
      <c r="AZ23" s="5"/>
    </row>
    <row r="24" spans="1:76" ht="18" customHeight="1">
      <c r="A24" s="5"/>
      <c r="B24" s="1057"/>
      <c r="C24" s="1067"/>
      <c r="D24" s="1067"/>
      <c r="E24" s="1067"/>
      <c r="F24" s="1067"/>
      <c r="G24" s="1068"/>
      <c r="H24" s="111" t="s">
        <v>80</v>
      </c>
      <c r="I24" s="603"/>
      <c r="J24" s="603"/>
      <c r="K24" s="603"/>
      <c r="L24" s="112" t="s">
        <v>81</v>
      </c>
      <c r="M24" s="603"/>
      <c r="N24" s="603"/>
      <c r="O24" s="603"/>
      <c r="P24" s="603"/>
      <c r="Q24" s="112" t="s">
        <v>82</v>
      </c>
      <c r="R24" s="603"/>
      <c r="S24" s="603"/>
      <c r="T24" s="603"/>
      <c r="U24" s="603"/>
      <c r="V24" s="604"/>
      <c r="W24" s="851"/>
      <c r="X24" s="852"/>
      <c r="Y24" s="852"/>
      <c r="Z24" s="852"/>
      <c r="AA24" s="852"/>
      <c r="AB24" s="852"/>
      <c r="AC24" s="852"/>
      <c r="AD24" s="852"/>
      <c r="AE24" s="852"/>
      <c r="AF24" s="852"/>
      <c r="AG24" s="852"/>
      <c r="AH24" s="852"/>
      <c r="AI24" s="852"/>
      <c r="AJ24" s="852"/>
      <c r="AK24" s="852"/>
      <c r="AL24" s="852"/>
      <c r="AM24" s="852"/>
      <c r="AN24" s="852"/>
      <c r="AO24" s="852"/>
      <c r="AP24" s="852"/>
      <c r="AQ24" s="852"/>
      <c r="AR24" s="852"/>
      <c r="AS24" s="852"/>
      <c r="AT24" s="852"/>
      <c r="AU24" s="852"/>
      <c r="AV24" s="852"/>
      <c r="AW24" s="852"/>
      <c r="AX24" s="852"/>
      <c r="AY24" s="853"/>
      <c r="AZ24" s="5"/>
    </row>
    <row r="25" spans="1:76" ht="18" customHeight="1">
      <c r="A25" s="5"/>
      <c r="B25" s="1057"/>
      <c r="C25" s="1069"/>
      <c r="D25" s="1069"/>
      <c r="E25" s="1069"/>
      <c r="F25" s="1069"/>
      <c r="G25" s="1070"/>
      <c r="H25" s="360"/>
      <c r="I25" s="361"/>
      <c r="J25" s="361"/>
      <c r="K25" s="854"/>
      <c r="L25" s="854"/>
      <c r="M25" s="854"/>
      <c r="N25" s="854"/>
      <c r="O25" s="854"/>
      <c r="P25" s="854"/>
      <c r="Q25" s="854"/>
      <c r="R25" s="854"/>
      <c r="S25" s="854"/>
      <c r="T25" s="361"/>
      <c r="U25" s="361"/>
      <c r="V25" s="362"/>
      <c r="W25" s="851"/>
      <c r="X25" s="852"/>
      <c r="Y25" s="852"/>
      <c r="Z25" s="852"/>
      <c r="AA25" s="852"/>
      <c r="AB25" s="852"/>
      <c r="AC25" s="852"/>
      <c r="AD25" s="852"/>
      <c r="AE25" s="852"/>
      <c r="AF25" s="852"/>
      <c r="AG25" s="852"/>
      <c r="AH25" s="852"/>
      <c r="AI25" s="852"/>
      <c r="AJ25" s="852"/>
      <c r="AK25" s="852"/>
      <c r="AL25" s="852"/>
      <c r="AM25" s="852"/>
      <c r="AN25" s="852"/>
      <c r="AO25" s="852"/>
      <c r="AP25" s="852"/>
      <c r="AQ25" s="852"/>
      <c r="AR25" s="852"/>
      <c r="AS25" s="852"/>
      <c r="AT25" s="852"/>
      <c r="AU25" s="852"/>
      <c r="AV25" s="852"/>
      <c r="AW25" s="852"/>
      <c r="AX25" s="852"/>
      <c r="AY25" s="853"/>
      <c r="AZ25" s="5"/>
    </row>
    <row r="26" spans="1:76" ht="18" customHeight="1">
      <c r="A26" s="5"/>
      <c r="B26" s="1057"/>
      <c r="C26" s="1065" t="s">
        <v>83</v>
      </c>
      <c r="D26" s="1065"/>
      <c r="E26" s="1065"/>
      <c r="F26" s="1065"/>
      <c r="G26" s="1066"/>
      <c r="H26" s="363"/>
      <c r="I26" s="364"/>
      <c r="J26" s="364"/>
      <c r="K26" s="364"/>
      <c r="L26" s="364"/>
      <c r="M26" s="364"/>
      <c r="N26" s="364"/>
      <c r="O26" s="364"/>
      <c r="P26" s="364"/>
      <c r="Q26" s="364"/>
      <c r="R26" s="364"/>
      <c r="S26" s="364"/>
      <c r="T26" s="364"/>
      <c r="U26" s="364"/>
      <c r="V26" s="365"/>
      <c r="W26" s="851"/>
      <c r="X26" s="852"/>
      <c r="Y26" s="852"/>
      <c r="Z26" s="852"/>
      <c r="AA26" s="852"/>
      <c r="AB26" s="852"/>
      <c r="AC26" s="852"/>
      <c r="AD26" s="852"/>
      <c r="AE26" s="852"/>
      <c r="AF26" s="852"/>
      <c r="AG26" s="852"/>
      <c r="AH26" s="852"/>
      <c r="AI26" s="852"/>
      <c r="AJ26" s="852"/>
      <c r="AK26" s="852"/>
      <c r="AL26" s="852"/>
      <c r="AM26" s="852"/>
      <c r="AN26" s="852"/>
      <c r="AO26" s="852"/>
      <c r="AP26" s="852"/>
      <c r="AQ26" s="852"/>
      <c r="AR26" s="852"/>
      <c r="AS26" s="852"/>
      <c r="AT26" s="852"/>
      <c r="AU26" s="852"/>
      <c r="AV26" s="852"/>
      <c r="AW26" s="852"/>
      <c r="AX26" s="852"/>
      <c r="AY26" s="853"/>
      <c r="AZ26" s="5"/>
    </row>
    <row r="27" spans="1:76" ht="18" customHeight="1">
      <c r="A27" s="5"/>
      <c r="B27" s="1057"/>
      <c r="C27" s="1067"/>
      <c r="D27" s="1067"/>
      <c r="E27" s="1067"/>
      <c r="F27" s="1067"/>
      <c r="G27" s="1068"/>
      <c r="H27" s="111" t="s">
        <v>80</v>
      </c>
      <c r="I27" s="603"/>
      <c r="J27" s="712"/>
      <c r="K27" s="712"/>
      <c r="L27" s="112" t="s">
        <v>81</v>
      </c>
      <c r="M27" s="603"/>
      <c r="N27" s="603"/>
      <c r="O27" s="603"/>
      <c r="P27" s="603"/>
      <c r="Q27" s="112" t="s">
        <v>82</v>
      </c>
      <c r="R27" s="603"/>
      <c r="S27" s="603"/>
      <c r="T27" s="603"/>
      <c r="U27" s="603"/>
      <c r="V27" s="604"/>
      <c r="W27" s="851"/>
      <c r="X27" s="852"/>
      <c r="Y27" s="852"/>
      <c r="Z27" s="852"/>
      <c r="AA27" s="852"/>
      <c r="AB27" s="852"/>
      <c r="AC27" s="852"/>
      <c r="AD27" s="852"/>
      <c r="AE27" s="852"/>
      <c r="AF27" s="852"/>
      <c r="AG27" s="852"/>
      <c r="AH27" s="852"/>
      <c r="AI27" s="852"/>
      <c r="AJ27" s="852"/>
      <c r="AK27" s="852"/>
      <c r="AL27" s="852"/>
      <c r="AM27" s="852"/>
      <c r="AN27" s="852"/>
      <c r="AO27" s="852"/>
      <c r="AP27" s="852"/>
      <c r="AQ27" s="852"/>
      <c r="AR27" s="852"/>
      <c r="AS27" s="852"/>
      <c r="AT27" s="852"/>
      <c r="AU27" s="852"/>
      <c r="AV27" s="852"/>
      <c r="AW27" s="852"/>
      <c r="AX27" s="852"/>
      <c r="AY27" s="853"/>
      <c r="AZ27" s="5"/>
    </row>
    <row r="28" spans="1:76" ht="18" customHeight="1">
      <c r="A28" s="5"/>
      <c r="B28" s="1057"/>
      <c r="C28" s="1067"/>
      <c r="D28" s="1067"/>
      <c r="E28" s="1067"/>
      <c r="F28" s="1067"/>
      <c r="G28" s="1068"/>
      <c r="H28" s="111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3"/>
      <c r="W28" s="851"/>
      <c r="X28" s="852"/>
      <c r="Y28" s="852"/>
      <c r="Z28" s="852"/>
      <c r="AA28" s="852"/>
      <c r="AB28" s="852"/>
      <c r="AC28" s="852"/>
      <c r="AD28" s="852"/>
      <c r="AE28" s="852"/>
      <c r="AF28" s="852"/>
      <c r="AG28" s="852"/>
      <c r="AH28" s="852"/>
      <c r="AI28" s="852"/>
      <c r="AJ28" s="852"/>
      <c r="AK28" s="852"/>
      <c r="AL28" s="852"/>
      <c r="AM28" s="852"/>
      <c r="AN28" s="852"/>
      <c r="AO28" s="852"/>
      <c r="AP28" s="852"/>
      <c r="AQ28" s="852"/>
      <c r="AR28" s="852"/>
      <c r="AS28" s="852"/>
      <c r="AT28" s="852"/>
      <c r="AU28" s="852"/>
      <c r="AV28" s="852"/>
      <c r="AW28" s="852"/>
      <c r="AX28" s="852"/>
      <c r="AY28" s="853"/>
      <c r="AZ28" s="5"/>
    </row>
    <row r="29" spans="1:76" ht="18" customHeight="1">
      <c r="A29" s="5"/>
      <c r="B29" s="1058"/>
      <c r="C29" s="1071" t="s">
        <v>84</v>
      </c>
      <c r="D29" s="1072"/>
      <c r="E29" s="1072"/>
      <c r="F29" s="1072"/>
      <c r="G29" s="1072"/>
      <c r="H29" s="833"/>
      <c r="I29" s="834"/>
      <c r="J29" s="834"/>
      <c r="K29" s="834"/>
      <c r="L29" s="834"/>
      <c r="M29" s="834"/>
      <c r="N29" s="834"/>
      <c r="O29" s="834"/>
      <c r="P29" s="834"/>
      <c r="Q29" s="834"/>
      <c r="R29" s="834"/>
      <c r="S29" s="834"/>
      <c r="T29" s="834"/>
      <c r="U29" s="834"/>
      <c r="V29" s="834"/>
      <c r="W29" s="834"/>
      <c r="X29" s="834"/>
      <c r="Y29" s="834"/>
      <c r="Z29" s="834"/>
      <c r="AA29" s="12" t="s">
        <v>85</v>
      </c>
      <c r="AB29" s="834"/>
      <c r="AC29" s="834"/>
      <c r="AD29" s="834"/>
      <c r="AE29" s="834"/>
      <c r="AF29" s="834"/>
      <c r="AG29" s="834"/>
      <c r="AH29" s="834"/>
      <c r="AI29" s="834"/>
      <c r="AJ29" s="834"/>
      <c r="AK29" s="834"/>
      <c r="AL29" s="834"/>
      <c r="AM29" s="834"/>
      <c r="AN29" s="834"/>
      <c r="AO29" s="834"/>
      <c r="AP29" s="834"/>
      <c r="AQ29" s="834"/>
      <c r="AR29" s="834"/>
      <c r="AS29" s="834"/>
      <c r="AT29" s="834"/>
      <c r="AU29" s="834"/>
      <c r="AV29" s="834"/>
      <c r="AW29" s="834"/>
      <c r="AX29" s="834"/>
      <c r="AY29" s="834"/>
      <c r="AZ29" s="5"/>
    </row>
    <row r="30" spans="1:76" s="7" customFormat="1" ht="13.5" customHeight="1">
      <c r="A30" s="273"/>
      <c r="B30" s="838"/>
      <c r="C30" s="839"/>
      <c r="D30" s="839"/>
      <c r="E30" s="839"/>
      <c r="F30" s="839"/>
      <c r="G30" s="839"/>
      <c r="H30" s="839"/>
      <c r="I30" s="839"/>
      <c r="J30" s="839"/>
      <c r="K30" s="839"/>
      <c r="L30" s="839"/>
      <c r="M30" s="839"/>
      <c r="N30" s="839"/>
      <c r="O30" s="839"/>
      <c r="P30" s="839"/>
      <c r="Q30" s="839"/>
      <c r="R30" s="839"/>
      <c r="S30" s="839"/>
      <c r="T30" s="839"/>
      <c r="U30" s="839"/>
      <c r="V30" s="839"/>
      <c r="W30" s="839"/>
      <c r="X30" s="839"/>
      <c r="Y30" s="839"/>
      <c r="Z30" s="839"/>
      <c r="AA30" s="839"/>
      <c r="AB30" s="839"/>
      <c r="AC30" s="839"/>
      <c r="AD30" s="839"/>
      <c r="AE30" s="839"/>
      <c r="AF30" s="839"/>
      <c r="AG30" s="839"/>
      <c r="AH30" s="839"/>
      <c r="AI30" s="839"/>
      <c r="AJ30" s="839"/>
      <c r="AK30" s="839"/>
      <c r="AL30" s="839"/>
      <c r="AM30" s="839"/>
      <c r="AN30" s="839"/>
      <c r="AO30" s="839"/>
      <c r="AP30" s="839"/>
      <c r="AQ30" s="839"/>
      <c r="AR30" s="839"/>
      <c r="AS30" s="839"/>
      <c r="AT30" s="839"/>
      <c r="AU30" s="839"/>
      <c r="AV30" s="839"/>
      <c r="AW30" s="839"/>
      <c r="AX30" s="839"/>
      <c r="AY30" s="839"/>
      <c r="AZ30" s="270"/>
      <c r="BK30" s="8"/>
    </row>
    <row r="31" spans="1:76" s="10" customFormat="1" ht="13.5" customHeight="1">
      <c r="A31" s="260"/>
      <c r="B31" s="259" t="s">
        <v>86</v>
      </c>
      <c r="C31" s="260"/>
      <c r="D31" s="260"/>
      <c r="E31" s="260"/>
      <c r="F31" s="260"/>
      <c r="G31" s="261" t="s">
        <v>87</v>
      </c>
      <c r="H31" s="260"/>
      <c r="I31" s="260"/>
      <c r="J31" s="260"/>
      <c r="K31" s="260"/>
      <c r="L31" s="260"/>
      <c r="M31" s="260"/>
      <c r="N31" s="260"/>
      <c r="O31" s="260"/>
      <c r="P31" s="260"/>
      <c r="Q31" s="260"/>
      <c r="R31" s="260"/>
      <c r="S31" s="260"/>
      <c r="T31" s="260"/>
      <c r="U31" s="260"/>
      <c r="V31" s="260"/>
      <c r="W31" s="260"/>
      <c r="X31" s="260"/>
      <c r="Y31" s="260"/>
      <c r="Z31" s="260"/>
      <c r="AA31" s="260"/>
      <c r="AB31" s="260"/>
      <c r="AC31" s="260"/>
      <c r="AD31" s="260"/>
      <c r="AE31" s="260"/>
      <c r="AF31" s="260"/>
      <c r="AG31" s="260"/>
      <c r="AH31" s="260"/>
      <c r="AI31" s="260"/>
      <c r="AJ31" s="260"/>
      <c r="AK31" s="260"/>
      <c r="AL31" s="260"/>
      <c r="AM31" s="260"/>
      <c r="AN31" s="260"/>
      <c r="AO31" s="260"/>
      <c r="AP31" s="260"/>
      <c r="AQ31" s="260"/>
      <c r="AR31" s="260"/>
      <c r="AS31" s="260"/>
      <c r="AT31" s="260"/>
      <c r="AU31" s="260"/>
      <c r="AV31" s="260"/>
      <c r="AW31" s="260"/>
      <c r="AX31" s="260"/>
      <c r="AY31" s="260"/>
      <c r="AZ31" s="274"/>
      <c r="BC31" s="13"/>
      <c r="BK31" s="15"/>
      <c r="BX31" s="13"/>
    </row>
    <row r="32" spans="1:76" ht="24" customHeight="1">
      <c r="A32" s="272"/>
      <c r="B32" s="840" t="s">
        <v>88</v>
      </c>
      <c r="C32" s="840"/>
      <c r="D32" s="840"/>
      <c r="E32" s="840"/>
      <c r="F32" s="840"/>
      <c r="G32" s="840"/>
      <c r="H32" s="376"/>
      <c r="I32" s="377" t="s">
        <v>774</v>
      </c>
      <c r="J32" s="994" t="s">
        <v>89</v>
      </c>
      <c r="K32" s="994"/>
      <c r="L32" s="995"/>
      <c r="M32" s="1044" t="s">
        <v>734</v>
      </c>
      <c r="N32" s="1045"/>
      <c r="O32" s="1045"/>
      <c r="P32" s="1045"/>
      <c r="Q32" s="1045"/>
      <c r="R32" s="1045"/>
      <c r="S32" s="1045"/>
      <c r="T32" s="1045"/>
      <c r="U32" s="1045"/>
      <c r="V32" s="1045"/>
      <c r="W32" s="1045"/>
      <c r="X32" s="713" t="s">
        <v>68</v>
      </c>
      <c r="Y32" s="731"/>
      <c r="Z32" s="732" t="s">
        <v>90</v>
      </c>
      <c r="AA32" s="715"/>
      <c r="AB32" s="715"/>
      <c r="AC32" s="715"/>
      <c r="AD32" s="715"/>
      <c r="AE32" s="733"/>
      <c r="AF32" s="713" t="s">
        <v>68</v>
      </c>
      <c r="AG32" s="714"/>
      <c r="AH32" s="715" t="s">
        <v>735</v>
      </c>
      <c r="AI32" s="715"/>
      <c r="AJ32" s="715"/>
      <c r="AK32" s="715"/>
      <c r="AL32" s="715"/>
      <c r="AM32" s="715"/>
      <c r="AN32" s="716"/>
      <c r="AO32" s="717"/>
      <c r="AP32" s="717"/>
      <c r="AQ32" s="717"/>
      <c r="AR32" s="717"/>
      <c r="AS32" s="717"/>
      <c r="AT32" s="717"/>
      <c r="AU32" s="717"/>
      <c r="AV32" s="717"/>
      <c r="AW32" s="717"/>
      <c r="AX32" s="717"/>
      <c r="AY32" s="718"/>
      <c r="AZ32" s="5"/>
    </row>
    <row r="33" spans="1:75" ht="26.25" hidden="1" customHeight="1">
      <c r="A33" s="272"/>
      <c r="B33" s="373"/>
      <c r="C33" s="373"/>
      <c r="D33" s="373"/>
      <c r="E33" s="373"/>
      <c r="F33" s="373"/>
      <c r="G33" s="371"/>
      <c r="H33" s="375"/>
      <c r="I33" s="374"/>
      <c r="J33" s="185"/>
      <c r="K33" s="185"/>
      <c r="L33" s="282"/>
      <c r="M33" s="238"/>
      <c r="N33" s="238"/>
      <c r="O33" s="238"/>
      <c r="P33" s="238"/>
      <c r="Q33" s="238"/>
      <c r="R33" s="238"/>
      <c r="S33" s="238"/>
      <c r="T33" s="238"/>
      <c r="U33" s="238"/>
      <c r="V33" s="238"/>
      <c r="W33" s="238"/>
      <c r="X33" s="374"/>
      <c r="Y33" s="374"/>
      <c r="Z33" s="229"/>
      <c r="AA33" s="229"/>
      <c r="AB33" s="229"/>
      <c r="AC33" s="229"/>
      <c r="AD33" s="229"/>
      <c r="AE33" s="229"/>
      <c r="AF33" s="374"/>
      <c r="AG33" s="374"/>
      <c r="AH33" s="239"/>
      <c r="AI33" s="228"/>
      <c r="AJ33" s="228"/>
      <c r="AK33" s="228"/>
      <c r="AL33" s="228"/>
      <c r="AM33" s="228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83"/>
      <c r="AZ33" s="5"/>
    </row>
    <row r="34" spans="1:75" ht="26.25" hidden="1" customHeight="1">
      <c r="A34" s="272"/>
      <c r="B34" s="373"/>
      <c r="C34" s="373"/>
      <c r="D34" s="373"/>
      <c r="E34" s="373"/>
      <c r="F34" s="373"/>
      <c r="G34" s="371"/>
      <c r="H34" s="193"/>
      <c r="I34" s="354"/>
      <c r="J34" s="184"/>
      <c r="K34" s="184"/>
      <c r="L34" s="282"/>
      <c r="M34" s="238" t="s">
        <v>68</v>
      </c>
      <c r="N34" s="238"/>
      <c r="O34" s="238"/>
      <c r="P34" s="238"/>
      <c r="Q34" s="238"/>
      <c r="R34" s="238"/>
      <c r="S34" s="238"/>
      <c r="T34" s="238"/>
      <c r="U34" s="238" t="s">
        <v>68</v>
      </c>
      <c r="V34" s="238"/>
      <c r="W34" s="238"/>
      <c r="X34" s="374"/>
      <c r="Y34" s="374"/>
      <c r="Z34" s="229"/>
      <c r="AA34" s="229"/>
      <c r="AB34" s="229"/>
      <c r="AC34" s="229"/>
      <c r="AD34" s="229"/>
      <c r="AE34" s="229"/>
      <c r="AF34" s="374"/>
      <c r="AG34" s="374"/>
      <c r="AH34" s="239"/>
      <c r="AI34" s="228"/>
      <c r="AJ34" s="228"/>
      <c r="AK34" s="228"/>
      <c r="AL34" s="228"/>
      <c r="AM34" s="228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83"/>
      <c r="AZ34" s="5"/>
    </row>
    <row r="35" spans="1:75" s="7" customFormat="1" ht="12" hidden="1" customHeight="1">
      <c r="A35" s="271"/>
      <c r="B35" s="1046" t="s">
        <v>91</v>
      </c>
      <c r="C35" s="1047"/>
      <c r="D35" s="1047"/>
      <c r="E35" s="1047"/>
      <c r="F35" s="1047"/>
      <c r="G35" s="1048"/>
      <c r="H35" s="701" t="s">
        <v>68</v>
      </c>
      <c r="I35" s="702"/>
      <c r="J35" s="702"/>
      <c r="K35" s="702"/>
      <c r="L35" s="1049" t="s">
        <v>92</v>
      </c>
      <c r="M35" s="691"/>
      <c r="N35" s="691"/>
      <c r="O35" s="691"/>
      <c r="P35" s="691"/>
      <c r="Q35" s="691"/>
      <c r="R35" s="691"/>
      <c r="S35" s="691"/>
      <c r="T35" s="691"/>
      <c r="U35" s="691"/>
      <c r="V35" s="284" t="s">
        <v>93</v>
      </c>
      <c r="W35" s="692"/>
      <c r="X35" s="693"/>
      <c r="Y35" s="719" t="s">
        <v>94</v>
      </c>
      <c r="Z35" s="720"/>
      <c r="AA35" s="720"/>
      <c r="AB35" s="720"/>
      <c r="AC35" s="721"/>
      <c r="AD35" s="1050" t="s">
        <v>68</v>
      </c>
      <c r="AE35" s="1051"/>
      <c r="AF35" s="1051"/>
      <c r="AG35" s="1051"/>
      <c r="AH35" s="1052" t="s">
        <v>95</v>
      </c>
      <c r="AI35" s="690"/>
      <c r="AJ35" s="690"/>
      <c r="AK35" s="690"/>
      <c r="AL35" s="690"/>
      <c r="AM35" s="690"/>
      <c r="AN35" s="691"/>
      <c r="AO35" s="691"/>
      <c r="AP35" s="691"/>
      <c r="AQ35" s="284" t="s">
        <v>93</v>
      </c>
      <c r="AR35" s="692"/>
      <c r="AS35" s="693"/>
      <c r="AT35" s="719" t="s">
        <v>94</v>
      </c>
      <c r="AU35" s="720"/>
      <c r="AV35" s="720"/>
      <c r="AW35" s="720"/>
      <c r="AX35" s="720"/>
      <c r="AY35" s="723"/>
      <c r="AZ35" s="270"/>
      <c r="BK35" s="8"/>
    </row>
    <row r="36" spans="1:75" s="7" customFormat="1" ht="26.25" customHeight="1">
      <c r="A36" s="271"/>
      <c r="B36" s="1046"/>
      <c r="C36" s="1047"/>
      <c r="D36" s="1047"/>
      <c r="E36" s="1047"/>
      <c r="F36" s="1047"/>
      <c r="G36" s="1048"/>
      <c r="H36" s="699" t="s">
        <v>68</v>
      </c>
      <c r="I36" s="710"/>
      <c r="J36" s="710"/>
      <c r="K36" s="710"/>
      <c r="L36" s="711" t="s">
        <v>97</v>
      </c>
      <c r="M36" s="711"/>
      <c r="N36" s="711"/>
      <c r="O36" s="711"/>
      <c r="P36" s="711"/>
      <c r="Q36" s="711"/>
      <c r="R36" s="711"/>
      <c r="S36" s="711"/>
      <c r="T36" s="711"/>
      <c r="U36" s="711"/>
      <c r="V36" s="190" t="s">
        <v>93</v>
      </c>
      <c r="W36" s="699"/>
      <c r="X36" s="700"/>
      <c r="Y36" s="687" t="s">
        <v>94</v>
      </c>
      <c r="Z36" s="688"/>
      <c r="AA36" s="688"/>
      <c r="AB36" s="688"/>
      <c r="AC36" s="689"/>
      <c r="AD36" s="699" t="s">
        <v>68</v>
      </c>
      <c r="AE36" s="710"/>
      <c r="AF36" s="710"/>
      <c r="AG36" s="710"/>
      <c r="AH36" s="698" t="s">
        <v>99</v>
      </c>
      <c r="AI36" s="698"/>
      <c r="AJ36" s="698"/>
      <c r="AK36" s="698"/>
      <c r="AL36" s="698"/>
      <c r="AM36" s="698"/>
      <c r="AN36" s="698"/>
      <c r="AO36" s="698"/>
      <c r="AP36" s="698"/>
      <c r="AQ36" s="207" t="s">
        <v>93</v>
      </c>
      <c r="AR36" s="699"/>
      <c r="AS36" s="700"/>
      <c r="AT36" s="687" t="s">
        <v>94</v>
      </c>
      <c r="AU36" s="688"/>
      <c r="AV36" s="688"/>
      <c r="AW36" s="688"/>
      <c r="AX36" s="688"/>
      <c r="AY36" s="689"/>
      <c r="AZ36" s="270"/>
      <c r="BK36" s="8"/>
    </row>
    <row r="37" spans="1:75" s="7" customFormat="1" ht="26.25" customHeight="1">
      <c r="A37" s="271"/>
      <c r="B37" s="1046"/>
      <c r="C37" s="1047"/>
      <c r="D37" s="1047"/>
      <c r="E37" s="1047"/>
      <c r="F37" s="1047"/>
      <c r="G37" s="1048"/>
      <c r="H37" s="701" t="s">
        <v>68</v>
      </c>
      <c r="I37" s="702"/>
      <c r="J37" s="702"/>
      <c r="K37" s="702"/>
      <c r="L37" s="703" t="s">
        <v>100</v>
      </c>
      <c r="M37" s="703"/>
      <c r="N37" s="703"/>
      <c r="O37" s="703"/>
      <c r="P37" s="703"/>
      <c r="Q37" s="703"/>
      <c r="R37" s="703"/>
      <c r="S37" s="703"/>
      <c r="T37" s="703"/>
      <c r="U37" s="703"/>
      <c r="V37" s="191" t="s">
        <v>93</v>
      </c>
      <c r="W37" s="704"/>
      <c r="X37" s="705"/>
      <c r="Y37" s="706" t="s">
        <v>94</v>
      </c>
      <c r="Z37" s="707"/>
      <c r="AA37" s="707"/>
      <c r="AB37" s="707"/>
      <c r="AC37" s="708"/>
      <c r="AD37" s="699" t="s">
        <v>68</v>
      </c>
      <c r="AE37" s="710"/>
      <c r="AF37" s="710"/>
      <c r="AG37" s="710"/>
      <c r="AH37" s="709" t="s">
        <v>101</v>
      </c>
      <c r="AI37" s="709"/>
      <c r="AJ37" s="709"/>
      <c r="AK37" s="709"/>
      <c r="AL37" s="709"/>
      <c r="AM37" s="709"/>
      <c r="AN37" s="709"/>
      <c r="AO37" s="709"/>
      <c r="AP37" s="709"/>
      <c r="AQ37" s="190" t="s">
        <v>93</v>
      </c>
      <c r="AR37" s="704"/>
      <c r="AS37" s="705"/>
      <c r="AT37" s="687" t="s">
        <v>94</v>
      </c>
      <c r="AU37" s="688"/>
      <c r="AV37" s="688"/>
      <c r="AW37" s="688"/>
      <c r="AX37" s="688"/>
      <c r="AY37" s="689"/>
      <c r="AZ37" s="270"/>
      <c r="BK37" s="8"/>
    </row>
    <row r="38" spans="1:75" s="7" customFormat="1" ht="26.25" customHeight="1">
      <c r="A38" s="271"/>
      <c r="B38" s="1038" t="s">
        <v>102</v>
      </c>
      <c r="C38" s="1039"/>
      <c r="D38" s="1039"/>
      <c r="E38" s="1039"/>
      <c r="F38" s="1039"/>
      <c r="G38" s="1040"/>
      <c r="H38" s="518" t="s">
        <v>68</v>
      </c>
      <c r="I38" s="519"/>
      <c r="J38" s="657"/>
      <c r="K38" s="657"/>
      <c r="L38" s="866" t="s">
        <v>103</v>
      </c>
      <c r="M38" s="866"/>
      <c r="N38" s="866"/>
      <c r="O38" s="866"/>
      <c r="P38" s="866"/>
      <c r="Q38" s="866"/>
      <c r="R38" s="866"/>
      <c r="S38" s="866"/>
      <c r="T38" s="866"/>
      <c r="U38" s="866"/>
      <c r="V38" s="184" t="s">
        <v>93</v>
      </c>
      <c r="W38" s="867"/>
      <c r="X38" s="868"/>
      <c r="Y38" s="706" t="s">
        <v>94</v>
      </c>
      <c r="Z38" s="707"/>
      <c r="AA38" s="707"/>
      <c r="AB38" s="707"/>
      <c r="AC38" s="708"/>
      <c r="AD38" s="869" t="s">
        <v>68</v>
      </c>
      <c r="AE38" s="870"/>
      <c r="AF38" s="870"/>
      <c r="AG38" s="870"/>
      <c r="AH38" s="634" t="s">
        <v>739</v>
      </c>
      <c r="AI38" s="634"/>
      <c r="AJ38" s="634"/>
      <c r="AK38" s="634"/>
      <c r="AL38" s="634"/>
      <c r="AM38" s="634"/>
      <c r="AN38" s="634"/>
      <c r="AO38" s="634"/>
      <c r="AP38" s="634"/>
      <c r="AQ38" s="185" t="s">
        <v>93</v>
      </c>
      <c r="AR38" s="867"/>
      <c r="AS38" s="868"/>
      <c r="AT38" s="687" t="s">
        <v>94</v>
      </c>
      <c r="AU38" s="688"/>
      <c r="AV38" s="688"/>
      <c r="AW38" s="688"/>
      <c r="AX38" s="688"/>
      <c r="AY38" s="689"/>
      <c r="AZ38" s="270"/>
      <c r="BK38" s="8"/>
    </row>
    <row r="39" spans="1:75" s="7" customFormat="1" ht="26.25" customHeight="1">
      <c r="A39" s="271"/>
      <c r="B39" s="1041"/>
      <c r="C39" s="1042"/>
      <c r="D39" s="1042"/>
      <c r="E39" s="1042"/>
      <c r="F39" s="1042"/>
      <c r="G39" s="1043"/>
      <c r="H39" s="518" t="s">
        <v>68</v>
      </c>
      <c r="I39" s="519"/>
      <c r="J39" s="657"/>
      <c r="K39" s="657"/>
      <c r="L39" s="877" t="s">
        <v>784</v>
      </c>
      <c r="M39" s="877"/>
      <c r="N39" s="878"/>
      <c r="O39" s="878"/>
      <c r="P39" s="878"/>
      <c r="Q39" s="878"/>
      <c r="R39" s="878"/>
      <c r="S39" s="878"/>
      <c r="T39" s="878"/>
      <c r="U39" s="878"/>
      <c r="V39" s="184" t="s">
        <v>93</v>
      </c>
      <c r="W39" s="867"/>
      <c r="X39" s="868"/>
      <c r="Y39" s="706" t="s">
        <v>94</v>
      </c>
      <c r="Z39" s="707"/>
      <c r="AA39" s="707"/>
      <c r="AB39" s="707"/>
      <c r="AC39" s="708"/>
      <c r="AD39" s="869" t="s">
        <v>68</v>
      </c>
      <c r="AE39" s="870"/>
      <c r="AF39" s="870"/>
      <c r="AG39" s="870"/>
      <c r="AH39" s="634" t="s">
        <v>783</v>
      </c>
      <c r="AI39" s="634"/>
      <c r="AJ39" s="634"/>
      <c r="AK39" s="634"/>
      <c r="AL39" s="634"/>
      <c r="AM39" s="634"/>
      <c r="AN39" s="634"/>
      <c r="AO39" s="634"/>
      <c r="AP39" s="634"/>
      <c r="AQ39" s="185" t="s">
        <v>93</v>
      </c>
      <c r="AR39" s="867"/>
      <c r="AS39" s="868"/>
      <c r="AT39" s="687" t="s">
        <v>94</v>
      </c>
      <c r="AU39" s="688"/>
      <c r="AV39" s="688"/>
      <c r="AW39" s="688"/>
      <c r="AX39" s="688"/>
      <c r="AY39" s="689"/>
      <c r="AZ39" s="270"/>
      <c r="BK39" s="8"/>
    </row>
    <row r="40" spans="1:75" ht="37.5" customHeight="1">
      <c r="A40" s="272"/>
      <c r="B40" s="1035" t="s">
        <v>104</v>
      </c>
      <c r="C40" s="1036"/>
      <c r="D40" s="1036"/>
      <c r="E40" s="1036"/>
      <c r="F40" s="1036"/>
      <c r="G40" s="1037"/>
      <c r="H40" s="683" t="s">
        <v>51</v>
      </c>
      <c r="I40" s="684"/>
      <c r="J40" s="674"/>
      <c r="K40" s="675"/>
      <c r="L40" s="675"/>
      <c r="M40" s="676"/>
      <c r="N40" s="369" t="s">
        <v>52</v>
      </c>
      <c r="O40" s="685"/>
      <c r="P40" s="686"/>
      <c r="Q40" s="686"/>
      <c r="R40" s="686"/>
      <c r="S40" s="264" t="s">
        <v>53</v>
      </c>
      <c r="T40" s="674"/>
      <c r="U40" s="675"/>
      <c r="V40" s="675"/>
      <c r="W40" s="676"/>
      <c r="X40" s="368" t="s">
        <v>54</v>
      </c>
      <c r="Y40" s="677" t="s">
        <v>1031</v>
      </c>
      <c r="Z40" s="678"/>
      <c r="AA40" s="678"/>
      <c r="AB40" s="678"/>
      <c r="AC40" s="678"/>
      <c r="AD40" s="678"/>
      <c r="AE40" s="678"/>
      <c r="AF40" s="678"/>
      <c r="AG40" s="678"/>
      <c r="AH40" s="678"/>
      <c r="AI40" s="678"/>
      <c r="AJ40" s="678"/>
      <c r="AK40" s="678"/>
      <c r="AL40" s="678"/>
      <c r="AM40" s="678"/>
      <c r="AN40" s="678"/>
      <c r="AO40" s="678"/>
      <c r="AP40" s="678"/>
      <c r="AQ40" s="678"/>
      <c r="AR40" s="678"/>
      <c r="AS40" s="678"/>
      <c r="AT40" s="678"/>
      <c r="AU40" s="678"/>
      <c r="AV40" s="678"/>
      <c r="AW40" s="678"/>
      <c r="AX40" s="678"/>
      <c r="AY40" s="679"/>
      <c r="AZ40" s="5"/>
      <c r="BD40" s="668" t="str">
        <f>J40&amp;"/"&amp;O40&amp;"/"&amp;T40</f>
        <v>//</v>
      </c>
      <c r="BE40" s="669"/>
      <c r="BF40" s="669"/>
      <c r="BG40" s="669"/>
      <c r="BH40" s="669"/>
      <c r="BI40" s="670"/>
      <c r="BJ40" s="17" t="e">
        <v>#VALUE!</v>
      </c>
      <c r="BK40" s="668" t="e">
        <f>IF(AND(#REF!="",#REF!=""),"",
   IF(AND(#REF!="□",OR(#REF!=
       "北海道",#REF!=
       "大分県",#REF!=
       "福岡県",#REF!=
       "佐賀県",#REF!=
       "長崎県",#REF!=
       "熊本県",#REF!=
       "宮崎県",#REF!=
       "鹿児島県")),#REF!,
           IF(OR(#REF!="沖縄県",AND(#REF!="■",OR(#REF!=
              "北海道",#REF!=
              "大分県",#REF!=
              "福岡県",#REF!=
              "佐賀県",#REF!=
              "長崎県",#REF!=
              "熊本県",#REF!=
              "宮崎県",#REF!=
              "鹿児島県"))),#REF!,
                     IF(OR(AND(#REF!="■",#REF!&lt;&gt;
                            "北海道",#REF!&lt;&gt;
                            "大分県",#REF!&lt;&gt;
                            "福岡県",#REF!&lt;&gt;
                            "佐賀県",#REF!&lt;&gt;
                            "長崎県",#REF!&lt;&gt;
                            "熊本県",#REF!&lt;&gt;
                            "宮崎県",#REF!&lt;&gt;
                            "鹿児島県",#REF!&lt;&gt;
                            "沖縄県")),#REF!,#REF!
))))</f>
        <v>#REF!</v>
      </c>
      <c r="BL40" s="669"/>
      <c r="BM40" s="669"/>
      <c r="BN40" s="669"/>
      <c r="BO40" s="669"/>
      <c r="BP40" s="670"/>
      <c r="BQ40" s="17"/>
      <c r="BR40" s="668" t="e">
        <f>#REF!</f>
        <v>#REF!</v>
      </c>
      <c r="BS40" s="669"/>
      <c r="BT40" s="669"/>
      <c r="BU40" s="669"/>
      <c r="BV40" s="669"/>
      <c r="BW40" s="670"/>
    </row>
    <row r="41" spans="1:75" ht="37.5" customHeight="1">
      <c r="A41" s="272"/>
      <c r="B41" s="1035" t="s">
        <v>105</v>
      </c>
      <c r="C41" s="1036"/>
      <c r="D41" s="1036"/>
      <c r="E41" s="1036"/>
      <c r="F41" s="1036"/>
      <c r="G41" s="1037"/>
      <c r="H41" s="673" t="s">
        <v>51</v>
      </c>
      <c r="I41" s="623"/>
      <c r="J41" s="674"/>
      <c r="K41" s="675"/>
      <c r="L41" s="675"/>
      <c r="M41" s="676"/>
      <c r="N41" s="369" t="s">
        <v>52</v>
      </c>
      <c r="O41" s="674"/>
      <c r="P41" s="675"/>
      <c r="Q41" s="675"/>
      <c r="R41" s="676"/>
      <c r="S41" s="264" t="s">
        <v>53</v>
      </c>
      <c r="T41" s="674"/>
      <c r="U41" s="675"/>
      <c r="V41" s="675"/>
      <c r="W41" s="676"/>
      <c r="X41" s="368" t="s">
        <v>54</v>
      </c>
      <c r="Y41" s="680"/>
      <c r="Z41" s="681"/>
      <c r="AA41" s="681"/>
      <c r="AB41" s="681"/>
      <c r="AC41" s="681"/>
      <c r="AD41" s="681"/>
      <c r="AE41" s="681"/>
      <c r="AF41" s="681"/>
      <c r="AG41" s="681"/>
      <c r="AH41" s="681"/>
      <c r="AI41" s="681"/>
      <c r="AJ41" s="681"/>
      <c r="AK41" s="681"/>
      <c r="AL41" s="681"/>
      <c r="AM41" s="681"/>
      <c r="AN41" s="681"/>
      <c r="AO41" s="681"/>
      <c r="AP41" s="681"/>
      <c r="AQ41" s="681"/>
      <c r="AR41" s="681"/>
      <c r="AS41" s="681"/>
      <c r="AT41" s="681"/>
      <c r="AU41" s="681"/>
      <c r="AV41" s="681"/>
      <c r="AW41" s="681"/>
      <c r="AX41" s="681"/>
      <c r="AY41" s="682"/>
      <c r="AZ41" s="5"/>
      <c r="BD41" s="668" t="str">
        <f>J41&amp;"/"&amp;O41&amp;"/"&amp;T41</f>
        <v>//</v>
      </c>
      <c r="BE41" s="669"/>
      <c r="BF41" s="669"/>
      <c r="BG41" s="669"/>
      <c r="BH41" s="669"/>
      <c r="BI41" s="670"/>
      <c r="BJ41" s="17" t="e">
        <v>#VALUE!</v>
      </c>
      <c r="BK41" s="668" t="e">
        <f>IF(AND(#REF!="",#REF!=""),"",
   IF(AND(#REF!="□",OR(#REF!=
       "北海道",#REF!=
       "大分県",#REF!=
       "福岡県",#REF!=
       "佐賀県",#REF!=
       "長崎県",#REF!=
       "熊本県",#REF!=
       "宮崎県",#REF!=
       "鹿児島県")),#REF!,
           IF(OR(#REF!="沖縄県",AND(#REF!="■",OR(#REF!=
              "北海道",#REF!=
              "大分県",#REF!=
              "福岡県",#REF!=
              "佐賀県",#REF!=
              "長崎県",#REF!=
              "熊本県",#REF!=
              "宮崎県",#REF!=
              "鹿児島県"))),#REF!,
                     IF(OR(AND(#REF!="■",#REF!&lt;&gt;
                            "北海道",#REF!&lt;&gt;
                            "大分県",#REF!&lt;&gt;
                            "福岡県",#REF!&lt;&gt;
                            "佐賀県",#REF!&lt;&gt;
                            "長崎県",#REF!&lt;&gt;
                            "熊本県",#REF!&lt;&gt;
                            "宮崎県",#REF!&lt;&gt;
                            "鹿児島県",#REF!&lt;&gt;
                            "沖縄県")),#REF!,#REF!
))))</f>
        <v>#REF!</v>
      </c>
      <c r="BL41" s="669"/>
      <c r="BM41" s="669"/>
      <c r="BN41" s="669"/>
      <c r="BO41" s="669"/>
      <c r="BP41" s="670"/>
      <c r="BQ41" s="17"/>
      <c r="BR41" s="668" t="e">
        <f>#REF!</f>
        <v>#REF!</v>
      </c>
      <c r="BS41" s="669"/>
      <c r="BT41" s="669"/>
      <c r="BU41" s="669"/>
      <c r="BV41" s="669"/>
      <c r="BW41" s="670"/>
    </row>
    <row r="42" spans="1:75" ht="37.5" hidden="1" customHeight="1">
      <c r="A42" s="272"/>
      <c r="B42" s="355"/>
      <c r="C42" s="355"/>
      <c r="D42" s="355"/>
      <c r="E42" s="355"/>
      <c r="F42" s="355"/>
      <c r="G42" s="366"/>
      <c r="H42" s="368"/>
      <c r="I42" s="242"/>
      <c r="J42" s="241"/>
      <c r="K42" s="241"/>
      <c r="L42" s="241"/>
      <c r="M42" s="241"/>
      <c r="N42" s="242"/>
      <c r="O42" s="241"/>
      <c r="P42" s="241"/>
      <c r="Q42" s="241"/>
      <c r="R42" s="241"/>
      <c r="S42" s="242"/>
      <c r="T42" s="241"/>
      <c r="U42" s="241"/>
      <c r="V42" s="241"/>
      <c r="W42" s="241"/>
      <c r="X42" s="242"/>
      <c r="Y42" s="235"/>
      <c r="Z42" s="236"/>
      <c r="AA42" s="236"/>
      <c r="AB42" s="236"/>
      <c r="AC42" s="236"/>
      <c r="AD42" s="236"/>
      <c r="AE42" s="236"/>
      <c r="AF42" s="236"/>
      <c r="AG42" s="236"/>
      <c r="AH42" s="236"/>
      <c r="AI42" s="236"/>
      <c r="AJ42" s="236"/>
      <c r="AK42" s="236"/>
      <c r="AL42" s="236"/>
      <c r="AM42" s="236"/>
      <c r="AN42" s="236"/>
      <c r="AO42" s="236"/>
      <c r="AP42" s="236"/>
      <c r="AQ42" s="236"/>
      <c r="AR42" s="236"/>
      <c r="AS42" s="236"/>
      <c r="AT42" s="236"/>
      <c r="AU42" s="236"/>
      <c r="AV42" s="236"/>
      <c r="AW42" s="236"/>
      <c r="AX42" s="236"/>
      <c r="AY42" s="237"/>
      <c r="AZ42" s="5"/>
      <c r="BD42" s="240"/>
      <c r="BE42" s="240"/>
      <c r="BF42" s="240"/>
      <c r="BG42" s="240"/>
      <c r="BH42" s="240"/>
      <c r="BI42" s="240"/>
      <c r="BJ42" s="14"/>
      <c r="BK42" s="240"/>
      <c r="BL42" s="240"/>
      <c r="BM42" s="240"/>
      <c r="BN42" s="240"/>
      <c r="BO42" s="240"/>
      <c r="BP42" s="240"/>
      <c r="BQ42" s="14"/>
      <c r="BR42" s="240"/>
      <c r="BS42" s="240"/>
      <c r="BT42" s="240"/>
      <c r="BU42" s="240"/>
      <c r="BV42" s="240"/>
      <c r="BW42" s="240"/>
    </row>
    <row r="43" spans="1:75" ht="15" customHeight="1">
      <c r="A43" s="272"/>
      <c r="B43" s="1019" t="s">
        <v>106</v>
      </c>
      <c r="C43" s="1020"/>
      <c r="D43" s="1020"/>
      <c r="E43" s="1020"/>
      <c r="F43" s="1020"/>
      <c r="G43" s="1021"/>
      <c r="H43" s="518" t="s">
        <v>68</v>
      </c>
      <c r="I43" s="633"/>
      <c r="J43" s="633"/>
      <c r="K43" s="634" t="s">
        <v>748</v>
      </c>
      <c r="L43" s="635"/>
      <c r="M43" s="635"/>
      <c r="N43" s="635"/>
      <c r="O43" s="635"/>
      <c r="P43" s="635"/>
      <c r="Q43" s="635"/>
      <c r="R43" s="635"/>
      <c r="S43" s="635"/>
      <c r="T43" s="635"/>
      <c r="U43" s="635"/>
      <c r="V43" s="635"/>
      <c r="W43" s="635"/>
      <c r="X43" s="636"/>
      <c r="Y43" s="621"/>
      <c r="Z43" s="622"/>
      <c r="AA43" s="623"/>
      <c r="AB43" s="623"/>
      <c r="AC43" s="623"/>
      <c r="AD43" s="623"/>
      <c r="AE43" s="623"/>
      <c r="AF43" s="623"/>
      <c r="AG43" s="623"/>
      <c r="AH43" s="623"/>
      <c r="AI43" s="623"/>
      <c r="AJ43" s="623"/>
      <c r="AK43" s="623"/>
      <c r="AL43" s="623"/>
      <c r="AM43" s="623"/>
      <c r="AN43" s="623"/>
      <c r="AO43" s="623"/>
      <c r="AP43" s="623"/>
      <c r="AQ43" s="623"/>
      <c r="AR43" s="623"/>
      <c r="AS43" s="623"/>
      <c r="AT43" s="623"/>
      <c r="AU43" s="623"/>
      <c r="AV43" s="623"/>
      <c r="AW43" s="623"/>
      <c r="AX43" s="623"/>
      <c r="AY43" s="624"/>
      <c r="AZ43" s="5"/>
    </row>
    <row r="44" spans="1:75" ht="15" customHeight="1">
      <c r="A44" s="272"/>
      <c r="B44" s="1022"/>
      <c r="C44" s="1023"/>
      <c r="D44" s="1023"/>
      <c r="E44" s="1023"/>
      <c r="F44" s="1023"/>
      <c r="G44" s="1024"/>
      <c r="H44" s="266" t="s">
        <v>56</v>
      </c>
      <c r="I44" s="625"/>
      <c r="J44" s="626"/>
      <c r="K44" s="626"/>
      <c r="L44" s="267" t="s">
        <v>58</v>
      </c>
      <c r="M44" s="627"/>
      <c r="N44" s="626"/>
      <c r="O44" s="626"/>
      <c r="P44" s="628"/>
      <c r="Q44" s="629" t="s">
        <v>55</v>
      </c>
      <c r="R44" s="630"/>
      <c r="S44" s="630"/>
      <c r="T44" s="631"/>
      <c r="U44" s="632"/>
      <c r="V44" s="632"/>
      <c r="W44" s="632"/>
      <c r="X44" s="632"/>
      <c r="Y44" s="632"/>
      <c r="Z44" s="632"/>
      <c r="AA44" s="632"/>
      <c r="AB44" s="632"/>
      <c r="AC44" s="632"/>
      <c r="AD44" s="632"/>
      <c r="AE44" s="632"/>
      <c r="AF44" s="632"/>
      <c r="AG44" s="632"/>
      <c r="AH44" s="632"/>
      <c r="AI44" s="632"/>
      <c r="AJ44" s="632"/>
      <c r="AK44" s="632"/>
      <c r="AL44" s="632"/>
      <c r="AM44" s="632"/>
      <c r="AN44" s="632"/>
      <c r="AO44" s="632"/>
      <c r="AP44" s="632"/>
      <c r="AQ44" s="632"/>
      <c r="AR44" s="632"/>
      <c r="AS44" s="632"/>
      <c r="AT44" s="632"/>
      <c r="AU44" s="632"/>
      <c r="AV44" s="632"/>
      <c r="AW44" s="632"/>
      <c r="AX44" s="632"/>
      <c r="AY44" s="632"/>
      <c r="AZ44" s="5"/>
    </row>
    <row r="45" spans="1:75" ht="15" customHeight="1">
      <c r="A45" s="272"/>
      <c r="B45" s="1022"/>
      <c r="C45" s="1023"/>
      <c r="D45" s="1023"/>
      <c r="E45" s="1023"/>
      <c r="F45" s="1023"/>
      <c r="G45" s="1024"/>
      <c r="H45" s="771" t="s">
        <v>62</v>
      </c>
      <c r="I45" s="638"/>
      <c r="J45" s="639"/>
      <c r="K45" s="788"/>
      <c r="L45" s="813"/>
      <c r="M45" s="813"/>
      <c r="N45" s="813"/>
      <c r="O45" s="813"/>
      <c r="P45" s="814"/>
      <c r="Q45" s="637" t="s">
        <v>110</v>
      </c>
      <c r="R45" s="638"/>
      <c r="S45" s="639"/>
      <c r="T45" s="640"/>
      <c r="U45" s="641"/>
      <c r="V45" s="641"/>
      <c r="W45" s="641"/>
      <c r="X45" s="641"/>
      <c r="Y45" s="641"/>
      <c r="Z45" s="641"/>
      <c r="AA45" s="642"/>
      <c r="AB45" s="637" t="s">
        <v>111</v>
      </c>
      <c r="AC45" s="646"/>
      <c r="AD45" s="647"/>
      <c r="AE45" s="651"/>
      <c r="AF45" s="652"/>
      <c r="AG45" s="652"/>
      <c r="AH45" s="652"/>
      <c r="AI45" s="652"/>
      <c r="AJ45" s="652"/>
      <c r="AK45" s="652"/>
      <c r="AL45" s="652"/>
      <c r="AM45" s="652"/>
      <c r="AN45" s="652"/>
      <c r="AO45" s="652"/>
      <c r="AP45" s="652"/>
      <c r="AQ45" s="652"/>
      <c r="AR45" s="652"/>
      <c r="AS45" s="652"/>
      <c r="AT45" s="652"/>
      <c r="AU45" s="652"/>
      <c r="AV45" s="652"/>
      <c r="AW45" s="652"/>
      <c r="AX45" s="652"/>
      <c r="AY45" s="653"/>
      <c r="AZ45" s="5"/>
    </row>
    <row r="46" spans="1:75" ht="15" customHeight="1">
      <c r="A46" s="272"/>
      <c r="B46" s="1022"/>
      <c r="C46" s="1023"/>
      <c r="D46" s="1023"/>
      <c r="E46" s="1023"/>
      <c r="F46" s="1023"/>
      <c r="G46" s="1024"/>
      <c r="H46" s="537"/>
      <c r="I46" s="538"/>
      <c r="J46" s="539"/>
      <c r="K46" s="815"/>
      <c r="L46" s="815"/>
      <c r="M46" s="815"/>
      <c r="N46" s="815"/>
      <c r="O46" s="815"/>
      <c r="P46" s="816"/>
      <c r="Q46" s="537"/>
      <c r="R46" s="538"/>
      <c r="S46" s="539"/>
      <c r="T46" s="643"/>
      <c r="U46" s="644"/>
      <c r="V46" s="644"/>
      <c r="W46" s="644"/>
      <c r="X46" s="644"/>
      <c r="Y46" s="644"/>
      <c r="Z46" s="644"/>
      <c r="AA46" s="645"/>
      <c r="AB46" s="648"/>
      <c r="AC46" s="649"/>
      <c r="AD46" s="650"/>
      <c r="AE46" s="654"/>
      <c r="AF46" s="655"/>
      <c r="AG46" s="655"/>
      <c r="AH46" s="655"/>
      <c r="AI46" s="655"/>
      <c r="AJ46" s="655"/>
      <c r="AK46" s="655"/>
      <c r="AL46" s="655"/>
      <c r="AM46" s="655"/>
      <c r="AN46" s="655"/>
      <c r="AO46" s="655"/>
      <c r="AP46" s="655"/>
      <c r="AQ46" s="655"/>
      <c r="AR46" s="655"/>
      <c r="AS46" s="655"/>
      <c r="AT46" s="655"/>
      <c r="AU46" s="655"/>
      <c r="AV46" s="655"/>
      <c r="AW46" s="655"/>
      <c r="AX46" s="655"/>
      <c r="AY46" s="656"/>
      <c r="AZ46" s="5"/>
    </row>
    <row r="47" spans="1:75" ht="15" customHeight="1">
      <c r="A47" s="272"/>
      <c r="B47" s="1025"/>
      <c r="C47" s="1026"/>
      <c r="D47" s="1026"/>
      <c r="E47" s="1026"/>
      <c r="F47" s="1026"/>
      <c r="G47" s="1027"/>
      <c r="H47" s="657" t="s">
        <v>591</v>
      </c>
      <c r="I47" s="658"/>
      <c r="J47" s="285"/>
      <c r="K47" s="659" t="s">
        <v>69</v>
      </c>
      <c r="L47" s="660"/>
      <c r="M47" s="660"/>
      <c r="N47" s="660"/>
      <c r="O47" s="660"/>
      <c r="P47" s="661"/>
      <c r="Q47" s="662" t="s">
        <v>70</v>
      </c>
      <c r="R47" s="663"/>
      <c r="S47" s="664"/>
      <c r="T47" s="665"/>
      <c r="U47" s="666"/>
      <c r="V47" s="666"/>
      <c r="W47" s="666"/>
      <c r="X47" s="666"/>
      <c r="Y47" s="666"/>
      <c r="Z47" s="666"/>
      <c r="AA47" s="666"/>
      <c r="AB47" s="666"/>
      <c r="AC47" s="666"/>
      <c r="AD47" s="666"/>
      <c r="AE47" s="666"/>
      <c r="AF47" s="666"/>
      <c r="AG47" s="666"/>
      <c r="AH47" s="666"/>
      <c r="AI47" s="666"/>
      <c r="AJ47" s="666"/>
      <c r="AK47" s="666"/>
      <c r="AL47" s="666"/>
      <c r="AM47" s="666"/>
      <c r="AN47" s="666"/>
      <c r="AO47" s="666"/>
      <c r="AP47" s="666"/>
      <c r="AQ47" s="666"/>
      <c r="AR47" s="666"/>
      <c r="AS47" s="666"/>
      <c r="AT47" s="666"/>
      <c r="AU47" s="666"/>
      <c r="AV47" s="666"/>
      <c r="AW47" s="666"/>
      <c r="AX47" s="666"/>
      <c r="AY47" s="667"/>
      <c r="AZ47" s="5"/>
    </row>
    <row r="48" spans="1:75" ht="15" customHeight="1">
      <c r="A48" s="272"/>
      <c r="B48" s="1019" t="s">
        <v>113</v>
      </c>
      <c r="C48" s="1020"/>
      <c r="D48" s="1020"/>
      <c r="E48" s="1020"/>
      <c r="F48" s="1020"/>
      <c r="G48" s="1021"/>
      <c r="H48" s="554" t="s">
        <v>68</v>
      </c>
      <c r="I48" s="555"/>
      <c r="J48" s="555"/>
      <c r="K48" s="555"/>
      <c r="L48" s="567" t="s">
        <v>748</v>
      </c>
      <c r="M48" s="568"/>
      <c r="N48" s="568"/>
      <c r="O48" s="568"/>
      <c r="P48" s="568"/>
      <c r="Q48" s="568"/>
      <c r="R48" s="568"/>
      <c r="S48" s="568"/>
      <c r="T48" s="568"/>
      <c r="U48" s="568"/>
      <c r="V48" s="568"/>
      <c r="W48" s="568"/>
      <c r="X48" s="568"/>
      <c r="Y48" s="554" t="s">
        <v>68</v>
      </c>
      <c r="Z48" s="555"/>
      <c r="AA48" s="555"/>
      <c r="AB48" s="567" t="s">
        <v>114</v>
      </c>
      <c r="AC48" s="568"/>
      <c r="AD48" s="568"/>
      <c r="AE48" s="568"/>
      <c r="AF48" s="568"/>
      <c r="AG48" s="568"/>
      <c r="AH48" s="568"/>
      <c r="AI48" s="568"/>
      <c r="AJ48" s="568"/>
      <c r="AK48" s="568"/>
      <c r="AL48" s="568"/>
      <c r="AM48" s="568"/>
      <c r="AN48" s="568"/>
      <c r="AO48" s="568"/>
      <c r="AP48" s="568"/>
      <c r="AQ48" s="568"/>
      <c r="AR48" s="568"/>
      <c r="AS48" s="568"/>
      <c r="AT48" s="568"/>
      <c r="AU48" s="568"/>
      <c r="AV48" s="568"/>
      <c r="AW48" s="568"/>
      <c r="AX48" s="568"/>
      <c r="AY48" s="568"/>
      <c r="AZ48" s="5"/>
      <c r="BB48" s="14"/>
      <c r="BC48" s="14"/>
      <c r="BD48" s="14"/>
      <c r="BE48" s="14"/>
      <c r="BF48" s="14"/>
      <c r="BG48" s="14"/>
      <c r="BH48" s="14"/>
      <c r="BI48" s="14"/>
      <c r="BJ48" s="14"/>
      <c r="BK48" s="16"/>
    </row>
    <row r="49" spans="1:68" ht="15" customHeight="1">
      <c r="A49" s="272"/>
      <c r="B49" s="1022"/>
      <c r="C49" s="1023"/>
      <c r="D49" s="1023"/>
      <c r="E49" s="1023"/>
      <c r="F49" s="1023"/>
      <c r="G49" s="1024"/>
      <c r="H49" s="286" t="s">
        <v>56</v>
      </c>
      <c r="I49" s="569"/>
      <c r="J49" s="570"/>
      <c r="K49" s="570"/>
      <c r="L49" s="287" t="s">
        <v>58</v>
      </c>
      <c r="M49" s="569"/>
      <c r="N49" s="570"/>
      <c r="O49" s="570"/>
      <c r="P49" s="570"/>
      <c r="Q49" s="571" t="s">
        <v>55</v>
      </c>
      <c r="R49" s="572"/>
      <c r="S49" s="572"/>
      <c r="T49" s="573"/>
      <c r="U49" s="574"/>
      <c r="V49" s="574"/>
      <c r="W49" s="574"/>
      <c r="X49" s="574"/>
      <c r="Y49" s="574"/>
      <c r="Z49" s="574"/>
      <c r="AA49" s="574"/>
      <c r="AB49" s="574"/>
      <c r="AC49" s="574"/>
      <c r="AD49" s="574"/>
      <c r="AE49" s="574"/>
      <c r="AF49" s="574"/>
      <c r="AG49" s="574"/>
      <c r="AH49" s="574"/>
      <c r="AI49" s="574"/>
      <c r="AJ49" s="574"/>
      <c r="AK49" s="574"/>
      <c r="AL49" s="574"/>
      <c r="AM49" s="574"/>
      <c r="AN49" s="574"/>
      <c r="AO49" s="574"/>
      <c r="AP49" s="574"/>
      <c r="AQ49" s="574"/>
      <c r="AR49" s="574"/>
      <c r="AS49" s="574"/>
      <c r="AT49" s="574"/>
      <c r="AU49" s="574"/>
      <c r="AV49" s="574"/>
      <c r="AW49" s="574"/>
      <c r="AX49" s="574"/>
      <c r="AY49" s="574"/>
      <c r="AZ49" s="5"/>
      <c r="BB49" s="14"/>
      <c r="BC49" s="14"/>
      <c r="BD49" s="14"/>
      <c r="BE49" s="14"/>
      <c r="BF49" s="14"/>
      <c r="BG49" s="14"/>
      <c r="BH49" s="14"/>
      <c r="BI49" s="14"/>
      <c r="BJ49" s="14"/>
      <c r="BK49" s="16"/>
    </row>
    <row r="50" spans="1:68" ht="15" customHeight="1">
      <c r="A50" s="272"/>
      <c r="B50" s="1022"/>
      <c r="C50" s="1023"/>
      <c r="D50" s="1023"/>
      <c r="E50" s="1023"/>
      <c r="F50" s="1023"/>
      <c r="G50" s="1024"/>
      <c r="H50" s="562" t="s">
        <v>62</v>
      </c>
      <c r="I50" s="562"/>
      <c r="J50" s="562"/>
      <c r="K50" s="811"/>
      <c r="L50" s="812"/>
      <c r="M50" s="812"/>
      <c r="N50" s="812"/>
      <c r="O50" s="812"/>
      <c r="P50" s="812"/>
      <c r="Q50" s="561" t="s">
        <v>110</v>
      </c>
      <c r="R50" s="562"/>
      <c r="S50" s="562"/>
      <c r="T50" s="563"/>
      <c r="U50" s="564"/>
      <c r="V50" s="564"/>
      <c r="W50" s="564"/>
      <c r="X50" s="564"/>
      <c r="Y50" s="564"/>
      <c r="Z50" s="564"/>
      <c r="AA50" s="564"/>
      <c r="AB50" s="561" t="s">
        <v>111</v>
      </c>
      <c r="AC50" s="561"/>
      <c r="AD50" s="561"/>
      <c r="AE50" s="575"/>
      <c r="AF50" s="576"/>
      <c r="AG50" s="576"/>
      <c r="AH50" s="576"/>
      <c r="AI50" s="576"/>
      <c r="AJ50" s="576"/>
      <c r="AK50" s="576"/>
      <c r="AL50" s="576"/>
      <c r="AM50" s="576"/>
      <c r="AN50" s="576"/>
      <c r="AO50" s="576"/>
      <c r="AP50" s="576"/>
      <c r="AQ50" s="576"/>
      <c r="AR50" s="576"/>
      <c r="AS50" s="576"/>
      <c r="AT50" s="576"/>
      <c r="AU50" s="576"/>
      <c r="AV50" s="576"/>
      <c r="AW50" s="576"/>
      <c r="AX50" s="576"/>
      <c r="AY50" s="576"/>
      <c r="AZ50" s="5"/>
      <c r="BB50" s="14"/>
      <c r="BC50" s="14"/>
      <c r="BD50" s="14"/>
      <c r="BE50" s="14"/>
      <c r="BF50" s="14"/>
      <c r="BG50" s="14"/>
      <c r="BH50" s="14"/>
      <c r="BI50" s="14"/>
      <c r="BJ50" s="14"/>
      <c r="BK50" s="16"/>
    </row>
    <row r="51" spans="1:68" ht="15" customHeight="1">
      <c r="A51" s="272"/>
      <c r="B51" s="1022"/>
      <c r="C51" s="1023"/>
      <c r="D51" s="1023"/>
      <c r="E51" s="1023"/>
      <c r="F51" s="1023"/>
      <c r="G51" s="1024"/>
      <c r="H51" s="562"/>
      <c r="I51" s="562"/>
      <c r="J51" s="562"/>
      <c r="K51" s="812"/>
      <c r="L51" s="812"/>
      <c r="M51" s="812"/>
      <c r="N51" s="812"/>
      <c r="O51" s="812"/>
      <c r="P51" s="812"/>
      <c r="Q51" s="562"/>
      <c r="R51" s="562"/>
      <c r="S51" s="562"/>
      <c r="T51" s="564"/>
      <c r="U51" s="564"/>
      <c r="V51" s="564"/>
      <c r="W51" s="564"/>
      <c r="X51" s="564"/>
      <c r="Y51" s="564"/>
      <c r="Z51" s="564"/>
      <c r="AA51" s="564"/>
      <c r="AB51" s="561"/>
      <c r="AC51" s="561"/>
      <c r="AD51" s="561"/>
      <c r="AE51" s="576"/>
      <c r="AF51" s="576"/>
      <c r="AG51" s="576"/>
      <c r="AH51" s="576"/>
      <c r="AI51" s="576"/>
      <c r="AJ51" s="576"/>
      <c r="AK51" s="576"/>
      <c r="AL51" s="576"/>
      <c r="AM51" s="576"/>
      <c r="AN51" s="576"/>
      <c r="AO51" s="576"/>
      <c r="AP51" s="576"/>
      <c r="AQ51" s="576"/>
      <c r="AR51" s="576"/>
      <c r="AS51" s="576"/>
      <c r="AT51" s="576"/>
      <c r="AU51" s="576"/>
      <c r="AV51" s="576"/>
      <c r="AW51" s="576"/>
      <c r="AX51" s="576"/>
      <c r="AY51" s="576"/>
      <c r="AZ51" s="5"/>
    </row>
    <row r="52" spans="1:68" ht="15" customHeight="1">
      <c r="A52" s="272"/>
      <c r="B52" s="1022"/>
      <c r="C52" s="1023"/>
      <c r="D52" s="1023"/>
      <c r="E52" s="1023"/>
      <c r="F52" s="1023"/>
      <c r="G52" s="1024"/>
      <c r="H52" s="554" t="s">
        <v>591</v>
      </c>
      <c r="I52" s="577"/>
      <c r="J52" s="288"/>
      <c r="K52" s="534" t="s">
        <v>69</v>
      </c>
      <c r="L52" s="535"/>
      <c r="M52" s="535"/>
      <c r="N52" s="535"/>
      <c r="O52" s="535"/>
      <c r="P52" s="535"/>
      <c r="Q52" s="536" t="s">
        <v>70</v>
      </c>
      <c r="R52" s="536"/>
      <c r="S52" s="536"/>
      <c r="T52" s="565"/>
      <c r="U52" s="566"/>
      <c r="V52" s="566"/>
      <c r="W52" s="566"/>
      <c r="X52" s="566"/>
      <c r="Y52" s="566"/>
      <c r="Z52" s="566"/>
      <c r="AA52" s="566"/>
      <c r="AB52" s="566"/>
      <c r="AC52" s="566"/>
      <c r="AD52" s="566"/>
      <c r="AE52" s="566"/>
      <c r="AF52" s="566"/>
      <c r="AG52" s="566"/>
      <c r="AH52" s="566"/>
      <c r="AI52" s="566"/>
      <c r="AJ52" s="566"/>
      <c r="AK52" s="566"/>
      <c r="AL52" s="566"/>
      <c r="AM52" s="566"/>
      <c r="AN52" s="566"/>
      <c r="AO52" s="566"/>
      <c r="AP52" s="566"/>
      <c r="AQ52" s="566"/>
      <c r="AR52" s="566"/>
      <c r="AS52" s="566"/>
      <c r="AT52" s="566"/>
      <c r="AU52" s="566"/>
      <c r="AV52" s="566"/>
      <c r="AW52" s="566"/>
      <c r="AX52" s="566"/>
      <c r="AY52" s="566"/>
      <c r="AZ52" s="5"/>
    </row>
    <row r="53" spans="1:68" ht="13.5" customHeight="1">
      <c r="A53" s="272"/>
      <c r="B53" s="1022"/>
      <c r="C53" s="1023"/>
      <c r="D53" s="1023"/>
      <c r="E53" s="1023"/>
      <c r="F53" s="1023"/>
      <c r="G53" s="1024"/>
      <c r="H53" s="591" t="s">
        <v>117</v>
      </c>
      <c r="I53" s="592"/>
      <c r="J53" s="592"/>
      <c r="K53" s="592"/>
      <c r="L53" s="592"/>
      <c r="M53" s="593"/>
      <c r="N53" s="605"/>
      <c r="O53" s="606"/>
      <c r="P53" s="606"/>
      <c r="Q53" s="606"/>
      <c r="R53" s="606"/>
      <c r="S53" s="606"/>
      <c r="T53" s="606"/>
      <c r="U53" s="606"/>
      <c r="V53" s="606"/>
      <c r="W53" s="606"/>
      <c r="X53" s="606"/>
      <c r="Y53" s="606"/>
      <c r="Z53" s="606"/>
      <c r="AA53" s="606"/>
      <c r="AB53" s="607"/>
      <c r="AC53" s="612" t="s">
        <v>118</v>
      </c>
      <c r="AD53" s="612"/>
      <c r="AE53" s="612"/>
      <c r="AF53" s="612"/>
      <c r="AG53" s="612"/>
      <c r="AH53" s="612"/>
      <c r="AI53" s="537" t="s">
        <v>55</v>
      </c>
      <c r="AJ53" s="538"/>
      <c r="AK53" s="539"/>
      <c r="AL53" s="540"/>
      <c r="AM53" s="541"/>
      <c r="AN53" s="541"/>
      <c r="AO53" s="541"/>
      <c r="AP53" s="541"/>
      <c r="AQ53" s="541"/>
      <c r="AR53" s="541"/>
      <c r="AS53" s="541"/>
      <c r="AT53" s="541"/>
      <c r="AU53" s="541"/>
      <c r="AV53" s="541"/>
      <c r="AW53" s="541"/>
      <c r="AX53" s="541"/>
      <c r="AY53" s="542"/>
      <c r="AZ53" s="5"/>
      <c r="BD53" s="10"/>
      <c r="BE53" s="10"/>
    </row>
    <row r="54" spans="1:68">
      <c r="A54" s="272"/>
      <c r="B54" s="1022"/>
      <c r="C54" s="1023"/>
      <c r="D54" s="1023"/>
      <c r="E54" s="1023"/>
      <c r="F54" s="1023"/>
      <c r="G54" s="1024"/>
      <c r="H54" s="591"/>
      <c r="I54" s="592"/>
      <c r="J54" s="592"/>
      <c r="K54" s="592"/>
      <c r="L54" s="592"/>
      <c r="M54" s="593"/>
      <c r="N54" s="608"/>
      <c r="O54" s="606"/>
      <c r="P54" s="606"/>
      <c r="Q54" s="606"/>
      <c r="R54" s="606"/>
      <c r="S54" s="606"/>
      <c r="T54" s="606"/>
      <c r="U54" s="606"/>
      <c r="V54" s="606"/>
      <c r="W54" s="606"/>
      <c r="X54" s="606"/>
      <c r="Y54" s="606"/>
      <c r="Z54" s="606"/>
      <c r="AA54" s="606"/>
      <c r="AB54" s="607"/>
      <c r="AC54" s="613"/>
      <c r="AD54" s="613"/>
      <c r="AE54" s="613"/>
      <c r="AF54" s="613"/>
      <c r="AG54" s="613"/>
      <c r="AH54" s="613"/>
      <c r="AI54" s="543"/>
      <c r="AJ54" s="544"/>
      <c r="AK54" s="544"/>
      <c r="AL54" s="544"/>
      <c r="AM54" s="544"/>
      <c r="AN54" s="544"/>
      <c r="AO54" s="544"/>
      <c r="AP54" s="544"/>
      <c r="AQ54" s="544"/>
      <c r="AR54" s="544"/>
      <c r="AS54" s="544"/>
      <c r="AT54" s="544"/>
      <c r="AU54" s="544"/>
      <c r="AV54" s="544"/>
      <c r="AW54" s="544"/>
      <c r="AX54" s="544"/>
      <c r="AY54" s="545"/>
      <c r="AZ54" s="5"/>
      <c r="BD54" s="10"/>
      <c r="BE54" s="15"/>
    </row>
    <row r="55" spans="1:68" ht="12.75" customHeight="1">
      <c r="A55" s="272"/>
      <c r="B55" s="1022"/>
      <c r="C55" s="1023"/>
      <c r="D55" s="1023"/>
      <c r="E55" s="1023"/>
      <c r="F55" s="1023"/>
      <c r="G55" s="1024"/>
      <c r="H55" s="594"/>
      <c r="I55" s="595"/>
      <c r="J55" s="595"/>
      <c r="K55" s="595"/>
      <c r="L55" s="595"/>
      <c r="M55" s="596"/>
      <c r="N55" s="609"/>
      <c r="O55" s="610"/>
      <c r="P55" s="610"/>
      <c r="Q55" s="610"/>
      <c r="R55" s="610"/>
      <c r="S55" s="610"/>
      <c r="T55" s="610"/>
      <c r="U55" s="610"/>
      <c r="V55" s="610"/>
      <c r="W55" s="610"/>
      <c r="X55" s="610"/>
      <c r="Y55" s="610"/>
      <c r="Z55" s="610"/>
      <c r="AA55" s="610"/>
      <c r="AB55" s="611"/>
      <c r="AC55" s="613"/>
      <c r="AD55" s="613"/>
      <c r="AE55" s="613"/>
      <c r="AF55" s="613"/>
      <c r="AG55" s="613"/>
      <c r="AH55" s="613"/>
      <c r="AI55" s="546"/>
      <c r="AJ55" s="547"/>
      <c r="AK55" s="547"/>
      <c r="AL55" s="547"/>
      <c r="AM55" s="547"/>
      <c r="AN55" s="547"/>
      <c r="AO55" s="547"/>
      <c r="AP55" s="547"/>
      <c r="AQ55" s="547"/>
      <c r="AR55" s="547"/>
      <c r="AS55" s="547"/>
      <c r="AT55" s="547"/>
      <c r="AU55" s="547"/>
      <c r="AV55" s="547"/>
      <c r="AW55" s="547"/>
      <c r="AX55" s="547"/>
      <c r="AY55" s="548"/>
      <c r="AZ55" s="5"/>
      <c r="BD55" s="10" t="s">
        <v>119</v>
      </c>
      <c r="BK55" s="579">
        <f>WORKDAY(BK52,4,)</f>
        <v>5</v>
      </c>
      <c r="BL55" s="579"/>
      <c r="BM55" s="579"/>
      <c r="BN55" s="579"/>
      <c r="BO55" s="579"/>
      <c r="BP55" s="579"/>
    </row>
    <row r="56" spans="1:68" ht="13.5" customHeight="1">
      <c r="A56" s="272"/>
      <c r="B56" s="1022"/>
      <c r="C56" s="1023"/>
      <c r="D56" s="1023"/>
      <c r="E56" s="1023"/>
      <c r="F56" s="1023"/>
      <c r="G56" s="1024"/>
      <c r="H56" s="588" t="s">
        <v>79</v>
      </c>
      <c r="I56" s="589"/>
      <c r="J56" s="589"/>
      <c r="K56" s="589"/>
      <c r="L56" s="589"/>
      <c r="M56" s="590"/>
      <c r="N56" s="617"/>
      <c r="O56" s="618"/>
      <c r="P56" s="618"/>
      <c r="Q56" s="618"/>
      <c r="R56" s="618"/>
      <c r="S56" s="618"/>
      <c r="T56" s="618"/>
      <c r="U56" s="618"/>
      <c r="V56" s="618"/>
      <c r="W56" s="618"/>
      <c r="X56" s="618"/>
      <c r="Y56" s="618"/>
      <c r="Z56" s="618"/>
      <c r="AA56" s="618"/>
      <c r="AB56" s="619"/>
      <c r="AC56" s="588" t="s">
        <v>120</v>
      </c>
      <c r="AD56" s="589"/>
      <c r="AE56" s="589"/>
      <c r="AF56" s="589"/>
      <c r="AG56" s="589"/>
      <c r="AH56" s="590"/>
      <c r="AI56" s="617"/>
      <c r="AJ56" s="618"/>
      <c r="AK56" s="618"/>
      <c r="AL56" s="618"/>
      <c r="AM56" s="618"/>
      <c r="AN56" s="618"/>
      <c r="AO56" s="618"/>
      <c r="AP56" s="618"/>
      <c r="AQ56" s="618"/>
      <c r="AR56" s="618"/>
      <c r="AS56" s="618"/>
      <c r="AT56" s="618"/>
      <c r="AU56" s="618"/>
      <c r="AV56" s="618"/>
      <c r="AW56" s="618"/>
      <c r="AX56" s="597"/>
      <c r="AY56" s="598"/>
      <c r="AZ56" s="5"/>
      <c r="BD56" s="10"/>
      <c r="BE56" s="10"/>
    </row>
    <row r="57" spans="1:68">
      <c r="A57" s="272"/>
      <c r="B57" s="1022"/>
      <c r="C57" s="1023"/>
      <c r="D57" s="1023"/>
      <c r="E57" s="1023"/>
      <c r="F57" s="1023"/>
      <c r="G57" s="1024"/>
      <c r="H57" s="591"/>
      <c r="I57" s="592"/>
      <c r="J57" s="592"/>
      <c r="K57" s="592"/>
      <c r="L57" s="592"/>
      <c r="M57" s="593"/>
      <c r="N57" s="111" t="s">
        <v>80</v>
      </c>
      <c r="O57" s="603"/>
      <c r="P57" s="603"/>
      <c r="Q57" s="603"/>
      <c r="R57" s="112" t="s">
        <v>81</v>
      </c>
      <c r="S57" s="603"/>
      <c r="T57" s="603"/>
      <c r="U57" s="603"/>
      <c r="V57" s="603"/>
      <c r="W57" s="112" t="s">
        <v>82</v>
      </c>
      <c r="X57" s="603"/>
      <c r="Y57" s="603"/>
      <c r="Z57" s="603"/>
      <c r="AA57" s="603"/>
      <c r="AB57" s="604"/>
      <c r="AC57" s="591"/>
      <c r="AD57" s="592"/>
      <c r="AE57" s="592"/>
      <c r="AF57" s="592"/>
      <c r="AG57" s="592"/>
      <c r="AH57" s="593"/>
      <c r="AI57" s="111" t="s">
        <v>80</v>
      </c>
      <c r="AJ57" s="603"/>
      <c r="AK57" s="603"/>
      <c r="AL57" s="603"/>
      <c r="AM57" s="112" t="s">
        <v>81</v>
      </c>
      <c r="AN57" s="603"/>
      <c r="AO57" s="603"/>
      <c r="AP57" s="603"/>
      <c r="AQ57" s="603"/>
      <c r="AR57" s="112" t="s">
        <v>82</v>
      </c>
      <c r="AS57" s="603"/>
      <c r="AT57" s="603"/>
      <c r="AU57" s="603"/>
      <c r="AV57" s="603"/>
      <c r="AW57" s="603"/>
      <c r="AX57" s="599"/>
      <c r="AY57" s="600"/>
      <c r="AZ57" s="5"/>
      <c r="BD57" s="10"/>
      <c r="BE57" s="15"/>
    </row>
    <row r="58" spans="1:68" ht="11.25" customHeight="1">
      <c r="A58" s="272"/>
      <c r="B58" s="1025"/>
      <c r="C58" s="1026"/>
      <c r="D58" s="1026"/>
      <c r="E58" s="1026"/>
      <c r="F58" s="1026"/>
      <c r="G58" s="1027"/>
      <c r="H58" s="594"/>
      <c r="I58" s="595"/>
      <c r="J58" s="595"/>
      <c r="K58" s="595"/>
      <c r="L58" s="595"/>
      <c r="M58" s="596"/>
      <c r="N58" s="614"/>
      <c r="O58" s="615"/>
      <c r="P58" s="615"/>
      <c r="Q58" s="615"/>
      <c r="R58" s="615"/>
      <c r="S58" s="615"/>
      <c r="T58" s="615"/>
      <c r="U58" s="615"/>
      <c r="V58" s="615"/>
      <c r="W58" s="615"/>
      <c r="X58" s="615"/>
      <c r="Y58" s="615"/>
      <c r="Z58" s="615"/>
      <c r="AA58" s="615"/>
      <c r="AB58" s="616"/>
      <c r="AC58" s="594"/>
      <c r="AD58" s="595"/>
      <c r="AE58" s="595"/>
      <c r="AF58" s="595"/>
      <c r="AG58" s="595"/>
      <c r="AH58" s="596"/>
      <c r="AI58" s="614"/>
      <c r="AJ58" s="615"/>
      <c r="AK58" s="615"/>
      <c r="AL58" s="615"/>
      <c r="AM58" s="615"/>
      <c r="AN58" s="615"/>
      <c r="AO58" s="615"/>
      <c r="AP58" s="615"/>
      <c r="AQ58" s="615"/>
      <c r="AR58" s="615"/>
      <c r="AS58" s="615"/>
      <c r="AT58" s="615"/>
      <c r="AU58" s="615"/>
      <c r="AV58" s="615"/>
      <c r="AW58" s="615"/>
      <c r="AX58" s="601"/>
      <c r="AY58" s="602"/>
      <c r="AZ58" s="5"/>
      <c r="BD58" s="10" t="s">
        <v>119</v>
      </c>
      <c r="BK58" s="579" t="e">
        <v>#REF!</v>
      </c>
      <c r="BL58" s="579"/>
      <c r="BM58" s="579"/>
      <c r="BN58" s="579"/>
      <c r="BO58" s="579"/>
      <c r="BP58" s="579"/>
    </row>
    <row r="59" spans="1:68" ht="12.75" hidden="1" customHeight="1">
      <c r="A59" s="261"/>
      <c r="B59" s="356"/>
      <c r="C59" s="356"/>
      <c r="D59" s="356"/>
      <c r="E59" s="356"/>
      <c r="F59" s="356"/>
      <c r="G59" s="356"/>
      <c r="H59" s="358"/>
      <c r="I59" s="358"/>
      <c r="J59" s="358"/>
      <c r="K59" s="358"/>
      <c r="L59" s="358"/>
      <c r="M59" s="358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  <c r="AC59" s="358"/>
      <c r="AD59" s="358"/>
      <c r="AE59" s="358"/>
      <c r="AF59" s="358"/>
      <c r="AG59" s="358"/>
      <c r="AH59" s="358"/>
      <c r="AI59" s="112"/>
      <c r="AJ59" s="112"/>
      <c r="AK59" s="112"/>
      <c r="AL59" s="112"/>
      <c r="AM59" s="112"/>
      <c r="AN59" s="112"/>
      <c r="AO59" s="112"/>
      <c r="AP59" s="112"/>
      <c r="AQ59" s="112"/>
      <c r="AR59" s="112"/>
      <c r="AS59" s="112"/>
      <c r="AT59" s="112"/>
      <c r="AU59" s="112"/>
      <c r="AV59" s="112"/>
      <c r="AW59" s="112"/>
      <c r="AX59" s="359"/>
      <c r="AY59" s="359"/>
      <c r="AZ59" s="5"/>
      <c r="BD59" s="10"/>
      <c r="BK59" s="357"/>
      <c r="BL59" s="357"/>
      <c r="BM59" s="357"/>
      <c r="BN59" s="357"/>
      <c r="BO59" s="357"/>
      <c r="BP59" s="357"/>
    </row>
    <row r="60" spans="1:68" ht="12.75" hidden="1" customHeight="1">
      <c r="A60" s="261"/>
      <c r="B60" s="356"/>
      <c r="C60" s="356"/>
      <c r="D60" s="356"/>
      <c r="E60" s="356"/>
      <c r="F60" s="356"/>
      <c r="G60" s="356"/>
      <c r="H60" s="358"/>
      <c r="I60" s="358"/>
      <c r="J60" s="358"/>
      <c r="K60" s="358"/>
      <c r="L60" s="358"/>
      <c r="M60" s="358"/>
      <c r="N60" s="112"/>
      <c r="O60" s="112"/>
      <c r="P60" s="112"/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  <c r="AB60" s="112"/>
      <c r="AC60" s="358"/>
      <c r="AD60" s="358"/>
      <c r="AE60" s="358"/>
      <c r="AF60" s="358"/>
      <c r="AG60" s="358"/>
      <c r="AH60" s="358"/>
      <c r="AI60" s="112"/>
      <c r="AJ60" s="112"/>
      <c r="AK60" s="112"/>
      <c r="AL60" s="112"/>
      <c r="AM60" s="112"/>
      <c r="AN60" s="112"/>
      <c r="AO60" s="112"/>
      <c r="AP60" s="112"/>
      <c r="AQ60" s="112"/>
      <c r="AR60" s="112"/>
      <c r="AS60" s="112"/>
      <c r="AT60" s="112"/>
      <c r="AU60" s="112"/>
      <c r="AV60" s="112"/>
      <c r="AW60" s="112"/>
      <c r="AX60" s="359"/>
      <c r="AY60" s="359"/>
      <c r="AZ60" s="5"/>
      <c r="BD60" s="10"/>
      <c r="BK60" s="357"/>
      <c r="BL60" s="357"/>
      <c r="BM60" s="357"/>
      <c r="BN60" s="357"/>
      <c r="BO60" s="357"/>
      <c r="BP60" s="357"/>
    </row>
    <row r="61" spans="1:68" ht="12.75" hidden="1" customHeight="1">
      <c r="A61" s="261"/>
      <c r="B61" s="356"/>
      <c r="C61" s="356"/>
      <c r="D61" s="356"/>
      <c r="E61" s="356"/>
      <c r="F61" s="356"/>
      <c r="G61" s="356"/>
      <c r="H61" s="358"/>
      <c r="I61" s="358"/>
      <c r="J61" s="358"/>
      <c r="K61" s="358"/>
      <c r="L61" s="358"/>
      <c r="M61" s="358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358"/>
      <c r="AD61" s="358"/>
      <c r="AE61" s="358"/>
      <c r="AF61" s="358"/>
      <c r="AG61" s="358"/>
      <c r="AH61" s="358"/>
      <c r="AI61" s="112"/>
      <c r="AJ61" s="112"/>
      <c r="AK61" s="112"/>
      <c r="AL61" s="112"/>
      <c r="AM61" s="112"/>
      <c r="AN61" s="112"/>
      <c r="AO61" s="112"/>
      <c r="AP61" s="112"/>
      <c r="AQ61" s="112"/>
      <c r="AR61" s="112"/>
      <c r="AS61" s="112"/>
      <c r="AT61" s="112"/>
      <c r="AU61" s="112"/>
      <c r="AV61" s="112"/>
      <c r="AW61" s="112"/>
      <c r="AX61" s="359"/>
      <c r="AY61" s="359"/>
      <c r="AZ61" s="5"/>
      <c r="BD61" s="10"/>
      <c r="BK61" s="357"/>
      <c r="BL61" s="357"/>
      <c r="BM61" s="357"/>
      <c r="BN61" s="357"/>
      <c r="BO61" s="357"/>
      <c r="BP61" s="357"/>
    </row>
    <row r="62" spans="1:68" ht="13.5" customHeight="1">
      <c r="A62" s="261"/>
      <c r="B62" s="506" t="s">
        <v>121</v>
      </c>
      <c r="C62" s="580"/>
      <c r="D62" s="580"/>
      <c r="E62" s="580"/>
      <c r="F62" s="580"/>
      <c r="G62" s="580"/>
      <c r="H62" s="580"/>
      <c r="I62" s="580"/>
      <c r="J62" s="580"/>
      <c r="K62" s="580"/>
      <c r="L62" s="580"/>
      <c r="M62" s="580"/>
      <c r="N62" s="580"/>
      <c r="O62" s="580"/>
      <c r="P62" s="580"/>
      <c r="Q62" s="580"/>
      <c r="R62" s="580"/>
      <c r="S62" s="580"/>
      <c r="T62" s="580"/>
      <c r="U62" s="580"/>
      <c r="V62" s="580"/>
      <c r="W62" s="580"/>
      <c r="X62" s="580"/>
      <c r="Y62" s="580"/>
      <c r="Z62" s="580"/>
      <c r="AA62" s="580"/>
      <c r="AB62" s="580"/>
      <c r="AC62" s="580"/>
      <c r="AD62" s="580"/>
      <c r="AE62" s="580"/>
      <c r="AF62" s="580"/>
      <c r="AG62" s="580"/>
      <c r="AH62" s="580"/>
      <c r="AI62" s="580"/>
      <c r="AJ62" s="580"/>
      <c r="AK62" s="580"/>
      <c r="AL62" s="580"/>
      <c r="AM62" s="580"/>
      <c r="AN62" s="580"/>
      <c r="AO62" s="580"/>
      <c r="AP62" s="580"/>
      <c r="AQ62" s="580"/>
      <c r="AR62" s="580"/>
      <c r="AS62" s="580"/>
      <c r="AT62" s="580"/>
      <c r="AU62" s="580"/>
      <c r="AV62" s="580"/>
      <c r="AW62" s="580"/>
      <c r="AX62" s="580"/>
      <c r="AY62" s="580"/>
      <c r="AZ62" s="5"/>
    </row>
    <row r="63" spans="1:68" s="10" customFormat="1" ht="13.5" customHeight="1">
      <c r="A63" s="260"/>
      <c r="B63" s="580"/>
      <c r="C63" s="580"/>
      <c r="D63" s="580"/>
      <c r="E63" s="580"/>
      <c r="F63" s="580"/>
      <c r="G63" s="580"/>
      <c r="H63" s="580"/>
      <c r="I63" s="580"/>
      <c r="J63" s="580"/>
      <c r="K63" s="580"/>
      <c r="L63" s="580"/>
      <c r="M63" s="580"/>
      <c r="N63" s="580"/>
      <c r="O63" s="580"/>
      <c r="P63" s="580"/>
      <c r="Q63" s="580"/>
      <c r="R63" s="580"/>
      <c r="S63" s="580"/>
      <c r="T63" s="580"/>
      <c r="U63" s="580"/>
      <c r="V63" s="580"/>
      <c r="W63" s="580"/>
      <c r="X63" s="580"/>
      <c r="Y63" s="580"/>
      <c r="Z63" s="580"/>
      <c r="AA63" s="580"/>
      <c r="AB63" s="580"/>
      <c r="AC63" s="580"/>
      <c r="AD63" s="580"/>
      <c r="AE63" s="580"/>
      <c r="AF63" s="580"/>
      <c r="AG63" s="580"/>
      <c r="AH63" s="580"/>
      <c r="AI63" s="580"/>
      <c r="AJ63" s="580"/>
      <c r="AK63" s="580"/>
      <c r="AL63" s="580"/>
      <c r="AM63" s="580"/>
      <c r="AN63" s="580"/>
      <c r="AO63" s="580"/>
      <c r="AP63" s="580"/>
      <c r="AQ63" s="580"/>
      <c r="AR63" s="580"/>
      <c r="AS63" s="580"/>
      <c r="AT63" s="580"/>
      <c r="AU63" s="580"/>
      <c r="AV63" s="580"/>
      <c r="AW63" s="580"/>
      <c r="AX63" s="580"/>
      <c r="AY63" s="580"/>
      <c r="AZ63" s="274"/>
      <c r="BK63" s="15"/>
    </row>
    <row r="64" spans="1:68" s="7" customFormat="1" ht="21" customHeight="1">
      <c r="A64" s="271"/>
      <c r="B64" s="1028" t="s">
        <v>122</v>
      </c>
      <c r="C64" s="1029"/>
      <c r="D64" s="1029"/>
      <c r="E64" s="1029"/>
      <c r="F64" s="1029"/>
      <c r="G64" s="1029"/>
      <c r="H64" s="1029"/>
      <c r="I64" s="1029"/>
      <c r="J64" s="1029"/>
      <c r="K64" s="1029"/>
      <c r="L64" s="1029"/>
      <c r="M64" s="1030"/>
      <c r="N64" s="1031"/>
      <c r="O64" s="1031"/>
      <c r="P64" s="1031"/>
      <c r="Q64" s="1031"/>
      <c r="R64" s="1031"/>
      <c r="S64" s="1031"/>
      <c r="T64" s="1031"/>
      <c r="U64" s="1031"/>
      <c r="V64" s="1031"/>
      <c r="W64" s="1031"/>
      <c r="X64" s="1031"/>
      <c r="Y64" s="1032"/>
      <c r="Z64" s="1033"/>
      <c r="AA64" s="1033"/>
      <c r="AB64" s="1033"/>
      <c r="AC64" s="1033"/>
      <c r="AD64" s="1033"/>
      <c r="AE64" s="1033"/>
      <c r="AF64" s="1033"/>
      <c r="AG64" s="1033"/>
      <c r="AH64" s="1033"/>
      <c r="AI64" s="1033"/>
      <c r="AJ64" s="1033"/>
      <c r="AK64" s="1033"/>
      <c r="AL64" s="1033"/>
      <c r="AM64" s="1033"/>
      <c r="AN64" s="1033"/>
      <c r="AO64" s="1033"/>
      <c r="AP64" s="1033"/>
      <c r="AQ64" s="1033"/>
      <c r="AR64" s="1033"/>
      <c r="AS64" s="1033"/>
      <c r="AT64" s="1033"/>
      <c r="AU64" s="1033"/>
      <c r="AV64" s="1033"/>
      <c r="AW64" s="1033"/>
      <c r="AX64" s="1033"/>
      <c r="AY64" s="1034"/>
      <c r="AZ64" s="270"/>
      <c r="BK64" s="8"/>
    </row>
    <row r="65" spans="1:63">
      <c r="A65" s="272"/>
      <c r="B65" s="1010" t="s">
        <v>123</v>
      </c>
      <c r="C65" s="1011"/>
      <c r="D65" s="1011"/>
      <c r="E65" s="1011"/>
      <c r="F65" s="1011"/>
      <c r="G65" s="1011"/>
      <c r="H65" s="1011"/>
      <c r="I65" s="1011"/>
      <c r="J65" s="1011"/>
      <c r="K65" s="1011"/>
      <c r="L65" s="1011"/>
      <c r="M65" s="1011"/>
      <c r="N65" s="1011"/>
      <c r="O65" s="1011"/>
      <c r="P65" s="1011"/>
      <c r="Q65" s="1011"/>
      <c r="R65" s="1011"/>
      <c r="S65" s="1011"/>
      <c r="T65" s="1011"/>
      <c r="U65" s="1011"/>
      <c r="V65" s="1011"/>
      <c r="W65" s="1011"/>
      <c r="X65" s="1011"/>
      <c r="Y65" s="1011"/>
      <c r="Z65" s="999" t="s">
        <v>591</v>
      </c>
      <c r="AA65" s="1000"/>
      <c r="AB65" s="1004" t="s">
        <v>124</v>
      </c>
      <c r="AC65" s="1017"/>
      <c r="AD65" s="1017"/>
      <c r="AE65" s="1017"/>
      <c r="AF65" s="1017"/>
      <c r="AG65" s="1017"/>
      <c r="AH65" s="1017"/>
      <c r="AI65" s="1018"/>
      <c r="AJ65" s="999" t="s">
        <v>68</v>
      </c>
      <c r="AK65" s="1000"/>
      <c r="AL65" s="1004" t="s">
        <v>125</v>
      </c>
      <c r="AM65" s="1017"/>
      <c r="AN65" s="1017"/>
      <c r="AO65" s="1017"/>
      <c r="AP65" s="1017"/>
      <c r="AQ65" s="1017"/>
      <c r="AR65" s="1017"/>
      <c r="AS65" s="1017"/>
      <c r="AT65" s="1017"/>
      <c r="AU65" s="1017"/>
      <c r="AV65" s="1017"/>
      <c r="AW65" s="1017"/>
      <c r="AX65" s="1017"/>
      <c r="AY65" s="1018"/>
      <c r="AZ65" s="5"/>
    </row>
    <row r="66" spans="1:63" ht="30" customHeight="1">
      <c r="A66" s="272"/>
      <c r="B66" s="1002" t="s">
        <v>750</v>
      </c>
      <c r="C66" s="1003"/>
      <c r="D66" s="1003"/>
      <c r="E66" s="1003"/>
      <c r="F66" s="1003"/>
      <c r="G66" s="1003"/>
      <c r="H66" s="1003"/>
      <c r="I66" s="1003"/>
      <c r="J66" s="1003"/>
      <c r="K66" s="1003"/>
      <c r="L66" s="1003"/>
      <c r="M66" s="1003"/>
      <c r="N66" s="1003"/>
      <c r="O66" s="1003"/>
      <c r="P66" s="1003"/>
      <c r="Q66" s="1003"/>
      <c r="R66" s="1003"/>
      <c r="S66" s="1003"/>
      <c r="T66" s="1003"/>
      <c r="U66" s="1003"/>
      <c r="V66" s="1003"/>
      <c r="W66" s="1003"/>
      <c r="X66" s="1003"/>
      <c r="Y66" s="1003"/>
      <c r="Z66" s="999" t="s">
        <v>68</v>
      </c>
      <c r="AA66" s="1000"/>
      <c r="AB66" s="1004" t="s">
        <v>126</v>
      </c>
      <c r="AC66" s="1005"/>
      <c r="AD66" s="1005"/>
      <c r="AE66" s="1005"/>
      <c r="AF66" s="1005"/>
      <c r="AG66" s="1005"/>
      <c r="AH66" s="1005"/>
      <c r="AI66" s="1006"/>
      <c r="AJ66" s="1007" t="s">
        <v>782</v>
      </c>
      <c r="AK66" s="1008"/>
      <c r="AL66" s="1008"/>
      <c r="AM66" s="1008"/>
      <c r="AN66" s="1008"/>
      <c r="AO66" s="1008"/>
      <c r="AP66" s="1008"/>
      <c r="AQ66" s="1008"/>
      <c r="AR66" s="1008"/>
      <c r="AS66" s="1008"/>
      <c r="AT66" s="1008"/>
      <c r="AU66" s="1008"/>
      <c r="AV66" s="1008"/>
      <c r="AW66" s="1008"/>
      <c r="AX66" s="1008"/>
      <c r="AY66" s="1009"/>
      <c r="AZ66" s="5"/>
    </row>
    <row r="67" spans="1:63" ht="19.5" customHeight="1">
      <c r="A67" s="272"/>
      <c r="B67" s="1010" t="s">
        <v>127</v>
      </c>
      <c r="C67" s="1011"/>
      <c r="D67" s="1011"/>
      <c r="E67" s="1011"/>
      <c r="F67" s="1011"/>
      <c r="G67" s="1012"/>
      <c r="H67" s="1013"/>
      <c r="I67" s="1014"/>
      <c r="J67" s="1014"/>
      <c r="K67" s="1014"/>
      <c r="L67" s="1014"/>
      <c r="M67" s="1014"/>
      <c r="N67" s="1014"/>
      <c r="O67" s="1014"/>
      <c r="P67" s="1014"/>
      <c r="Q67" s="1014"/>
      <c r="R67" s="1014"/>
      <c r="S67" s="1014"/>
      <c r="T67" s="1014"/>
      <c r="U67" s="1014"/>
      <c r="V67" s="1014"/>
      <c r="W67" s="1014"/>
      <c r="X67" s="1014"/>
      <c r="Y67" s="1014"/>
      <c r="Z67" s="1014"/>
      <c r="AA67" s="1014"/>
      <c r="AB67" s="1014"/>
      <c r="AC67" s="1014"/>
      <c r="AD67" s="1014"/>
      <c r="AE67" s="1014"/>
      <c r="AF67" s="1014"/>
      <c r="AG67" s="1014"/>
      <c r="AH67" s="1014"/>
      <c r="AI67" s="1014"/>
      <c r="AJ67" s="1014"/>
      <c r="AK67" s="1014"/>
      <c r="AL67" s="1014"/>
      <c r="AM67" s="1014"/>
      <c r="AN67" s="1014"/>
      <c r="AO67" s="1014"/>
      <c r="AP67" s="1014"/>
      <c r="AQ67" s="1014"/>
      <c r="AR67" s="1014"/>
      <c r="AS67" s="1014"/>
      <c r="AT67" s="1014"/>
      <c r="AU67" s="1014"/>
      <c r="AV67" s="1014"/>
      <c r="AW67" s="1014"/>
      <c r="AX67" s="1014"/>
      <c r="AY67" s="1015"/>
      <c r="AZ67" s="5"/>
    </row>
    <row r="68" spans="1:63">
      <c r="A68" s="5"/>
      <c r="B68" s="268"/>
      <c r="C68" s="268"/>
      <c r="D68" s="268"/>
      <c r="E68" s="268"/>
      <c r="F68" s="268"/>
      <c r="G68" s="268"/>
      <c r="H68" s="268"/>
      <c r="I68" s="268"/>
      <c r="J68" s="268"/>
      <c r="K68" s="268"/>
      <c r="L68" s="268"/>
      <c r="M68" s="268"/>
      <c r="N68" s="268"/>
      <c r="O68" s="268"/>
      <c r="P68" s="268"/>
      <c r="Q68" s="268"/>
      <c r="R68" s="268"/>
      <c r="S68" s="268"/>
      <c r="T68" s="268"/>
      <c r="U68" s="268"/>
      <c r="V68" s="268"/>
      <c r="W68" s="268"/>
      <c r="X68" s="268"/>
      <c r="Y68" s="268"/>
      <c r="Z68" s="268"/>
      <c r="AA68" s="268"/>
      <c r="AB68" s="268"/>
      <c r="AC68" s="268"/>
      <c r="AD68" s="268"/>
      <c r="AE68" s="268"/>
      <c r="AF68" s="268"/>
      <c r="AG68" s="268"/>
      <c r="AH68" s="268"/>
      <c r="AI68" s="268"/>
      <c r="AJ68" s="268"/>
      <c r="AK68" s="268"/>
      <c r="AL68" s="268"/>
      <c r="AM68" s="268"/>
      <c r="AN68" s="268"/>
      <c r="AO68" s="268"/>
      <c r="AP68" s="268"/>
      <c r="AQ68" s="268"/>
      <c r="AR68" s="268"/>
      <c r="AS68" s="268"/>
      <c r="AT68" s="269"/>
      <c r="AU68" s="268"/>
      <c r="AV68" s="268"/>
      <c r="AW68" s="268"/>
      <c r="AX68" s="268"/>
      <c r="AY68" s="268"/>
      <c r="AZ68" s="5"/>
    </row>
    <row r="69" spans="1:63" s="10" customFormat="1" ht="13.5" customHeight="1">
      <c r="A69" s="274"/>
      <c r="B69" s="506" t="s">
        <v>128</v>
      </c>
      <c r="C69" s="506"/>
      <c r="D69" s="506"/>
      <c r="E69" s="506"/>
      <c r="F69" s="506"/>
      <c r="G69" s="506"/>
      <c r="H69" s="506"/>
      <c r="I69" s="506"/>
      <c r="J69" s="506"/>
      <c r="K69" s="506"/>
      <c r="L69" s="506"/>
      <c r="M69" s="506"/>
      <c r="N69" s="506"/>
      <c r="O69" s="506"/>
      <c r="P69" s="506"/>
      <c r="Q69" s="506"/>
      <c r="R69" s="506"/>
      <c r="S69" s="506"/>
      <c r="T69" s="506"/>
      <c r="U69" s="506"/>
      <c r="V69" s="506"/>
      <c r="W69" s="506"/>
      <c r="X69" s="506"/>
      <c r="Y69" s="506"/>
      <c r="Z69" s="506"/>
      <c r="AA69" s="506"/>
      <c r="AB69" s="506"/>
      <c r="AC69" s="506"/>
      <c r="AD69" s="506"/>
      <c r="AE69" s="506"/>
      <c r="AF69" s="506"/>
      <c r="AG69" s="506"/>
      <c r="AH69" s="506"/>
      <c r="AI69" s="506"/>
      <c r="AJ69" s="506"/>
      <c r="AK69" s="506"/>
      <c r="AL69" s="506"/>
      <c r="AM69" s="506"/>
      <c r="AN69" s="506"/>
      <c r="AO69" s="506"/>
      <c r="AP69" s="506"/>
      <c r="AQ69" s="506"/>
      <c r="AR69" s="506"/>
      <c r="AS69" s="506"/>
      <c r="AT69" s="506"/>
      <c r="AU69" s="506"/>
      <c r="AV69" s="506"/>
      <c r="AW69" s="506"/>
      <c r="AX69" s="506"/>
      <c r="AY69" s="506"/>
      <c r="AZ69" s="274"/>
      <c r="BK69" s="15"/>
    </row>
    <row r="70" spans="1:63" s="7" customFormat="1" ht="21" customHeight="1">
      <c r="A70" s="270"/>
      <c r="B70" s="1001"/>
      <c r="C70" s="1001"/>
      <c r="D70" s="1001"/>
      <c r="E70" s="1001"/>
      <c r="F70" s="1001"/>
      <c r="G70" s="1001"/>
      <c r="H70" s="1001"/>
      <c r="I70" s="1001"/>
      <c r="J70" s="1001"/>
      <c r="K70" s="1001"/>
      <c r="L70" s="1001"/>
      <c r="M70" s="1001"/>
      <c r="N70" s="1001"/>
      <c r="O70" s="1001"/>
      <c r="P70" s="1001"/>
      <c r="Q70" s="1001"/>
      <c r="R70" s="1001"/>
      <c r="S70" s="1001"/>
      <c r="T70" s="1001"/>
      <c r="U70" s="1001"/>
      <c r="V70" s="1001"/>
      <c r="W70" s="1001"/>
      <c r="X70" s="1001"/>
      <c r="Y70" s="1001"/>
      <c r="Z70" s="1001"/>
      <c r="AA70" s="1001"/>
      <c r="AB70" s="1001"/>
      <c r="AC70" s="1001"/>
      <c r="AD70" s="1001"/>
      <c r="AE70" s="1001"/>
      <c r="AF70" s="1001"/>
      <c r="AG70" s="1001"/>
      <c r="AH70" s="1001"/>
      <c r="AI70" s="1001"/>
      <c r="AJ70" s="1001"/>
      <c r="AK70" s="1001"/>
      <c r="AL70" s="1001"/>
      <c r="AM70" s="1001"/>
      <c r="AN70" s="1001"/>
      <c r="AO70" s="1001"/>
      <c r="AP70" s="1001"/>
      <c r="AQ70" s="1001"/>
      <c r="AR70" s="1001"/>
      <c r="AS70" s="1001"/>
      <c r="AT70" s="1001"/>
      <c r="AU70" s="1001"/>
      <c r="AV70" s="1001"/>
      <c r="AW70" s="1001"/>
      <c r="AX70" s="1001"/>
      <c r="AY70" s="1001"/>
      <c r="AZ70" s="270"/>
      <c r="BK70" s="8"/>
    </row>
    <row r="71" spans="1:63">
      <c r="A71" s="5"/>
      <c r="B71" s="973" t="s">
        <v>129</v>
      </c>
      <c r="C71" s="973"/>
      <c r="D71" s="973"/>
      <c r="E71" s="973"/>
      <c r="F71" s="973"/>
      <c r="G71" s="973"/>
      <c r="H71" s="973"/>
      <c r="I71" s="973"/>
      <c r="J71" s="973"/>
      <c r="K71" s="973"/>
      <c r="L71" s="996"/>
      <c r="M71" s="996"/>
      <c r="N71" s="996"/>
      <c r="O71" s="996"/>
      <c r="P71" s="996"/>
      <c r="Q71" s="996"/>
      <c r="R71" s="996"/>
      <c r="S71" s="996"/>
      <c r="T71" s="996"/>
      <c r="U71" s="996"/>
      <c r="V71" s="996"/>
      <c r="W71" s="996"/>
      <c r="X71" s="996"/>
      <c r="Y71" s="996"/>
      <c r="Z71" s="996"/>
      <c r="AA71" s="996"/>
      <c r="AB71" s="996"/>
      <c r="AC71" s="990" t="s">
        <v>130</v>
      </c>
      <c r="AD71" s="990"/>
      <c r="AE71" s="990"/>
      <c r="AF71" s="990"/>
      <c r="AG71" s="990"/>
      <c r="AH71" s="990"/>
      <c r="AI71" s="990"/>
      <c r="AJ71" s="990"/>
      <c r="AK71" s="990"/>
      <c r="AL71" s="971"/>
      <c r="AM71" s="972"/>
      <c r="AN71" s="972"/>
      <c r="AO71" s="972"/>
      <c r="AP71" s="972"/>
      <c r="AQ71" s="972"/>
      <c r="AR71" s="972"/>
      <c r="AS71" s="972"/>
      <c r="AT71" s="972"/>
      <c r="AU71" s="972"/>
      <c r="AV71" s="972"/>
      <c r="AW71" s="972"/>
      <c r="AX71" s="972"/>
      <c r="AY71" s="997"/>
      <c r="AZ71" s="378"/>
    </row>
    <row r="72" spans="1:63">
      <c r="A72" s="5"/>
      <c r="B72" s="973" t="s">
        <v>131</v>
      </c>
      <c r="C72" s="973"/>
      <c r="D72" s="973"/>
      <c r="E72" s="973"/>
      <c r="F72" s="973"/>
      <c r="G72" s="973"/>
      <c r="H72" s="973"/>
      <c r="I72" s="973"/>
      <c r="J72" s="973"/>
      <c r="K72" s="973"/>
      <c r="L72" s="1016"/>
      <c r="M72" s="1016"/>
      <c r="N72" s="1016"/>
      <c r="O72" s="1016"/>
      <c r="P72" s="1016"/>
      <c r="Q72" s="1016"/>
      <c r="R72" s="1016"/>
      <c r="S72" s="1016"/>
      <c r="T72" s="1016"/>
      <c r="U72" s="1016"/>
      <c r="V72" s="1016"/>
      <c r="W72" s="1016"/>
      <c r="X72" s="1016"/>
      <c r="Y72" s="1016"/>
      <c r="Z72" s="1016"/>
      <c r="AA72" s="1016"/>
      <c r="AB72" s="1016"/>
      <c r="AC72" s="990" t="s">
        <v>132</v>
      </c>
      <c r="AD72" s="990"/>
      <c r="AE72" s="990"/>
      <c r="AF72" s="990"/>
      <c r="AG72" s="990"/>
      <c r="AH72" s="990"/>
      <c r="AI72" s="990"/>
      <c r="AJ72" s="990"/>
      <c r="AK72" s="990"/>
      <c r="AL72" s="971"/>
      <c r="AM72" s="972"/>
      <c r="AN72" s="972"/>
      <c r="AO72" s="972"/>
      <c r="AP72" s="972"/>
      <c r="AQ72" s="972"/>
      <c r="AR72" s="972"/>
      <c r="AS72" s="972"/>
      <c r="AT72" s="972"/>
      <c r="AU72" s="972"/>
      <c r="AV72" s="972"/>
      <c r="AW72" s="972"/>
      <c r="AX72" s="972"/>
      <c r="AY72" s="997"/>
      <c r="AZ72" s="378"/>
    </row>
    <row r="73" spans="1:63">
      <c r="A73" s="5"/>
      <c r="B73" s="973" t="s">
        <v>133</v>
      </c>
      <c r="C73" s="973"/>
      <c r="D73" s="973"/>
      <c r="E73" s="973"/>
      <c r="F73" s="973"/>
      <c r="G73" s="973"/>
      <c r="H73" s="973"/>
      <c r="I73" s="973"/>
      <c r="J73" s="973"/>
      <c r="K73" s="973"/>
      <c r="L73" s="974"/>
      <c r="M73" s="975"/>
      <c r="N73" s="975"/>
      <c r="O73" s="975"/>
      <c r="P73" s="975"/>
      <c r="Q73" s="975"/>
      <c r="R73" s="975"/>
      <c r="S73" s="975"/>
      <c r="T73" s="975"/>
      <c r="U73" s="975"/>
      <c r="V73" s="975"/>
      <c r="W73" s="975"/>
      <c r="X73" s="975"/>
      <c r="Y73" s="975"/>
      <c r="Z73" s="975"/>
      <c r="AA73" s="975"/>
      <c r="AB73" s="976"/>
      <c r="AC73" s="990" t="s">
        <v>769</v>
      </c>
      <c r="AD73" s="990"/>
      <c r="AE73" s="990"/>
      <c r="AF73" s="990"/>
      <c r="AG73" s="990"/>
      <c r="AH73" s="990"/>
      <c r="AI73" s="990"/>
      <c r="AJ73" s="990"/>
      <c r="AK73" s="990"/>
      <c r="AL73" s="974"/>
      <c r="AM73" s="975"/>
      <c r="AN73" s="975"/>
      <c r="AO73" s="975"/>
      <c r="AP73" s="975"/>
      <c r="AQ73" s="975"/>
      <c r="AR73" s="975"/>
      <c r="AS73" s="975"/>
      <c r="AT73" s="975"/>
      <c r="AU73" s="975"/>
      <c r="AV73" s="975"/>
      <c r="AW73" s="975"/>
      <c r="AX73" s="975"/>
      <c r="AY73" s="976"/>
      <c r="AZ73" s="379"/>
    </row>
    <row r="74" spans="1:63">
      <c r="A74" s="5"/>
      <c r="B74" s="973" t="s">
        <v>134</v>
      </c>
      <c r="C74" s="973"/>
      <c r="D74" s="973"/>
      <c r="E74" s="973"/>
      <c r="F74" s="973"/>
      <c r="G74" s="973"/>
      <c r="H74" s="973"/>
      <c r="I74" s="973"/>
      <c r="J74" s="973"/>
      <c r="K74" s="973"/>
      <c r="L74" s="991"/>
      <c r="M74" s="991"/>
      <c r="N74" s="991"/>
      <c r="O74" s="991"/>
      <c r="P74" s="991"/>
      <c r="Q74" s="991"/>
      <c r="R74" s="991"/>
      <c r="S74" s="991"/>
      <c r="T74" s="991"/>
      <c r="U74" s="991"/>
      <c r="V74" s="991"/>
      <c r="W74" s="991"/>
      <c r="X74" s="991"/>
      <c r="Y74" s="991"/>
      <c r="Z74" s="991"/>
      <c r="AA74" s="991"/>
      <c r="AB74" s="991"/>
      <c r="AC74" s="990" t="s">
        <v>135</v>
      </c>
      <c r="AD74" s="990"/>
      <c r="AE74" s="990"/>
      <c r="AF74" s="990"/>
      <c r="AG74" s="990"/>
      <c r="AH74" s="990"/>
      <c r="AI74" s="990"/>
      <c r="AJ74" s="990"/>
      <c r="AK74" s="990"/>
      <c r="AL74" s="971"/>
      <c r="AM74" s="972"/>
      <c r="AN74" s="972"/>
      <c r="AO74" s="972"/>
      <c r="AP74" s="972"/>
      <c r="AQ74" s="972"/>
      <c r="AR74" s="972"/>
      <c r="AS74" s="972"/>
      <c r="AT74" s="972"/>
      <c r="AU74" s="972"/>
      <c r="AV74" s="972"/>
      <c r="AW74" s="972"/>
      <c r="AX74" s="972"/>
      <c r="AY74" s="997"/>
      <c r="AZ74" s="378"/>
    </row>
    <row r="75" spans="1:63">
      <c r="A75" s="5"/>
      <c r="B75" s="973" t="s">
        <v>136</v>
      </c>
      <c r="C75" s="973"/>
      <c r="D75" s="973"/>
      <c r="E75" s="973"/>
      <c r="F75" s="973"/>
      <c r="G75" s="973"/>
      <c r="H75" s="973"/>
      <c r="I75" s="973"/>
      <c r="J75" s="973"/>
      <c r="K75" s="973"/>
      <c r="L75" s="974"/>
      <c r="M75" s="986"/>
      <c r="N75" s="986"/>
      <c r="O75" s="986"/>
      <c r="P75" s="986"/>
      <c r="Q75" s="986"/>
      <c r="R75" s="986"/>
      <c r="S75" s="986"/>
      <c r="T75" s="986"/>
      <c r="U75" s="986"/>
      <c r="V75" s="986"/>
      <c r="W75" s="986"/>
      <c r="X75" s="986"/>
      <c r="Y75" s="986"/>
      <c r="Z75" s="986"/>
      <c r="AA75" s="986"/>
      <c r="AB75" s="986"/>
      <c r="AC75" s="986"/>
      <c r="AD75" s="986"/>
      <c r="AE75" s="986"/>
      <c r="AF75" s="986"/>
      <c r="AG75" s="986"/>
      <c r="AH75" s="986"/>
      <c r="AI75" s="986"/>
      <c r="AJ75" s="986"/>
      <c r="AK75" s="986"/>
      <c r="AL75" s="986"/>
      <c r="AM75" s="986"/>
      <c r="AN75" s="986"/>
      <c r="AO75" s="986"/>
      <c r="AP75" s="986"/>
      <c r="AQ75" s="986"/>
      <c r="AR75" s="986"/>
      <c r="AS75" s="986"/>
      <c r="AT75" s="986"/>
      <c r="AU75" s="986"/>
      <c r="AV75" s="986"/>
      <c r="AW75" s="986"/>
      <c r="AX75" s="986"/>
      <c r="AY75" s="987"/>
      <c r="AZ75" s="379"/>
    </row>
    <row r="76" spans="1:63">
      <c r="A76" s="5"/>
      <c r="B76" s="973" t="s">
        <v>137</v>
      </c>
      <c r="C76" s="973"/>
      <c r="D76" s="973"/>
      <c r="E76" s="973"/>
      <c r="F76" s="973"/>
      <c r="G76" s="973"/>
      <c r="H76" s="973"/>
      <c r="I76" s="973"/>
      <c r="J76" s="973"/>
      <c r="K76" s="973"/>
      <c r="L76" s="977"/>
      <c r="M76" s="988"/>
      <c r="N76" s="988"/>
      <c r="O76" s="988"/>
      <c r="P76" s="988"/>
      <c r="Q76" s="988"/>
      <c r="R76" s="988"/>
      <c r="S76" s="988"/>
      <c r="T76" s="988"/>
      <c r="U76" s="988"/>
      <c r="V76" s="988"/>
      <c r="W76" s="988"/>
      <c r="X76" s="988"/>
      <c r="Y76" s="988"/>
      <c r="Z76" s="988"/>
      <c r="AA76" s="988"/>
      <c r="AB76" s="988"/>
      <c r="AC76" s="988"/>
      <c r="AD76" s="988"/>
      <c r="AE76" s="988"/>
      <c r="AF76" s="988"/>
      <c r="AG76" s="988"/>
      <c r="AH76" s="988"/>
      <c r="AI76" s="988"/>
      <c r="AJ76" s="988"/>
      <c r="AK76" s="988"/>
      <c r="AL76" s="988"/>
      <c r="AM76" s="988"/>
      <c r="AN76" s="988"/>
      <c r="AO76" s="988"/>
      <c r="AP76" s="988"/>
      <c r="AQ76" s="988"/>
      <c r="AR76" s="988"/>
      <c r="AS76" s="988"/>
      <c r="AT76" s="988"/>
      <c r="AU76" s="988"/>
      <c r="AV76" s="988"/>
      <c r="AW76" s="988"/>
      <c r="AX76" s="988"/>
      <c r="AY76" s="989"/>
      <c r="AZ76" s="379"/>
    </row>
    <row r="77" spans="1:63">
      <c r="A77" s="5"/>
      <c r="B77" s="380"/>
      <c r="C77" s="380"/>
      <c r="D77" s="380"/>
      <c r="E77" s="380"/>
      <c r="F77" s="380"/>
      <c r="G77" s="380"/>
      <c r="H77" s="380"/>
      <c r="I77" s="380"/>
      <c r="J77" s="380"/>
      <c r="K77" s="380"/>
      <c r="L77" s="381"/>
      <c r="M77" s="381"/>
      <c r="N77" s="381"/>
      <c r="O77" s="381"/>
      <c r="P77" s="381"/>
      <c r="Q77" s="381"/>
      <c r="R77" s="381"/>
      <c r="S77" s="381"/>
      <c r="T77" s="381"/>
      <c r="U77" s="381"/>
      <c r="V77" s="381"/>
      <c r="W77" s="381"/>
      <c r="X77" s="381"/>
      <c r="Y77" s="381"/>
      <c r="Z77" s="381"/>
      <c r="AA77" s="381"/>
      <c r="AB77" s="381"/>
      <c r="AC77" s="381"/>
      <c r="AD77" s="381"/>
      <c r="AE77" s="381"/>
      <c r="AF77" s="381"/>
      <c r="AG77" s="381"/>
      <c r="AH77" s="381"/>
      <c r="AI77" s="381"/>
      <c r="AJ77" s="381"/>
      <c r="AK77" s="381"/>
      <c r="AL77" s="381"/>
      <c r="AM77" s="381"/>
      <c r="AN77" s="381"/>
      <c r="AO77" s="381"/>
      <c r="AP77" s="381"/>
      <c r="AQ77" s="381"/>
      <c r="AR77" s="381"/>
      <c r="AS77" s="381"/>
      <c r="AT77" s="381"/>
      <c r="AU77" s="381"/>
      <c r="AV77" s="381"/>
      <c r="AW77" s="381"/>
      <c r="AX77" s="381"/>
      <c r="AY77" s="381"/>
      <c r="AZ77" s="381"/>
    </row>
    <row r="78" spans="1:63">
      <c r="A78" s="5"/>
      <c r="B78" s="980" t="s">
        <v>138</v>
      </c>
      <c r="C78" s="993"/>
      <c r="D78" s="993"/>
      <c r="E78" s="993"/>
      <c r="F78" s="993"/>
      <c r="G78" s="993"/>
      <c r="H78" s="993"/>
      <c r="I78" s="993"/>
      <c r="J78" s="993"/>
      <c r="K78" s="993"/>
      <c r="L78" s="993"/>
      <c r="M78" s="993"/>
      <c r="N78" s="993"/>
      <c r="O78" s="993"/>
      <c r="P78" s="993"/>
      <c r="Q78" s="993"/>
      <c r="R78" s="993"/>
      <c r="S78" s="993"/>
      <c r="T78" s="993"/>
      <c r="U78" s="993"/>
      <c r="V78" s="993"/>
      <c r="W78" s="993"/>
      <c r="X78" s="993"/>
      <c r="Y78" s="993"/>
      <c r="Z78" s="993"/>
      <c r="AA78" s="993"/>
      <c r="AB78" s="993"/>
      <c r="AC78" s="993"/>
      <c r="AD78" s="993"/>
      <c r="AE78" s="993"/>
      <c r="AF78" s="993"/>
      <c r="AG78" s="993"/>
      <c r="AH78" s="993"/>
      <c r="AI78" s="993"/>
      <c r="AJ78" s="993"/>
      <c r="AK78" s="993"/>
      <c r="AL78" s="993"/>
      <c r="AM78" s="993"/>
      <c r="AN78" s="993"/>
      <c r="AO78" s="993"/>
      <c r="AP78" s="993"/>
      <c r="AQ78" s="993"/>
      <c r="AR78" s="993"/>
      <c r="AS78" s="993"/>
      <c r="AT78" s="993"/>
      <c r="AU78" s="993"/>
      <c r="AV78" s="993"/>
      <c r="AW78" s="993"/>
      <c r="AX78" s="993"/>
      <c r="AY78" s="993"/>
      <c r="AZ78" s="993"/>
    </row>
    <row r="79" spans="1:63" s="7" customFormat="1" ht="21" customHeight="1">
      <c r="A79" s="270"/>
      <c r="B79" s="993"/>
      <c r="C79" s="993"/>
      <c r="D79" s="993"/>
      <c r="E79" s="993"/>
      <c r="F79" s="993"/>
      <c r="G79" s="993"/>
      <c r="H79" s="993"/>
      <c r="I79" s="993"/>
      <c r="J79" s="993"/>
      <c r="K79" s="993"/>
      <c r="L79" s="993"/>
      <c r="M79" s="993"/>
      <c r="N79" s="993"/>
      <c r="O79" s="993"/>
      <c r="P79" s="993"/>
      <c r="Q79" s="993"/>
      <c r="R79" s="993"/>
      <c r="S79" s="993"/>
      <c r="T79" s="993"/>
      <c r="U79" s="993"/>
      <c r="V79" s="993"/>
      <c r="W79" s="993"/>
      <c r="X79" s="993"/>
      <c r="Y79" s="993"/>
      <c r="Z79" s="993"/>
      <c r="AA79" s="993"/>
      <c r="AB79" s="993"/>
      <c r="AC79" s="993"/>
      <c r="AD79" s="993"/>
      <c r="AE79" s="993"/>
      <c r="AF79" s="993"/>
      <c r="AG79" s="993"/>
      <c r="AH79" s="993"/>
      <c r="AI79" s="993"/>
      <c r="AJ79" s="993"/>
      <c r="AK79" s="993"/>
      <c r="AL79" s="993"/>
      <c r="AM79" s="993"/>
      <c r="AN79" s="993"/>
      <c r="AO79" s="993"/>
      <c r="AP79" s="993"/>
      <c r="AQ79" s="993"/>
      <c r="AR79" s="993"/>
      <c r="AS79" s="993"/>
      <c r="AT79" s="993"/>
      <c r="AU79" s="993"/>
      <c r="AV79" s="993"/>
      <c r="AW79" s="993"/>
      <c r="AX79" s="993"/>
      <c r="AY79" s="993"/>
      <c r="AZ79" s="993"/>
      <c r="BK79" s="8"/>
    </row>
    <row r="80" spans="1:63" s="7" customFormat="1" ht="21" customHeight="1">
      <c r="A80" s="270"/>
      <c r="B80" s="981" t="s">
        <v>68</v>
      </c>
      <c r="C80" s="981"/>
      <c r="D80" s="981"/>
      <c r="E80" s="982" t="s">
        <v>139</v>
      </c>
      <c r="F80" s="983"/>
      <c r="G80" s="983"/>
      <c r="H80" s="983"/>
      <c r="I80" s="983"/>
      <c r="J80" s="983"/>
      <c r="K80" s="983"/>
      <c r="L80" s="983"/>
      <c r="M80" s="983"/>
      <c r="N80" s="983"/>
      <c r="O80" s="983"/>
      <c r="P80" s="983"/>
      <c r="Q80" s="983"/>
      <c r="R80" s="983"/>
      <c r="S80" s="983"/>
      <c r="T80" s="983"/>
      <c r="U80" s="983"/>
      <c r="V80" s="983"/>
      <c r="W80" s="983"/>
      <c r="X80" s="983"/>
      <c r="Y80" s="983"/>
      <c r="Z80" s="983"/>
      <c r="AA80" s="983"/>
      <c r="AB80" s="983"/>
      <c r="AC80" s="983"/>
      <c r="AD80" s="983"/>
      <c r="AE80" s="983"/>
      <c r="AF80" s="983"/>
      <c r="AG80" s="983"/>
      <c r="AH80" s="983"/>
      <c r="AI80" s="983"/>
      <c r="AJ80" s="983"/>
      <c r="AK80" s="983"/>
      <c r="AL80" s="983"/>
      <c r="AM80" s="983"/>
      <c r="AN80" s="983"/>
      <c r="AO80" s="983"/>
      <c r="AP80" s="983"/>
      <c r="AQ80" s="983"/>
      <c r="AR80" s="983"/>
      <c r="AS80" s="983"/>
      <c r="AT80" s="983"/>
      <c r="AU80" s="983"/>
      <c r="AV80" s="983"/>
      <c r="AW80" s="983"/>
      <c r="AX80" s="983"/>
      <c r="AY80" s="998"/>
      <c r="AZ80" s="382"/>
      <c r="BK80" s="8"/>
    </row>
    <row r="81" spans="1:63" ht="12.75" customHeight="1">
      <c r="A81" s="5"/>
      <c r="B81" s="973" t="s">
        <v>129</v>
      </c>
      <c r="C81" s="973"/>
      <c r="D81" s="973"/>
      <c r="E81" s="973"/>
      <c r="F81" s="973"/>
      <c r="G81" s="973"/>
      <c r="H81" s="973"/>
      <c r="I81" s="973"/>
      <c r="J81" s="973"/>
      <c r="K81" s="973"/>
      <c r="L81" s="991"/>
      <c r="M81" s="992"/>
      <c r="N81" s="992"/>
      <c r="O81" s="992"/>
      <c r="P81" s="992"/>
      <c r="Q81" s="992"/>
      <c r="R81" s="992"/>
      <c r="S81" s="992"/>
      <c r="T81" s="992"/>
      <c r="U81" s="992"/>
      <c r="V81" s="992"/>
      <c r="W81" s="992"/>
      <c r="X81" s="992"/>
      <c r="Y81" s="992"/>
      <c r="Z81" s="992"/>
      <c r="AA81" s="992"/>
      <c r="AB81" s="992"/>
      <c r="AC81" s="990" t="s">
        <v>130</v>
      </c>
      <c r="AD81" s="990"/>
      <c r="AE81" s="990"/>
      <c r="AF81" s="990"/>
      <c r="AG81" s="990"/>
      <c r="AH81" s="990"/>
      <c r="AI81" s="990"/>
      <c r="AJ81" s="990"/>
      <c r="AK81" s="990"/>
      <c r="AL81" s="971"/>
      <c r="AM81" s="984"/>
      <c r="AN81" s="984"/>
      <c r="AO81" s="984"/>
      <c r="AP81" s="984"/>
      <c r="AQ81" s="984"/>
      <c r="AR81" s="984"/>
      <c r="AS81" s="984"/>
      <c r="AT81" s="984"/>
      <c r="AU81" s="984"/>
      <c r="AV81" s="984"/>
      <c r="AW81" s="984"/>
      <c r="AX81" s="984"/>
      <c r="AY81" s="985"/>
      <c r="AZ81" s="378"/>
    </row>
    <row r="82" spans="1:63">
      <c r="A82" s="5"/>
      <c r="B82" s="973" t="s">
        <v>131</v>
      </c>
      <c r="C82" s="973"/>
      <c r="D82" s="973"/>
      <c r="E82" s="973"/>
      <c r="F82" s="973"/>
      <c r="G82" s="973"/>
      <c r="H82" s="973"/>
      <c r="I82" s="973"/>
      <c r="J82" s="973"/>
      <c r="K82" s="973"/>
      <c r="L82" s="991"/>
      <c r="M82" s="992"/>
      <c r="N82" s="992"/>
      <c r="O82" s="992"/>
      <c r="P82" s="992"/>
      <c r="Q82" s="992"/>
      <c r="R82" s="992"/>
      <c r="S82" s="992"/>
      <c r="T82" s="992"/>
      <c r="U82" s="992"/>
      <c r="V82" s="992"/>
      <c r="W82" s="992"/>
      <c r="X82" s="992"/>
      <c r="Y82" s="992"/>
      <c r="Z82" s="992"/>
      <c r="AA82" s="992"/>
      <c r="AB82" s="992"/>
      <c r="AC82" s="990" t="s">
        <v>132</v>
      </c>
      <c r="AD82" s="990"/>
      <c r="AE82" s="990"/>
      <c r="AF82" s="990"/>
      <c r="AG82" s="990"/>
      <c r="AH82" s="990"/>
      <c r="AI82" s="990"/>
      <c r="AJ82" s="990"/>
      <c r="AK82" s="990"/>
      <c r="AL82" s="971"/>
      <c r="AM82" s="984"/>
      <c r="AN82" s="984"/>
      <c r="AO82" s="984"/>
      <c r="AP82" s="984"/>
      <c r="AQ82" s="984"/>
      <c r="AR82" s="984"/>
      <c r="AS82" s="984"/>
      <c r="AT82" s="984"/>
      <c r="AU82" s="984"/>
      <c r="AV82" s="984"/>
      <c r="AW82" s="984"/>
      <c r="AX82" s="984"/>
      <c r="AY82" s="985"/>
      <c r="AZ82" s="378"/>
    </row>
    <row r="83" spans="1:63">
      <c r="A83" s="5"/>
      <c r="B83" s="973" t="s">
        <v>133</v>
      </c>
      <c r="C83" s="973"/>
      <c r="D83" s="973"/>
      <c r="E83" s="973"/>
      <c r="F83" s="973"/>
      <c r="G83" s="973"/>
      <c r="H83" s="973"/>
      <c r="I83" s="973"/>
      <c r="J83" s="973"/>
      <c r="K83" s="973"/>
      <c r="L83" s="974"/>
      <c r="M83" s="975"/>
      <c r="N83" s="975"/>
      <c r="O83" s="975"/>
      <c r="P83" s="975"/>
      <c r="Q83" s="975"/>
      <c r="R83" s="975"/>
      <c r="S83" s="975"/>
      <c r="T83" s="975"/>
      <c r="U83" s="975"/>
      <c r="V83" s="975"/>
      <c r="W83" s="975"/>
      <c r="X83" s="975"/>
      <c r="Y83" s="975"/>
      <c r="Z83" s="975"/>
      <c r="AA83" s="975"/>
      <c r="AB83" s="975"/>
      <c r="AC83" s="975"/>
      <c r="AD83" s="975"/>
      <c r="AE83" s="975"/>
      <c r="AF83" s="975"/>
      <c r="AG83" s="975"/>
      <c r="AH83" s="975"/>
      <c r="AI83" s="975"/>
      <c r="AJ83" s="975"/>
      <c r="AK83" s="975"/>
      <c r="AL83" s="975"/>
      <c r="AM83" s="975"/>
      <c r="AN83" s="975"/>
      <c r="AO83" s="975"/>
      <c r="AP83" s="975"/>
      <c r="AQ83" s="975"/>
      <c r="AR83" s="975"/>
      <c r="AS83" s="975"/>
      <c r="AT83" s="975"/>
      <c r="AU83" s="975"/>
      <c r="AV83" s="975"/>
      <c r="AW83" s="975"/>
      <c r="AX83" s="975"/>
      <c r="AY83" s="976"/>
      <c r="AZ83" s="379"/>
    </row>
    <row r="84" spans="1:63">
      <c r="A84" s="5"/>
      <c r="B84" s="973" t="s">
        <v>140</v>
      </c>
      <c r="C84" s="973"/>
      <c r="D84" s="973"/>
      <c r="E84" s="973"/>
      <c r="F84" s="973"/>
      <c r="G84" s="973"/>
      <c r="H84" s="973"/>
      <c r="I84" s="973"/>
      <c r="J84" s="973"/>
      <c r="K84" s="973"/>
      <c r="L84" s="991"/>
      <c r="M84" s="992"/>
      <c r="N84" s="992"/>
      <c r="O84" s="992"/>
      <c r="P84" s="992"/>
      <c r="Q84" s="992"/>
      <c r="R84" s="992"/>
      <c r="S84" s="992"/>
      <c r="T84" s="992"/>
      <c r="U84" s="992"/>
      <c r="V84" s="992"/>
      <c r="W84" s="992"/>
      <c r="X84" s="992"/>
      <c r="Y84" s="992"/>
      <c r="Z84" s="992"/>
      <c r="AA84" s="992"/>
      <c r="AB84" s="992"/>
      <c r="AC84" s="990" t="s">
        <v>141</v>
      </c>
      <c r="AD84" s="990"/>
      <c r="AE84" s="990"/>
      <c r="AF84" s="990"/>
      <c r="AG84" s="990"/>
      <c r="AH84" s="990"/>
      <c r="AI84" s="990"/>
      <c r="AJ84" s="990"/>
      <c r="AK84" s="990"/>
      <c r="AL84" s="971"/>
      <c r="AM84" s="984"/>
      <c r="AN84" s="984"/>
      <c r="AO84" s="984"/>
      <c r="AP84" s="984"/>
      <c r="AQ84" s="984"/>
      <c r="AR84" s="984"/>
      <c r="AS84" s="984"/>
      <c r="AT84" s="984"/>
      <c r="AU84" s="984"/>
      <c r="AV84" s="984"/>
      <c r="AW84" s="984"/>
      <c r="AX84" s="984"/>
      <c r="AY84" s="985"/>
      <c r="AZ84" s="378"/>
    </row>
    <row r="85" spans="1:63">
      <c r="A85" s="5"/>
      <c r="B85" s="973" t="s">
        <v>142</v>
      </c>
      <c r="C85" s="973"/>
      <c r="D85" s="973"/>
      <c r="E85" s="973"/>
      <c r="F85" s="973"/>
      <c r="G85" s="973"/>
      <c r="H85" s="973"/>
      <c r="I85" s="973"/>
      <c r="J85" s="973"/>
      <c r="K85" s="973"/>
      <c r="L85" s="974"/>
      <c r="M85" s="975"/>
      <c r="N85" s="975"/>
      <c r="O85" s="975"/>
      <c r="P85" s="975"/>
      <c r="Q85" s="975"/>
      <c r="R85" s="975"/>
      <c r="S85" s="975"/>
      <c r="T85" s="975"/>
      <c r="U85" s="975"/>
      <c r="V85" s="975"/>
      <c r="W85" s="975"/>
      <c r="X85" s="975"/>
      <c r="Y85" s="975"/>
      <c r="Z85" s="975"/>
      <c r="AA85" s="975"/>
      <c r="AB85" s="975"/>
      <c r="AC85" s="975"/>
      <c r="AD85" s="975"/>
      <c r="AE85" s="975"/>
      <c r="AF85" s="975"/>
      <c r="AG85" s="975"/>
      <c r="AH85" s="975"/>
      <c r="AI85" s="975"/>
      <c r="AJ85" s="975"/>
      <c r="AK85" s="975"/>
      <c r="AL85" s="975"/>
      <c r="AM85" s="975"/>
      <c r="AN85" s="975"/>
      <c r="AO85" s="975"/>
      <c r="AP85" s="975"/>
      <c r="AQ85" s="975"/>
      <c r="AR85" s="975"/>
      <c r="AS85" s="975"/>
      <c r="AT85" s="975"/>
      <c r="AU85" s="975"/>
      <c r="AV85" s="975"/>
      <c r="AW85" s="975"/>
      <c r="AX85" s="975"/>
      <c r="AY85" s="976"/>
      <c r="AZ85" s="379"/>
    </row>
    <row r="86" spans="1:63">
      <c r="A86" s="5"/>
      <c r="B86" s="973" t="s">
        <v>143</v>
      </c>
      <c r="C86" s="973"/>
      <c r="D86" s="973"/>
      <c r="E86" s="973"/>
      <c r="F86" s="973"/>
      <c r="G86" s="973"/>
      <c r="H86" s="973"/>
      <c r="I86" s="973"/>
      <c r="J86" s="973"/>
      <c r="K86" s="973"/>
      <c r="L86" s="977"/>
      <c r="M86" s="978"/>
      <c r="N86" s="978"/>
      <c r="O86" s="978"/>
      <c r="P86" s="978"/>
      <c r="Q86" s="978"/>
      <c r="R86" s="978"/>
      <c r="S86" s="978"/>
      <c r="T86" s="978"/>
      <c r="U86" s="978"/>
      <c r="V86" s="978"/>
      <c r="W86" s="978"/>
      <c r="X86" s="978"/>
      <c r="Y86" s="978"/>
      <c r="Z86" s="978"/>
      <c r="AA86" s="978"/>
      <c r="AB86" s="978"/>
      <c r="AC86" s="978"/>
      <c r="AD86" s="978"/>
      <c r="AE86" s="978"/>
      <c r="AF86" s="978"/>
      <c r="AG86" s="978"/>
      <c r="AH86" s="978"/>
      <c r="AI86" s="978"/>
      <c r="AJ86" s="978"/>
      <c r="AK86" s="978"/>
      <c r="AL86" s="978"/>
      <c r="AM86" s="978"/>
      <c r="AN86" s="978"/>
      <c r="AO86" s="978"/>
      <c r="AP86" s="978"/>
      <c r="AQ86" s="978"/>
      <c r="AR86" s="978"/>
      <c r="AS86" s="978"/>
      <c r="AT86" s="978"/>
      <c r="AU86" s="978"/>
      <c r="AV86" s="978"/>
      <c r="AW86" s="978"/>
      <c r="AX86" s="978"/>
      <c r="AY86" s="979"/>
      <c r="AZ86" s="379"/>
    </row>
    <row r="87" spans="1:63">
      <c r="A87" s="5"/>
      <c r="B87" s="383"/>
      <c r="C87" s="384"/>
      <c r="D87" s="384"/>
      <c r="E87" s="384"/>
      <c r="F87" s="384"/>
      <c r="G87" s="384"/>
      <c r="H87" s="384"/>
      <c r="I87" s="384"/>
      <c r="J87" s="384"/>
      <c r="K87" s="384"/>
      <c r="L87" s="384"/>
      <c r="M87" s="384"/>
      <c r="N87" s="384"/>
      <c r="O87" s="384"/>
      <c r="P87" s="384"/>
      <c r="Q87" s="384"/>
      <c r="R87" s="384"/>
      <c r="S87" s="384"/>
      <c r="T87" s="384"/>
      <c r="U87" s="384"/>
      <c r="V87" s="384"/>
      <c r="W87" s="384"/>
      <c r="X87" s="384"/>
      <c r="Y87" s="384"/>
      <c r="Z87" s="384"/>
      <c r="AA87" s="384"/>
      <c r="AB87" s="384"/>
      <c r="AC87" s="384"/>
      <c r="AD87" s="384"/>
      <c r="AE87" s="384"/>
      <c r="AF87" s="384"/>
      <c r="AG87" s="384"/>
      <c r="AH87" s="384"/>
      <c r="AI87" s="384"/>
      <c r="AJ87" s="384"/>
      <c r="AK87" s="384"/>
      <c r="AL87" s="384"/>
      <c r="AM87" s="384"/>
      <c r="AN87" s="384"/>
      <c r="AO87" s="384"/>
      <c r="AP87" s="384"/>
      <c r="AQ87" s="384"/>
      <c r="AR87" s="384"/>
      <c r="AS87" s="384"/>
      <c r="AT87" s="384"/>
      <c r="AU87" s="384"/>
      <c r="AV87" s="384"/>
      <c r="AW87" s="384"/>
      <c r="AX87" s="384"/>
      <c r="AY87" s="384"/>
      <c r="AZ87" s="384"/>
    </row>
    <row r="88" spans="1:63">
      <c r="A88" s="5"/>
      <c r="B88" s="980" t="s">
        <v>144</v>
      </c>
      <c r="C88" s="993"/>
      <c r="D88" s="993"/>
      <c r="E88" s="993"/>
      <c r="F88" s="993"/>
      <c r="G88" s="993"/>
      <c r="H88" s="993"/>
      <c r="I88" s="993"/>
      <c r="J88" s="993"/>
      <c r="K88" s="993"/>
      <c r="L88" s="993"/>
      <c r="M88" s="993"/>
      <c r="N88" s="993"/>
      <c r="O88" s="993"/>
      <c r="P88" s="993"/>
      <c r="Q88" s="993"/>
      <c r="R88" s="993"/>
      <c r="S88" s="993"/>
      <c r="T88" s="993"/>
      <c r="U88" s="993"/>
      <c r="V88" s="993"/>
      <c r="W88" s="993"/>
      <c r="X88" s="993"/>
      <c r="Y88" s="993"/>
      <c r="Z88" s="993"/>
      <c r="AA88" s="993"/>
      <c r="AB88" s="993"/>
      <c r="AC88" s="993"/>
      <c r="AD88" s="993"/>
      <c r="AE88" s="993"/>
      <c r="AF88" s="993"/>
      <c r="AG88" s="993"/>
      <c r="AH88" s="993"/>
      <c r="AI88" s="993"/>
      <c r="AJ88" s="993"/>
      <c r="AK88" s="993"/>
      <c r="AL88" s="993"/>
      <c r="AM88" s="993"/>
      <c r="AN88" s="993"/>
      <c r="AO88" s="993"/>
      <c r="AP88" s="993"/>
      <c r="AQ88" s="993"/>
      <c r="AR88" s="993"/>
      <c r="AS88" s="993"/>
      <c r="AT88" s="993"/>
      <c r="AU88" s="993"/>
      <c r="AV88" s="993"/>
      <c r="AW88" s="993"/>
      <c r="AX88" s="993"/>
      <c r="AY88" s="993"/>
      <c r="AZ88" s="993"/>
    </row>
    <row r="89" spans="1:63" s="7" customFormat="1" ht="21" customHeight="1">
      <c r="A89" s="270"/>
      <c r="B89" s="993"/>
      <c r="C89" s="993"/>
      <c r="D89" s="993"/>
      <c r="E89" s="993"/>
      <c r="F89" s="993"/>
      <c r="G89" s="993"/>
      <c r="H89" s="993"/>
      <c r="I89" s="993"/>
      <c r="J89" s="993"/>
      <c r="K89" s="993"/>
      <c r="L89" s="993"/>
      <c r="M89" s="993"/>
      <c r="N89" s="993"/>
      <c r="O89" s="993"/>
      <c r="P89" s="993"/>
      <c r="Q89" s="993"/>
      <c r="R89" s="993"/>
      <c r="S89" s="993"/>
      <c r="T89" s="993"/>
      <c r="U89" s="993"/>
      <c r="V89" s="993"/>
      <c r="W89" s="993"/>
      <c r="X89" s="993"/>
      <c r="Y89" s="993"/>
      <c r="Z89" s="993"/>
      <c r="AA89" s="993"/>
      <c r="AB89" s="993"/>
      <c r="AC89" s="993"/>
      <c r="AD89" s="993"/>
      <c r="AE89" s="993"/>
      <c r="AF89" s="993"/>
      <c r="AG89" s="993"/>
      <c r="AH89" s="993"/>
      <c r="AI89" s="993"/>
      <c r="AJ89" s="993"/>
      <c r="AK89" s="993"/>
      <c r="AL89" s="993"/>
      <c r="AM89" s="993"/>
      <c r="AN89" s="993"/>
      <c r="AO89" s="993"/>
      <c r="AP89" s="993"/>
      <c r="AQ89" s="993"/>
      <c r="AR89" s="993"/>
      <c r="AS89" s="993"/>
      <c r="AT89" s="993"/>
      <c r="AU89" s="993"/>
      <c r="AV89" s="993"/>
      <c r="AW89" s="993"/>
      <c r="AX89" s="993"/>
      <c r="AY89" s="993"/>
      <c r="AZ89" s="993"/>
      <c r="BK89" s="8"/>
    </row>
    <row r="90" spans="1:63" s="7" customFormat="1" ht="21" customHeight="1">
      <c r="A90" s="270"/>
      <c r="B90" s="981" t="s">
        <v>68</v>
      </c>
      <c r="C90" s="981"/>
      <c r="D90" s="981"/>
      <c r="E90" s="982" t="s">
        <v>145</v>
      </c>
      <c r="F90" s="983"/>
      <c r="G90" s="983"/>
      <c r="H90" s="983"/>
      <c r="I90" s="983"/>
      <c r="J90" s="983"/>
      <c r="K90" s="983"/>
      <c r="L90" s="983"/>
      <c r="M90" s="983"/>
      <c r="N90" s="983"/>
      <c r="O90" s="983"/>
      <c r="P90" s="983"/>
      <c r="Q90" s="983"/>
      <c r="R90" s="983"/>
      <c r="S90" s="983"/>
      <c r="T90" s="983"/>
      <c r="U90" s="983"/>
      <c r="V90" s="983"/>
      <c r="W90" s="983"/>
      <c r="X90" s="983"/>
      <c r="Y90" s="983"/>
      <c r="Z90" s="983"/>
      <c r="AA90" s="983"/>
      <c r="AB90" s="983"/>
      <c r="AC90" s="983"/>
      <c r="AD90" s="983"/>
      <c r="AE90" s="983"/>
      <c r="AF90" s="983"/>
      <c r="AG90" s="983"/>
      <c r="AH90" s="983"/>
      <c r="AI90" s="983"/>
      <c r="AJ90" s="983"/>
      <c r="AK90" s="983"/>
      <c r="AL90" s="983"/>
      <c r="AM90" s="983"/>
      <c r="AN90" s="983"/>
      <c r="AO90" s="983"/>
      <c r="AP90" s="983"/>
      <c r="AQ90" s="983"/>
      <c r="AR90" s="983"/>
      <c r="AS90" s="983"/>
      <c r="AT90" s="983"/>
      <c r="AU90" s="983"/>
      <c r="AV90" s="983"/>
      <c r="AW90" s="983"/>
      <c r="AX90" s="983"/>
      <c r="AY90" s="983"/>
      <c r="AZ90" s="382"/>
      <c r="BK90" s="8"/>
    </row>
    <row r="91" spans="1:63">
      <c r="A91" s="5"/>
      <c r="B91" s="973" t="s">
        <v>129</v>
      </c>
      <c r="C91" s="973"/>
      <c r="D91" s="973"/>
      <c r="E91" s="973"/>
      <c r="F91" s="973"/>
      <c r="G91" s="973"/>
      <c r="H91" s="973"/>
      <c r="I91" s="973"/>
      <c r="J91" s="973"/>
      <c r="K91" s="973"/>
      <c r="L91" s="991"/>
      <c r="M91" s="991"/>
      <c r="N91" s="991"/>
      <c r="O91" s="991"/>
      <c r="P91" s="991"/>
      <c r="Q91" s="991"/>
      <c r="R91" s="991"/>
      <c r="S91" s="991"/>
      <c r="T91" s="991"/>
      <c r="U91" s="991"/>
      <c r="V91" s="991"/>
      <c r="W91" s="991"/>
      <c r="X91" s="991"/>
      <c r="Y91" s="991"/>
      <c r="Z91" s="991"/>
      <c r="AA91" s="991"/>
      <c r="AB91" s="991"/>
      <c r="AC91" s="990" t="s">
        <v>130</v>
      </c>
      <c r="AD91" s="990"/>
      <c r="AE91" s="990"/>
      <c r="AF91" s="990"/>
      <c r="AG91" s="990"/>
      <c r="AH91" s="990"/>
      <c r="AI91" s="990"/>
      <c r="AJ91" s="990"/>
      <c r="AK91" s="990"/>
      <c r="AL91" s="971"/>
      <c r="AM91" s="972"/>
      <c r="AN91" s="972"/>
      <c r="AO91" s="972"/>
      <c r="AP91" s="972"/>
      <c r="AQ91" s="972"/>
      <c r="AR91" s="972"/>
      <c r="AS91" s="972"/>
      <c r="AT91" s="972"/>
      <c r="AU91" s="972"/>
      <c r="AV91" s="972"/>
      <c r="AW91" s="972"/>
      <c r="AX91" s="972"/>
      <c r="AY91" s="972"/>
      <c r="AZ91" s="378"/>
    </row>
    <row r="92" spans="1:63">
      <c r="A92" s="5"/>
      <c r="B92" s="973" t="s">
        <v>131</v>
      </c>
      <c r="C92" s="973"/>
      <c r="D92" s="973"/>
      <c r="E92" s="973"/>
      <c r="F92" s="973"/>
      <c r="G92" s="973"/>
      <c r="H92" s="973"/>
      <c r="I92" s="973"/>
      <c r="J92" s="973"/>
      <c r="K92" s="973"/>
      <c r="L92" s="991"/>
      <c r="M92" s="991"/>
      <c r="N92" s="991"/>
      <c r="O92" s="991"/>
      <c r="P92" s="991"/>
      <c r="Q92" s="991"/>
      <c r="R92" s="991"/>
      <c r="S92" s="991"/>
      <c r="T92" s="991"/>
      <c r="U92" s="991"/>
      <c r="V92" s="991"/>
      <c r="W92" s="991"/>
      <c r="X92" s="991"/>
      <c r="Y92" s="991"/>
      <c r="Z92" s="991"/>
      <c r="AA92" s="991"/>
      <c r="AB92" s="991"/>
      <c r="AC92" s="990" t="s">
        <v>132</v>
      </c>
      <c r="AD92" s="990"/>
      <c r="AE92" s="990"/>
      <c r="AF92" s="990"/>
      <c r="AG92" s="990"/>
      <c r="AH92" s="990"/>
      <c r="AI92" s="990"/>
      <c r="AJ92" s="990"/>
      <c r="AK92" s="990"/>
      <c r="AL92" s="971"/>
      <c r="AM92" s="972"/>
      <c r="AN92" s="972"/>
      <c r="AO92" s="972"/>
      <c r="AP92" s="972"/>
      <c r="AQ92" s="972"/>
      <c r="AR92" s="972"/>
      <c r="AS92" s="972"/>
      <c r="AT92" s="972"/>
      <c r="AU92" s="972"/>
      <c r="AV92" s="972"/>
      <c r="AW92" s="972"/>
      <c r="AX92" s="972"/>
      <c r="AY92" s="972"/>
      <c r="AZ92" s="378"/>
    </row>
    <row r="93" spans="1:63">
      <c r="A93" s="5"/>
      <c r="B93" s="973" t="s">
        <v>133</v>
      </c>
      <c r="C93" s="973"/>
      <c r="D93" s="973"/>
      <c r="E93" s="973"/>
      <c r="F93" s="973"/>
      <c r="G93" s="973"/>
      <c r="H93" s="973"/>
      <c r="I93" s="973"/>
      <c r="J93" s="973"/>
      <c r="K93" s="973"/>
      <c r="L93" s="974"/>
      <c r="M93" s="986"/>
      <c r="N93" s="986"/>
      <c r="O93" s="986"/>
      <c r="P93" s="986"/>
      <c r="Q93" s="986"/>
      <c r="R93" s="986"/>
      <c r="S93" s="986"/>
      <c r="T93" s="986"/>
      <c r="U93" s="986"/>
      <c r="V93" s="986"/>
      <c r="W93" s="986"/>
      <c r="X93" s="986"/>
      <c r="Y93" s="986"/>
      <c r="Z93" s="986"/>
      <c r="AA93" s="986"/>
      <c r="AB93" s="986"/>
      <c r="AC93" s="986"/>
      <c r="AD93" s="986"/>
      <c r="AE93" s="986"/>
      <c r="AF93" s="986"/>
      <c r="AG93" s="986"/>
      <c r="AH93" s="986"/>
      <c r="AI93" s="986"/>
      <c r="AJ93" s="986"/>
      <c r="AK93" s="986"/>
      <c r="AL93" s="986"/>
      <c r="AM93" s="986"/>
      <c r="AN93" s="986"/>
      <c r="AO93" s="986"/>
      <c r="AP93" s="986"/>
      <c r="AQ93" s="986"/>
      <c r="AR93" s="986"/>
      <c r="AS93" s="986"/>
      <c r="AT93" s="986"/>
      <c r="AU93" s="986"/>
      <c r="AV93" s="986"/>
      <c r="AW93" s="986"/>
      <c r="AX93" s="986"/>
      <c r="AY93" s="986"/>
      <c r="AZ93" s="379"/>
    </row>
    <row r="94" spans="1:63">
      <c r="A94" s="5"/>
      <c r="B94" s="973" t="s">
        <v>146</v>
      </c>
      <c r="C94" s="973"/>
      <c r="D94" s="973"/>
      <c r="E94" s="973"/>
      <c r="F94" s="973"/>
      <c r="G94" s="973"/>
      <c r="H94" s="973"/>
      <c r="I94" s="973"/>
      <c r="J94" s="973"/>
      <c r="K94" s="973"/>
      <c r="L94" s="991"/>
      <c r="M94" s="991"/>
      <c r="N94" s="991"/>
      <c r="O94" s="991"/>
      <c r="P94" s="991"/>
      <c r="Q94" s="991"/>
      <c r="R94" s="991"/>
      <c r="S94" s="991"/>
      <c r="T94" s="991"/>
      <c r="U94" s="991"/>
      <c r="V94" s="991"/>
      <c r="W94" s="991"/>
      <c r="X94" s="991"/>
      <c r="Y94" s="991"/>
      <c r="Z94" s="991"/>
      <c r="AA94" s="991"/>
      <c r="AB94" s="991"/>
      <c r="AC94" s="990" t="s">
        <v>147</v>
      </c>
      <c r="AD94" s="990"/>
      <c r="AE94" s="990"/>
      <c r="AF94" s="990"/>
      <c r="AG94" s="990"/>
      <c r="AH94" s="990"/>
      <c r="AI94" s="990"/>
      <c r="AJ94" s="990"/>
      <c r="AK94" s="990"/>
      <c r="AL94" s="971"/>
      <c r="AM94" s="972"/>
      <c r="AN94" s="972"/>
      <c r="AO94" s="972"/>
      <c r="AP94" s="972"/>
      <c r="AQ94" s="972"/>
      <c r="AR94" s="972"/>
      <c r="AS94" s="972"/>
      <c r="AT94" s="972"/>
      <c r="AU94" s="972"/>
      <c r="AV94" s="972"/>
      <c r="AW94" s="972"/>
      <c r="AX94" s="972"/>
      <c r="AY94" s="972"/>
      <c r="AZ94" s="378"/>
    </row>
    <row r="95" spans="1:63">
      <c r="A95" s="5"/>
      <c r="B95" s="973" t="s">
        <v>148</v>
      </c>
      <c r="C95" s="973"/>
      <c r="D95" s="973"/>
      <c r="E95" s="973"/>
      <c r="F95" s="973"/>
      <c r="G95" s="973"/>
      <c r="H95" s="973"/>
      <c r="I95" s="973"/>
      <c r="J95" s="973"/>
      <c r="K95" s="973"/>
      <c r="L95" s="974"/>
      <c r="M95" s="986"/>
      <c r="N95" s="986"/>
      <c r="O95" s="986"/>
      <c r="P95" s="986"/>
      <c r="Q95" s="986"/>
      <c r="R95" s="986"/>
      <c r="S95" s="986"/>
      <c r="T95" s="986"/>
      <c r="U95" s="986"/>
      <c r="V95" s="986"/>
      <c r="W95" s="986"/>
      <c r="X95" s="986"/>
      <c r="Y95" s="986"/>
      <c r="Z95" s="986"/>
      <c r="AA95" s="986"/>
      <c r="AB95" s="986"/>
      <c r="AC95" s="986"/>
      <c r="AD95" s="986"/>
      <c r="AE95" s="986"/>
      <c r="AF95" s="986"/>
      <c r="AG95" s="986"/>
      <c r="AH95" s="986"/>
      <c r="AI95" s="986"/>
      <c r="AJ95" s="986"/>
      <c r="AK95" s="986"/>
      <c r="AL95" s="986"/>
      <c r="AM95" s="986"/>
      <c r="AN95" s="986"/>
      <c r="AO95" s="986"/>
      <c r="AP95" s="986"/>
      <c r="AQ95" s="986"/>
      <c r="AR95" s="986"/>
      <c r="AS95" s="986"/>
      <c r="AT95" s="986"/>
      <c r="AU95" s="986"/>
      <c r="AV95" s="986"/>
      <c r="AW95" s="986"/>
      <c r="AX95" s="986"/>
      <c r="AY95" s="986"/>
      <c r="AZ95" s="379"/>
    </row>
    <row r="96" spans="1:63">
      <c r="A96" s="5"/>
      <c r="B96" s="973" t="s">
        <v>149</v>
      </c>
      <c r="C96" s="973"/>
      <c r="D96" s="973"/>
      <c r="E96" s="973"/>
      <c r="F96" s="973"/>
      <c r="G96" s="973"/>
      <c r="H96" s="973"/>
      <c r="I96" s="973"/>
      <c r="J96" s="973"/>
      <c r="K96" s="973"/>
      <c r="L96" s="977"/>
      <c r="M96" s="988"/>
      <c r="N96" s="988"/>
      <c r="O96" s="988"/>
      <c r="P96" s="988"/>
      <c r="Q96" s="988"/>
      <c r="R96" s="988"/>
      <c r="S96" s="988"/>
      <c r="T96" s="988"/>
      <c r="U96" s="988"/>
      <c r="V96" s="988"/>
      <c r="W96" s="988"/>
      <c r="X96" s="988"/>
      <c r="Y96" s="988"/>
      <c r="Z96" s="988"/>
      <c r="AA96" s="988"/>
      <c r="AB96" s="988"/>
      <c r="AC96" s="988"/>
      <c r="AD96" s="988"/>
      <c r="AE96" s="988"/>
      <c r="AF96" s="988"/>
      <c r="AG96" s="988"/>
      <c r="AH96" s="988"/>
      <c r="AI96" s="988"/>
      <c r="AJ96" s="988"/>
      <c r="AK96" s="988"/>
      <c r="AL96" s="988"/>
      <c r="AM96" s="988"/>
      <c r="AN96" s="988"/>
      <c r="AO96" s="988"/>
      <c r="AP96" s="988"/>
      <c r="AQ96" s="988"/>
      <c r="AR96" s="988"/>
      <c r="AS96" s="988"/>
      <c r="AT96" s="988"/>
      <c r="AU96" s="988"/>
      <c r="AV96" s="988"/>
      <c r="AW96" s="988"/>
      <c r="AX96" s="988"/>
      <c r="AY96" s="988"/>
      <c r="AZ96" s="379"/>
    </row>
    <row r="97" spans="1:63">
      <c r="A97" s="5"/>
      <c r="B97" s="380"/>
      <c r="C97" s="380"/>
      <c r="D97" s="380"/>
      <c r="E97" s="380"/>
      <c r="F97" s="380"/>
      <c r="G97" s="380"/>
      <c r="H97" s="380"/>
      <c r="I97" s="380"/>
      <c r="J97" s="380"/>
      <c r="K97" s="380"/>
      <c r="L97" s="381"/>
      <c r="M97" s="381"/>
      <c r="N97" s="381"/>
      <c r="O97" s="381"/>
      <c r="P97" s="381"/>
      <c r="Q97" s="381"/>
      <c r="R97" s="381"/>
      <c r="S97" s="381"/>
      <c r="T97" s="381"/>
      <c r="U97" s="381"/>
      <c r="V97" s="381"/>
      <c r="W97" s="381"/>
      <c r="X97" s="381"/>
      <c r="Y97" s="381"/>
      <c r="Z97" s="381"/>
      <c r="AA97" s="381"/>
      <c r="AB97" s="381"/>
      <c r="AC97" s="381"/>
      <c r="AD97" s="381"/>
      <c r="AE97" s="381"/>
      <c r="AF97" s="381"/>
      <c r="AG97" s="381"/>
      <c r="AH97" s="381"/>
      <c r="AI97" s="381"/>
      <c r="AJ97" s="381"/>
      <c r="AK97" s="381"/>
      <c r="AL97" s="381"/>
      <c r="AM97" s="381"/>
      <c r="AN97" s="381"/>
      <c r="AO97" s="381"/>
      <c r="AP97" s="381"/>
      <c r="AQ97" s="381"/>
      <c r="AR97" s="381"/>
      <c r="AS97" s="381"/>
      <c r="AT97" s="381"/>
      <c r="AU97" s="381"/>
      <c r="AV97" s="381"/>
      <c r="AW97" s="381"/>
      <c r="AX97" s="381"/>
      <c r="AY97" s="381"/>
      <c r="AZ97" s="381"/>
    </row>
    <row r="98" spans="1:63">
      <c r="A98" s="5"/>
      <c r="B98" s="980" t="s">
        <v>150</v>
      </c>
      <c r="C98" s="980"/>
      <c r="D98" s="980"/>
      <c r="E98" s="980"/>
      <c r="F98" s="980"/>
      <c r="G98" s="980"/>
      <c r="H98" s="980"/>
      <c r="I98" s="980"/>
      <c r="J98" s="980"/>
      <c r="K98" s="980"/>
      <c r="L98" s="980"/>
      <c r="M98" s="980"/>
      <c r="N98" s="980"/>
      <c r="O98" s="980"/>
      <c r="P98" s="980"/>
      <c r="Q98" s="381"/>
      <c r="R98" s="381"/>
      <c r="S98" s="381"/>
      <c r="T98" s="381"/>
      <c r="U98" s="381"/>
      <c r="V98" s="381"/>
      <c r="W98" s="381"/>
      <c r="X98" s="381"/>
      <c r="Y98" s="381"/>
      <c r="Z98" s="381"/>
      <c r="AA98" s="381"/>
      <c r="AB98" s="381"/>
      <c r="AC98" s="381"/>
      <c r="AD98" s="381"/>
      <c r="AE98" s="381"/>
      <c r="AF98" s="381"/>
      <c r="AG98" s="381"/>
      <c r="AH98" s="381"/>
      <c r="AI98" s="381"/>
      <c r="AJ98" s="381"/>
      <c r="AK98" s="381"/>
      <c r="AL98" s="381"/>
      <c r="AM98" s="381"/>
      <c r="AN98" s="381"/>
      <c r="AO98" s="381"/>
      <c r="AP98" s="381"/>
      <c r="AQ98" s="381"/>
      <c r="AR98" s="381"/>
      <c r="AS98" s="381"/>
      <c r="AT98" s="381"/>
      <c r="AU98" s="381"/>
      <c r="AV98" s="381"/>
      <c r="AW98" s="381"/>
      <c r="AX98" s="381"/>
      <c r="AY98" s="381"/>
      <c r="AZ98" s="381"/>
    </row>
    <row r="99" spans="1:63" s="7" customFormat="1" ht="21" customHeight="1">
      <c r="A99" s="270"/>
      <c r="B99" s="980"/>
      <c r="C99" s="980"/>
      <c r="D99" s="980"/>
      <c r="E99" s="980"/>
      <c r="F99" s="980"/>
      <c r="G99" s="980"/>
      <c r="H99" s="980"/>
      <c r="I99" s="980"/>
      <c r="J99" s="980"/>
      <c r="K99" s="980"/>
      <c r="L99" s="980"/>
      <c r="M99" s="980"/>
      <c r="N99" s="980"/>
      <c r="O99" s="980"/>
      <c r="P99" s="980"/>
      <c r="Q99" s="384"/>
      <c r="R99" s="384"/>
      <c r="S99" s="384"/>
      <c r="T99" s="384"/>
      <c r="U99" s="384"/>
      <c r="V99" s="384"/>
      <c r="W99" s="384"/>
      <c r="X99" s="384"/>
      <c r="Y99" s="384"/>
      <c r="Z99" s="384"/>
      <c r="AA99" s="384"/>
      <c r="AB99" s="384"/>
      <c r="AC99" s="384"/>
      <c r="AD99" s="384"/>
      <c r="AE99" s="384"/>
      <c r="AF99" s="384"/>
      <c r="AG99" s="384"/>
      <c r="AH99" s="384"/>
      <c r="AI99" s="384"/>
      <c r="AJ99" s="384"/>
      <c r="AK99" s="384"/>
      <c r="AL99" s="384"/>
      <c r="AM99" s="384"/>
      <c r="AN99" s="384"/>
      <c r="AO99" s="384"/>
      <c r="AP99" s="384"/>
      <c r="AQ99" s="384"/>
      <c r="AR99" s="384"/>
      <c r="AS99" s="384"/>
      <c r="AT99" s="384"/>
      <c r="AU99" s="384"/>
      <c r="AV99" s="384"/>
      <c r="AW99" s="384"/>
      <c r="AX99" s="384"/>
      <c r="AY99" s="384"/>
      <c r="AZ99" s="384"/>
      <c r="BK99" s="8"/>
    </row>
    <row r="100" spans="1:63" s="7" customFormat="1" ht="21" customHeight="1">
      <c r="A100" s="270"/>
      <c r="B100" s="981" t="s">
        <v>68</v>
      </c>
      <c r="C100" s="981"/>
      <c r="D100" s="981"/>
      <c r="E100" s="982" t="s">
        <v>139</v>
      </c>
      <c r="F100" s="983"/>
      <c r="G100" s="983"/>
      <c r="H100" s="983"/>
      <c r="I100" s="983"/>
      <c r="J100" s="983"/>
      <c r="K100" s="983"/>
      <c r="L100" s="983"/>
      <c r="M100" s="983"/>
      <c r="N100" s="983"/>
      <c r="O100" s="983"/>
      <c r="P100" s="983"/>
      <c r="Q100" s="983"/>
      <c r="R100" s="983"/>
      <c r="S100" s="983"/>
      <c r="T100" s="983"/>
      <c r="U100" s="983"/>
      <c r="V100" s="983"/>
      <c r="W100" s="983"/>
      <c r="X100" s="983"/>
      <c r="Y100" s="983"/>
      <c r="Z100" s="983"/>
      <c r="AA100" s="983"/>
      <c r="AB100" s="983"/>
      <c r="AC100" s="983"/>
      <c r="AD100" s="983"/>
      <c r="AE100" s="983"/>
      <c r="AF100" s="983"/>
      <c r="AG100" s="983"/>
      <c r="AH100" s="983"/>
      <c r="AI100" s="983"/>
      <c r="AJ100" s="983"/>
      <c r="AK100" s="983"/>
      <c r="AL100" s="983"/>
      <c r="AM100" s="983"/>
      <c r="AN100" s="983"/>
      <c r="AO100" s="983"/>
      <c r="AP100" s="983"/>
      <c r="AQ100" s="983"/>
      <c r="AR100" s="983"/>
      <c r="AS100" s="983"/>
      <c r="AT100" s="983"/>
      <c r="AU100" s="983"/>
      <c r="AV100" s="983"/>
      <c r="AW100" s="983"/>
      <c r="AX100" s="983"/>
      <c r="AY100" s="998"/>
      <c r="AZ100" s="382"/>
      <c r="BK100" s="8"/>
    </row>
    <row r="101" spans="1:63">
      <c r="A101" s="5"/>
      <c r="B101" s="973" t="s">
        <v>129</v>
      </c>
      <c r="C101" s="973"/>
      <c r="D101" s="973"/>
      <c r="E101" s="973"/>
      <c r="F101" s="973"/>
      <c r="G101" s="973"/>
      <c r="H101" s="973"/>
      <c r="I101" s="973"/>
      <c r="J101" s="973"/>
      <c r="K101" s="973"/>
      <c r="L101" s="991"/>
      <c r="M101" s="991"/>
      <c r="N101" s="991"/>
      <c r="O101" s="991"/>
      <c r="P101" s="991"/>
      <c r="Q101" s="991"/>
      <c r="R101" s="991"/>
      <c r="S101" s="991"/>
      <c r="T101" s="991"/>
      <c r="U101" s="991"/>
      <c r="V101" s="991"/>
      <c r="W101" s="991"/>
      <c r="X101" s="991"/>
      <c r="Y101" s="991"/>
      <c r="Z101" s="991"/>
      <c r="AA101" s="991"/>
      <c r="AB101" s="991"/>
      <c r="AC101" s="990" t="s">
        <v>130</v>
      </c>
      <c r="AD101" s="990"/>
      <c r="AE101" s="990"/>
      <c r="AF101" s="990"/>
      <c r="AG101" s="990"/>
      <c r="AH101" s="990"/>
      <c r="AI101" s="990"/>
      <c r="AJ101" s="990"/>
      <c r="AK101" s="990"/>
      <c r="AL101" s="971"/>
      <c r="AM101" s="972"/>
      <c r="AN101" s="972"/>
      <c r="AO101" s="972"/>
      <c r="AP101" s="972"/>
      <c r="AQ101" s="972"/>
      <c r="AR101" s="972"/>
      <c r="AS101" s="972"/>
      <c r="AT101" s="972"/>
      <c r="AU101" s="972"/>
      <c r="AV101" s="972"/>
      <c r="AW101" s="972"/>
      <c r="AX101" s="972"/>
      <c r="AY101" s="997"/>
      <c r="AZ101" s="378"/>
    </row>
    <row r="102" spans="1:63">
      <c r="A102" s="5"/>
      <c r="B102" s="973" t="s">
        <v>131</v>
      </c>
      <c r="C102" s="973"/>
      <c r="D102" s="973"/>
      <c r="E102" s="973"/>
      <c r="F102" s="973"/>
      <c r="G102" s="973"/>
      <c r="H102" s="973"/>
      <c r="I102" s="973"/>
      <c r="J102" s="973"/>
      <c r="K102" s="973"/>
      <c r="L102" s="991"/>
      <c r="M102" s="991"/>
      <c r="N102" s="991"/>
      <c r="O102" s="991"/>
      <c r="P102" s="991"/>
      <c r="Q102" s="991"/>
      <c r="R102" s="991"/>
      <c r="S102" s="991"/>
      <c r="T102" s="991"/>
      <c r="U102" s="991"/>
      <c r="V102" s="991"/>
      <c r="W102" s="991"/>
      <c r="X102" s="991"/>
      <c r="Y102" s="991"/>
      <c r="Z102" s="991"/>
      <c r="AA102" s="991"/>
      <c r="AB102" s="991"/>
      <c r="AC102" s="990" t="s">
        <v>132</v>
      </c>
      <c r="AD102" s="990"/>
      <c r="AE102" s="990"/>
      <c r="AF102" s="990"/>
      <c r="AG102" s="990"/>
      <c r="AH102" s="990"/>
      <c r="AI102" s="990"/>
      <c r="AJ102" s="990"/>
      <c r="AK102" s="990"/>
      <c r="AL102" s="971"/>
      <c r="AM102" s="972"/>
      <c r="AN102" s="972"/>
      <c r="AO102" s="972"/>
      <c r="AP102" s="972"/>
      <c r="AQ102" s="972"/>
      <c r="AR102" s="972"/>
      <c r="AS102" s="972"/>
      <c r="AT102" s="972"/>
      <c r="AU102" s="972"/>
      <c r="AV102" s="972"/>
      <c r="AW102" s="972"/>
      <c r="AX102" s="972"/>
      <c r="AY102" s="997"/>
      <c r="AZ102" s="378"/>
    </row>
    <row r="103" spans="1:63">
      <c r="A103" s="5"/>
      <c r="B103" s="973" t="s">
        <v>133</v>
      </c>
      <c r="C103" s="973"/>
      <c r="D103" s="973"/>
      <c r="E103" s="973"/>
      <c r="F103" s="973"/>
      <c r="G103" s="973"/>
      <c r="H103" s="973"/>
      <c r="I103" s="973"/>
      <c r="J103" s="973"/>
      <c r="K103" s="973"/>
      <c r="L103" s="974"/>
      <c r="M103" s="986"/>
      <c r="N103" s="986"/>
      <c r="O103" s="986"/>
      <c r="P103" s="986"/>
      <c r="Q103" s="986"/>
      <c r="R103" s="986"/>
      <c r="S103" s="986"/>
      <c r="T103" s="986"/>
      <c r="U103" s="986"/>
      <c r="V103" s="986"/>
      <c r="W103" s="986"/>
      <c r="X103" s="986"/>
      <c r="Y103" s="986"/>
      <c r="Z103" s="986"/>
      <c r="AA103" s="986"/>
      <c r="AB103" s="986"/>
      <c r="AC103" s="986"/>
      <c r="AD103" s="986"/>
      <c r="AE103" s="986"/>
      <c r="AF103" s="986"/>
      <c r="AG103" s="986"/>
      <c r="AH103" s="986"/>
      <c r="AI103" s="986"/>
      <c r="AJ103" s="986"/>
      <c r="AK103" s="986"/>
      <c r="AL103" s="986"/>
      <c r="AM103" s="986"/>
      <c r="AN103" s="986"/>
      <c r="AO103" s="986"/>
      <c r="AP103" s="986"/>
      <c r="AQ103" s="986"/>
      <c r="AR103" s="986"/>
      <c r="AS103" s="986"/>
      <c r="AT103" s="986"/>
      <c r="AU103" s="986"/>
      <c r="AV103" s="986"/>
      <c r="AW103" s="986"/>
      <c r="AX103" s="986"/>
      <c r="AY103" s="987"/>
      <c r="AZ103" s="379"/>
    </row>
    <row r="104" spans="1:63">
      <c r="A104" s="5"/>
      <c r="B104" s="973" t="s">
        <v>151</v>
      </c>
      <c r="C104" s="973"/>
      <c r="D104" s="973"/>
      <c r="E104" s="973"/>
      <c r="F104" s="973"/>
      <c r="G104" s="973"/>
      <c r="H104" s="973"/>
      <c r="I104" s="973"/>
      <c r="J104" s="973"/>
      <c r="K104" s="973"/>
      <c r="L104" s="991"/>
      <c r="M104" s="991"/>
      <c r="N104" s="991"/>
      <c r="O104" s="991"/>
      <c r="P104" s="991"/>
      <c r="Q104" s="991"/>
      <c r="R104" s="991"/>
      <c r="S104" s="991"/>
      <c r="T104" s="991"/>
      <c r="U104" s="991"/>
      <c r="V104" s="991"/>
      <c r="W104" s="991"/>
      <c r="X104" s="991"/>
      <c r="Y104" s="991"/>
      <c r="Z104" s="991"/>
      <c r="AA104" s="991"/>
      <c r="AB104" s="991"/>
      <c r="AC104" s="990" t="s">
        <v>152</v>
      </c>
      <c r="AD104" s="990"/>
      <c r="AE104" s="990"/>
      <c r="AF104" s="990"/>
      <c r="AG104" s="990"/>
      <c r="AH104" s="990"/>
      <c r="AI104" s="990"/>
      <c r="AJ104" s="990"/>
      <c r="AK104" s="990"/>
      <c r="AL104" s="971"/>
      <c r="AM104" s="972"/>
      <c r="AN104" s="972"/>
      <c r="AO104" s="972"/>
      <c r="AP104" s="972"/>
      <c r="AQ104" s="972"/>
      <c r="AR104" s="972"/>
      <c r="AS104" s="972"/>
      <c r="AT104" s="972"/>
      <c r="AU104" s="972"/>
      <c r="AV104" s="972"/>
      <c r="AW104" s="972"/>
      <c r="AX104" s="972"/>
      <c r="AY104" s="997"/>
      <c r="AZ104" s="378"/>
    </row>
    <row r="105" spans="1:63">
      <c r="A105" s="5"/>
      <c r="B105" s="973" t="s">
        <v>153</v>
      </c>
      <c r="C105" s="973"/>
      <c r="D105" s="973"/>
      <c r="E105" s="973"/>
      <c r="F105" s="973"/>
      <c r="G105" s="973"/>
      <c r="H105" s="973"/>
      <c r="I105" s="973"/>
      <c r="J105" s="973"/>
      <c r="K105" s="973"/>
      <c r="L105" s="974"/>
      <c r="M105" s="986"/>
      <c r="N105" s="986"/>
      <c r="O105" s="986"/>
      <c r="P105" s="986"/>
      <c r="Q105" s="986"/>
      <c r="R105" s="986"/>
      <c r="S105" s="986"/>
      <c r="T105" s="986"/>
      <c r="U105" s="986"/>
      <c r="V105" s="986"/>
      <c r="W105" s="986"/>
      <c r="X105" s="986"/>
      <c r="Y105" s="986"/>
      <c r="Z105" s="986"/>
      <c r="AA105" s="986"/>
      <c r="AB105" s="986"/>
      <c r="AC105" s="986"/>
      <c r="AD105" s="986"/>
      <c r="AE105" s="986"/>
      <c r="AF105" s="986"/>
      <c r="AG105" s="986"/>
      <c r="AH105" s="986"/>
      <c r="AI105" s="986"/>
      <c r="AJ105" s="986"/>
      <c r="AK105" s="986"/>
      <c r="AL105" s="986"/>
      <c r="AM105" s="986"/>
      <c r="AN105" s="986"/>
      <c r="AO105" s="986"/>
      <c r="AP105" s="986"/>
      <c r="AQ105" s="986"/>
      <c r="AR105" s="986"/>
      <c r="AS105" s="986"/>
      <c r="AT105" s="986"/>
      <c r="AU105" s="986"/>
      <c r="AV105" s="986"/>
      <c r="AW105" s="986"/>
      <c r="AX105" s="986"/>
      <c r="AY105" s="987"/>
      <c r="AZ105" s="379"/>
    </row>
    <row r="106" spans="1:63">
      <c r="A106" s="5"/>
      <c r="B106" s="973" t="s">
        <v>154</v>
      </c>
      <c r="C106" s="973"/>
      <c r="D106" s="973"/>
      <c r="E106" s="973"/>
      <c r="F106" s="973"/>
      <c r="G106" s="973"/>
      <c r="H106" s="973"/>
      <c r="I106" s="973"/>
      <c r="J106" s="973"/>
      <c r="K106" s="973"/>
      <c r="L106" s="977"/>
      <c r="M106" s="988"/>
      <c r="N106" s="988"/>
      <c r="O106" s="988"/>
      <c r="P106" s="988"/>
      <c r="Q106" s="988"/>
      <c r="R106" s="988"/>
      <c r="S106" s="988"/>
      <c r="T106" s="988"/>
      <c r="U106" s="988"/>
      <c r="V106" s="988"/>
      <c r="W106" s="988"/>
      <c r="X106" s="988"/>
      <c r="Y106" s="988"/>
      <c r="Z106" s="988"/>
      <c r="AA106" s="988"/>
      <c r="AB106" s="988"/>
      <c r="AC106" s="988"/>
      <c r="AD106" s="988"/>
      <c r="AE106" s="988"/>
      <c r="AF106" s="988"/>
      <c r="AG106" s="988"/>
      <c r="AH106" s="988"/>
      <c r="AI106" s="988"/>
      <c r="AJ106" s="988"/>
      <c r="AK106" s="988"/>
      <c r="AL106" s="988"/>
      <c r="AM106" s="988"/>
      <c r="AN106" s="988"/>
      <c r="AO106" s="988"/>
      <c r="AP106" s="988"/>
      <c r="AQ106" s="988"/>
      <c r="AR106" s="988"/>
      <c r="AS106" s="988"/>
      <c r="AT106" s="988"/>
      <c r="AU106" s="988"/>
      <c r="AV106" s="988"/>
      <c r="AW106" s="988"/>
      <c r="AX106" s="988"/>
      <c r="AY106" s="989"/>
      <c r="AZ106" s="379"/>
    </row>
    <row r="107" spans="1:63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</row>
    <row r="108" spans="1:63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</row>
  </sheetData>
  <sheetProtection algorithmName="SHA-512" hashValue="OraowucYZSmjvWhZqkH+mgLMYP4R2GetgNO0pf2wVNLvC6yk6wCEHZS7Sd/ZLxRWlNy5zXprWTHupdBwDIn8Zw==" saltValue="eRZ+mPspc+oyOGmfOg3Epw==" spinCount="100000" sheet="1" selectLockedCells="1"/>
  <mergeCells count="298">
    <mergeCell ref="N1:AM3"/>
    <mergeCell ref="B4:AQ4"/>
    <mergeCell ref="B5:G5"/>
    <mergeCell ref="H5:Y5"/>
    <mergeCell ref="Z5:AD5"/>
    <mergeCell ref="AE5:AY5"/>
    <mergeCell ref="B6:G6"/>
    <mergeCell ref="H6:I6"/>
    <mergeCell ref="K6:N6"/>
    <mergeCell ref="P6:S6"/>
    <mergeCell ref="U6:X6"/>
    <mergeCell ref="B7:G9"/>
    <mergeCell ref="H7:K7"/>
    <mergeCell ref="L7:AY7"/>
    <mergeCell ref="H8:AY9"/>
    <mergeCell ref="B10:G13"/>
    <mergeCell ref="I10:L10"/>
    <mergeCell ref="N10:Q10"/>
    <mergeCell ref="R10:T10"/>
    <mergeCell ref="U10:AY10"/>
    <mergeCell ref="H13:I13"/>
    <mergeCell ref="K13:P13"/>
    <mergeCell ref="Q13:S13"/>
    <mergeCell ref="T13:AY13"/>
    <mergeCell ref="BK10:BP10"/>
    <mergeCell ref="H11:K12"/>
    <mergeCell ref="L11:Q12"/>
    <mergeCell ref="R11:T12"/>
    <mergeCell ref="U11:AB12"/>
    <mergeCell ref="AC11:AE12"/>
    <mergeCell ref="AF11:AY12"/>
    <mergeCell ref="BK11:BP11"/>
    <mergeCell ref="BK12:BP12"/>
    <mergeCell ref="BK13:BP13"/>
    <mergeCell ref="AC16:AE17"/>
    <mergeCell ref="AF16:AY17"/>
    <mergeCell ref="H18:I18"/>
    <mergeCell ref="K18:P18"/>
    <mergeCell ref="R18:T18"/>
    <mergeCell ref="U18:AY18"/>
    <mergeCell ref="B14:G18"/>
    <mergeCell ref="H14:I14"/>
    <mergeCell ref="I15:L15"/>
    <mergeCell ref="N15:Q15"/>
    <mergeCell ref="R15:T15"/>
    <mergeCell ref="U15:AY15"/>
    <mergeCell ref="H16:K17"/>
    <mergeCell ref="L16:Q17"/>
    <mergeCell ref="R16:T17"/>
    <mergeCell ref="U16:AB17"/>
    <mergeCell ref="B19:G19"/>
    <mergeCell ref="H19:K19"/>
    <mergeCell ref="V19:AY19"/>
    <mergeCell ref="B20:B29"/>
    <mergeCell ref="C20:G22"/>
    <mergeCell ref="H20:V22"/>
    <mergeCell ref="W20:AB22"/>
    <mergeCell ref="AC20:AE20"/>
    <mergeCell ref="AF20:AY20"/>
    <mergeCell ref="AC21:AY22"/>
    <mergeCell ref="C23:G25"/>
    <mergeCell ref="W23:AY28"/>
    <mergeCell ref="I24:K24"/>
    <mergeCell ref="M24:P24"/>
    <mergeCell ref="R24:V24"/>
    <mergeCell ref="K25:S25"/>
    <mergeCell ref="C26:G28"/>
    <mergeCell ref="I27:K27"/>
    <mergeCell ref="M27:P27"/>
    <mergeCell ref="R27:V27"/>
    <mergeCell ref="C29:G29"/>
    <mergeCell ref="H29:Z29"/>
    <mergeCell ref="AB29:AY29"/>
    <mergeCell ref="B30:AY30"/>
    <mergeCell ref="B32:G32"/>
    <mergeCell ref="M32:W32"/>
    <mergeCell ref="X32:Y32"/>
    <mergeCell ref="Z32:AE32"/>
    <mergeCell ref="AF32:AG32"/>
    <mergeCell ref="AH32:AM32"/>
    <mergeCell ref="AN32:AY32"/>
    <mergeCell ref="B35:G37"/>
    <mergeCell ref="H35:K35"/>
    <mergeCell ref="L35:U35"/>
    <mergeCell ref="W35:X35"/>
    <mergeCell ref="Y35:AC35"/>
    <mergeCell ref="AD35:AG35"/>
    <mergeCell ref="AH35:AP35"/>
    <mergeCell ref="AR35:AS35"/>
    <mergeCell ref="AT35:AY35"/>
    <mergeCell ref="AR36:AS36"/>
    <mergeCell ref="AT36:AY36"/>
    <mergeCell ref="H37:K37"/>
    <mergeCell ref="L37:U37"/>
    <mergeCell ref="W37:X37"/>
    <mergeCell ref="Y37:AC37"/>
    <mergeCell ref="AD37:AG37"/>
    <mergeCell ref="AH37:AP37"/>
    <mergeCell ref="AR37:AS37"/>
    <mergeCell ref="AT37:AY37"/>
    <mergeCell ref="H36:K36"/>
    <mergeCell ref="L36:U36"/>
    <mergeCell ref="W36:X36"/>
    <mergeCell ref="Y36:AC36"/>
    <mergeCell ref="AD36:AG36"/>
    <mergeCell ref="AH36:AP36"/>
    <mergeCell ref="AT39:AY39"/>
    <mergeCell ref="B40:G40"/>
    <mergeCell ref="H40:I40"/>
    <mergeCell ref="J40:M40"/>
    <mergeCell ref="O40:R40"/>
    <mergeCell ref="T40:W40"/>
    <mergeCell ref="Y40:AY41"/>
    <mergeCell ref="AH38:AP38"/>
    <mergeCell ref="AR38:AS38"/>
    <mergeCell ref="AT38:AY38"/>
    <mergeCell ref="H39:K39"/>
    <mergeCell ref="L39:U39"/>
    <mergeCell ref="W39:X39"/>
    <mergeCell ref="Y39:AC39"/>
    <mergeCell ref="AD39:AG39"/>
    <mergeCell ref="AH39:AP39"/>
    <mergeCell ref="AR39:AS39"/>
    <mergeCell ref="B38:G39"/>
    <mergeCell ref="H38:K38"/>
    <mergeCell ref="L38:U38"/>
    <mergeCell ref="W38:X38"/>
    <mergeCell ref="Y38:AC38"/>
    <mergeCell ref="AD38:AG38"/>
    <mergeCell ref="BD40:BI40"/>
    <mergeCell ref="BK40:BP40"/>
    <mergeCell ref="BR40:BW40"/>
    <mergeCell ref="B41:G41"/>
    <mergeCell ref="H41:I41"/>
    <mergeCell ref="J41:M41"/>
    <mergeCell ref="O41:R41"/>
    <mergeCell ref="T41:W41"/>
    <mergeCell ref="BD41:BI41"/>
    <mergeCell ref="BK41:BP41"/>
    <mergeCell ref="BR41:BW41"/>
    <mergeCell ref="Y48:AA48"/>
    <mergeCell ref="AB48:AY48"/>
    <mergeCell ref="I49:K49"/>
    <mergeCell ref="B43:G47"/>
    <mergeCell ref="H43:J43"/>
    <mergeCell ref="K43:X43"/>
    <mergeCell ref="Y43:AY43"/>
    <mergeCell ref="I44:K44"/>
    <mergeCell ref="M44:P44"/>
    <mergeCell ref="Q44:S44"/>
    <mergeCell ref="T44:AY44"/>
    <mergeCell ref="H45:J46"/>
    <mergeCell ref="K45:P46"/>
    <mergeCell ref="Q45:S46"/>
    <mergeCell ref="T45:AA46"/>
    <mergeCell ref="AB45:AD46"/>
    <mergeCell ref="AE45:AY46"/>
    <mergeCell ref="H47:I47"/>
    <mergeCell ref="K47:P47"/>
    <mergeCell ref="Q47:S47"/>
    <mergeCell ref="T47:AY47"/>
    <mergeCell ref="BK55:BP55"/>
    <mergeCell ref="H56:M58"/>
    <mergeCell ref="N56:AB56"/>
    <mergeCell ref="AC56:AH58"/>
    <mergeCell ref="AI56:AW56"/>
    <mergeCell ref="AX56:AY58"/>
    <mergeCell ref="O57:Q57"/>
    <mergeCell ref="S57:V57"/>
    <mergeCell ref="X57:AB57"/>
    <mergeCell ref="AJ57:AL57"/>
    <mergeCell ref="H53:M55"/>
    <mergeCell ref="N53:AB55"/>
    <mergeCell ref="AC53:AH55"/>
    <mergeCell ref="AI53:AK53"/>
    <mergeCell ref="AL53:AY53"/>
    <mergeCell ref="AI54:AY55"/>
    <mergeCell ref="AN57:AQ57"/>
    <mergeCell ref="AS57:AW57"/>
    <mergeCell ref="N58:AB58"/>
    <mergeCell ref="AI58:AW58"/>
    <mergeCell ref="BK58:BP58"/>
    <mergeCell ref="AL65:AY65"/>
    <mergeCell ref="H52:I52"/>
    <mergeCell ref="K52:P52"/>
    <mergeCell ref="Q52:S52"/>
    <mergeCell ref="T52:AY52"/>
    <mergeCell ref="Q50:S51"/>
    <mergeCell ref="T50:AA51"/>
    <mergeCell ref="AB50:AD51"/>
    <mergeCell ref="AE50:AY51"/>
    <mergeCell ref="H50:J51"/>
    <mergeCell ref="K50:P51"/>
    <mergeCell ref="B62:AY63"/>
    <mergeCell ref="B48:G58"/>
    <mergeCell ref="H48:K48"/>
    <mergeCell ref="M49:P49"/>
    <mergeCell ref="Q49:S49"/>
    <mergeCell ref="T49:AY49"/>
    <mergeCell ref="L48:X48"/>
    <mergeCell ref="B64:L64"/>
    <mergeCell ref="M64:Y64"/>
    <mergeCell ref="Z64:AY64"/>
    <mergeCell ref="B65:Y65"/>
    <mergeCell ref="Z65:AA65"/>
    <mergeCell ref="AB65:AI65"/>
    <mergeCell ref="L81:AB81"/>
    <mergeCell ref="AC81:AK81"/>
    <mergeCell ref="B66:Y66"/>
    <mergeCell ref="Z66:AA66"/>
    <mergeCell ref="AB66:AI66"/>
    <mergeCell ref="AJ66:AY66"/>
    <mergeCell ref="B67:G67"/>
    <mergeCell ref="H67:AY67"/>
    <mergeCell ref="L72:AB72"/>
    <mergeCell ref="AC72:AK72"/>
    <mergeCell ref="AJ65:AK65"/>
    <mergeCell ref="L82:AB82"/>
    <mergeCell ref="AC82:AK82"/>
    <mergeCell ref="B69:AY70"/>
    <mergeCell ref="B71:K71"/>
    <mergeCell ref="AL71:AY71"/>
    <mergeCell ref="B72:K72"/>
    <mergeCell ref="AL72:AY72"/>
    <mergeCell ref="AC71:AK71"/>
    <mergeCell ref="B80:D80"/>
    <mergeCell ref="E80:AY80"/>
    <mergeCell ref="B73:K73"/>
    <mergeCell ref="AL73:AY73"/>
    <mergeCell ref="B74:K74"/>
    <mergeCell ref="AL74:AY74"/>
    <mergeCell ref="L73:AB73"/>
    <mergeCell ref="AC73:AK73"/>
    <mergeCell ref="L74:AB74"/>
    <mergeCell ref="AC74:AK74"/>
    <mergeCell ref="B78:AZ79"/>
    <mergeCell ref="B75:K75"/>
    <mergeCell ref="L75:AY75"/>
    <mergeCell ref="B76:K76"/>
    <mergeCell ref="L76:AY76"/>
    <mergeCell ref="J32:L32"/>
    <mergeCell ref="L71:AB71"/>
    <mergeCell ref="B103:K103"/>
    <mergeCell ref="L103:AY103"/>
    <mergeCell ref="B104:K104"/>
    <mergeCell ref="AL104:AY104"/>
    <mergeCell ref="B101:K101"/>
    <mergeCell ref="AL101:AY101"/>
    <mergeCell ref="B102:K102"/>
    <mergeCell ref="AL102:AY102"/>
    <mergeCell ref="B95:K95"/>
    <mergeCell ref="L95:AY95"/>
    <mergeCell ref="B96:K96"/>
    <mergeCell ref="L96:AY96"/>
    <mergeCell ref="B100:D100"/>
    <mergeCell ref="E100:AY100"/>
    <mergeCell ref="B93:K93"/>
    <mergeCell ref="L93:AY93"/>
    <mergeCell ref="B94:K94"/>
    <mergeCell ref="AL94:AY94"/>
    <mergeCell ref="B81:K81"/>
    <mergeCell ref="AL81:AY81"/>
    <mergeCell ref="B82:K82"/>
    <mergeCell ref="AL82:AY82"/>
    <mergeCell ref="B83:K83"/>
    <mergeCell ref="L83:AY83"/>
    <mergeCell ref="B84:K84"/>
    <mergeCell ref="AL84:AY84"/>
    <mergeCell ref="B105:K105"/>
    <mergeCell ref="L105:AY105"/>
    <mergeCell ref="B106:K106"/>
    <mergeCell ref="L106:AY106"/>
    <mergeCell ref="AC102:AK102"/>
    <mergeCell ref="L104:AB104"/>
    <mergeCell ref="AC104:AK104"/>
    <mergeCell ref="L84:AB84"/>
    <mergeCell ref="AC84:AK84"/>
    <mergeCell ref="B88:AZ89"/>
    <mergeCell ref="L92:AB92"/>
    <mergeCell ref="AC92:AK92"/>
    <mergeCell ref="L94:AB94"/>
    <mergeCell ref="AC94:AK94"/>
    <mergeCell ref="L101:AB101"/>
    <mergeCell ref="AC101:AK101"/>
    <mergeCell ref="L91:AB91"/>
    <mergeCell ref="AC91:AK91"/>
    <mergeCell ref="L102:AB102"/>
    <mergeCell ref="B91:K91"/>
    <mergeCell ref="AL91:AY91"/>
    <mergeCell ref="B92:K92"/>
    <mergeCell ref="AL92:AY92"/>
    <mergeCell ref="B85:K85"/>
    <mergeCell ref="L85:AY85"/>
    <mergeCell ref="B86:K86"/>
    <mergeCell ref="L86:AY86"/>
    <mergeCell ref="B98:P99"/>
    <mergeCell ref="B90:D90"/>
    <mergeCell ref="E90:AY90"/>
  </mergeCells>
  <phoneticPr fontId="18"/>
  <conditionalFormatting sqref="H47">
    <cfRule type="expression" dxfId="112" priority="79">
      <formula>$H$41="■"</formula>
    </cfRule>
  </conditionalFormatting>
  <conditionalFormatting sqref="H44:AY44 H47:AY47 H45 Q45:AY46 K45">
    <cfRule type="expression" dxfId="111" priority="62">
      <formula>$H$43="■"</formula>
    </cfRule>
    <cfRule type="expression" dxfId="110" priority="80">
      <formula>$H$43="■"</formula>
    </cfRule>
  </conditionalFormatting>
  <conditionalFormatting sqref="H44">
    <cfRule type="expression" dxfId="109" priority="78">
      <formula>$H$43="■"</formula>
    </cfRule>
  </conditionalFormatting>
  <conditionalFormatting sqref="I44:P44">
    <cfRule type="expression" dxfId="108" priority="66">
      <formula>$H$43="■"</formula>
    </cfRule>
  </conditionalFormatting>
  <conditionalFormatting sqref="Q45:AY46">
    <cfRule type="expression" dxfId="107" priority="63">
      <formula>$H$43="■"</formula>
    </cfRule>
  </conditionalFormatting>
  <conditionalFormatting sqref="K6 P6 U6 L7 H8 I10 N10 L11 U10:U11 AF11 L19:U19 H20 AF20 AC21 I24 M24 R24 I27 M27 R27 H29 AB29 J40:J41 O40:O41 T40:T41">
    <cfRule type="cellIs" dxfId="106" priority="83" operator="equal">
      <formula>""</formula>
    </cfRule>
  </conditionalFormatting>
  <conditionalFormatting sqref="H15:AY18">
    <cfRule type="expression" dxfId="105" priority="61">
      <formula>$H$14="■"</formula>
    </cfRule>
  </conditionalFormatting>
  <conditionalFormatting sqref="H33:K34 H32:J32">
    <cfRule type="expression" dxfId="104" priority="60">
      <formula>AND($I$32="□",$L$32="□",$P$32="□",$T$32="□",$X$32="□")</formula>
    </cfRule>
    <cfRule type="expression" dxfId="103" priority="71">
      <formula>AND($I$32="□",$L$32="□",$P$32="□",$T$32="□",$X$32="□")</formula>
    </cfRule>
  </conditionalFormatting>
  <conditionalFormatting sqref="W38:X38">
    <cfRule type="expression" dxfId="102" priority="69">
      <formula>$W38&lt;&gt;""</formula>
    </cfRule>
    <cfRule type="expression" dxfId="101" priority="70">
      <formula>$H38="■"</formula>
    </cfRule>
  </conditionalFormatting>
  <conditionalFormatting sqref="AR38:AS38">
    <cfRule type="expression" dxfId="100" priority="67">
      <formula>$AR38&lt;&gt;""</formula>
    </cfRule>
    <cfRule type="expression" dxfId="99" priority="68">
      <formula>$AD38="■"</formula>
    </cfRule>
  </conditionalFormatting>
  <conditionalFormatting sqref="I15:L15 N15:Q15 L16:Q17 U15:AY15 U16:AB17 AF16:AY17">
    <cfRule type="notContainsBlanks" dxfId="98" priority="64">
      <formula>LEN(TRIM(I15))&gt;0</formula>
    </cfRule>
    <cfRule type="expression" dxfId="97" priority="72">
      <formula>$H$14="□"</formula>
    </cfRule>
  </conditionalFormatting>
  <conditionalFormatting sqref="I44:K44 T44:AY44 T45:AA46 AE45:AY46 M44:P44 K45">
    <cfRule type="expression" dxfId="96" priority="82">
      <formula>$H$43="□"</formula>
    </cfRule>
  </conditionalFormatting>
  <conditionalFormatting sqref="I49:K49 T49:AY49 T50:AA51 AE50:AY51 M49:P49 K50">
    <cfRule type="expression" dxfId="95" priority="81">
      <formula>$H$48="□"</formula>
    </cfRule>
  </conditionalFormatting>
  <conditionalFormatting sqref="I44:K44 T44:AY44 T45:AA46 AE45:AY46 I49:K49 T49:AY49 T50:AA51 AE50:AY51 M49:P49 K50 M44:P44 K45">
    <cfRule type="notContainsBlanks" dxfId="94" priority="74">
      <formula>LEN(TRIM(I44))&gt;0</formula>
    </cfRule>
  </conditionalFormatting>
  <conditionalFormatting sqref="N53:AB55">
    <cfRule type="containsBlanks" dxfId="93" priority="76">
      <formula>LEN(TRIM(N53))=0</formula>
    </cfRule>
  </conditionalFormatting>
  <conditionalFormatting sqref="AL53:AY53 AI54:AY55 O57:Q57 S57:V57 X57:AB57 AJ57:AL57 AN57:AQ57 AS57:AW57">
    <cfRule type="containsBlanks" dxfId="92" priority="75">
      <formula>LEN(TRIM(O53))=0</formula>
    </cfRule>
  </conditionalFormatting>
  <conditionalFormatting sqref="AL53:AY53 AI54:AY55 O57:Q57 S57:V57 X57:AB57 AJ57:AL57 AN57:AQ57 AS57:AW57 N53:AB55">
    <cfRule type="notContainsBlanks" dxfId="91" priority="73">
      <formula>LEN(TRIM(N53))&gt;0</formula>
    </cfRule>
  </conditionalFormatting>
  <conditionalFormatting sqref="X32:AM32">
    <cfRule type="expression" dxfId="90" priority="84">
      <formula>AND($X$32="□",$AF$32="□")</formula>
    </cfRule>
  </conditionalFormatting>
  <conditionalFormatting sqref="H49:AY52">
    <cfRule type="expression" dxfId="89" priority="49">
      <formula>$Y$48="■"</formula>
    </cfRule>
    <cfRule type="expression" dxfId="88" priority="50">
      <formula>$H$48="■"</formula>
    </cfRule>
  </conditionalFormatting>
  <conditionalFormatting sqref="W39:X39">
    <cfRule type="expression" dxfId="87" priority="47">
      <formula>$W39&lt;&gt;""</formula>
    </cfRule>
    <cfRule type="expression" dxfId="86" priority="48">
      <formula>$H39="■"</formula>
    </cfRule>
  </conditionalFormatting>
  <conditionalFormatting sqref="AR39:AS39">
    <cfRule type="expression" dxfId="85" priority="45">
      <formula>$AR39&lt;&gt;""</formula>
    </cfRule>
    <cfRule type="expression" dxfId="84" priority="46">
      <formula>$AD39="■"</formula>
    </cfRule>
  </conditionalFormatting>
  <conditionalFormatting sqref="B48">
    <cfRule type="expression" dxfId="83" priority="44">
      <formula>$H$63="■"</formula>
    </cfRule>
  </conditionalFormatting>
  <conditionalFormatting sqref="AB65:AI65 AL65:AY65">
    <cfRule type="expression" dxfId="82" priority="43">
      <formula>AND($Z$77="□",$AJ$77="□")</formula>
    </cfRule>
  </conditionalFormatting>
  <conditionalFormatting sqref="B73">
    <cfRule type="expression" dxfId="81" priority="40">
      <formula>#REF!="■"</formula>
    </cfRule>
  </conditionalFormatting>
  <conditionalFormatting sqref="B74:B75">
    <cfRule type="expression" dxfId="80" priority="39">
      <formula>#REF!="■"</formula>
    </cfRule>
  </conditionalFormatting>
  <conditionalFormatting sqref="B72">
    <cfRule type="expression" dxfId="79" priority="38">
      <formula>#REF!="■"</formula>
    </cfRule>
  </conditionalFormatting>
  <conditionalFormatting sqref="B76:B77">
    <cfRule type="expression" dxfId="78" priority="37">
      <formula>#REF!="■"</formula>
    </cfRule>
  </conditionalFormatting>
  <conditionalFormatting sqref="L72">
    <cfRule type="expression" dxfId="77" priority="36">
      <formula>#REF!="■"</formula>
    </cfRule>
  </conditionalFormatting>
  <conditionalFormatting sqref="L74">
    <cfRule type="expression" dxfId="76" priority="35">
      <formula>#REF!="■"</formula>
    </cfRule>
  </conditionalFormatting>
  <conditionalFormatting sqref="L75">
    <cfRule type="expression" dxfId="75" priority="34">
      <formula>#REF!="■"</formula>
    </cfRule>
  </conditionalFormatting>
  <conditionalFormatting sqref="L76:L77">
    <cfRule type="expression" dxfId="74" priority="33">
      <formula>#REF!="■"</formula>
    </cfRule>
  </conditionalFormatting>
  <conditionalFormatting sqref="B103">
    <cfRule type="expression" dxfId="73" priority="32">
      <formula>#REF!="■"</formula>
    </cfRule>
  </conditionalFormatting>
  <conditionalFormatting sqref="B104:B105">
    <cfRule type="expression" dxfId="72" priority="31">
      <formula>#REF!="■"</formula>
    </cfRule>
  </conditionalFormatting>
  <conditionalFormatting sqref="B102">
    <cfRule type="expression" dxfId="71" priority="30">
      <formula>#REF!="■"</formula>
    </cfRule>
  </conditionalFormatting>
  <conditionalFormatting sqref="B106">
    <cfRule type="expression" dxfId="70" priority="29">
      <formula>#REF!="■"</formula>
    </cfRule>
  </conditionalFormatting>
  <conditionalFormatting sqref="Q99:AZ99">
    <cfRule type="expression" dxfId="69" priority="28">
      <formula>#REF!="■"</formula>
    </cfRule>
  </conditionalFormatting>
  <conditionalFormatting sqref="L97">
    <cfRule type="expression" dxfId="68" priority="27">
      <formula>#REF!="■"</formula>
    </cfRule>
  </conditionalFormatting>
  <conditionalFormatting sqref="B88:AZ89">
    <cfRule type="expression" dxfId="67" priority="25">
      <formula>#REF!="■"</formula>
    </cfRule>
  </conditionalFormatting>
  <conditionalFormatting sqref="B78:AZ79">
    <cfRule type="expression" dxfId="66" priority="26">
      <formula>#REF!="■"</formula>
    </cfRule>
  </conditionalFormatting>
  <conditionalFormatting sqref="AC104">
    <cfRule type="expression" dxfId="65" priority="24">
      <formula>#REF!="■"</formula>
    </cfRule>
  </conditionalFormatting>
  <conditionalFormatting sqref="L71:AB72 L73 L74:AB74 AL71:AL74 L75:L76">
    <cfRule type="cellIs" dxfId="64" priority="23" operator="equal">
      <formula>""</formula>
    </cfRule>
  </conditionalFormatting>
  <conditionalFormatting sqref="L81:AB82 L83 L84:AB84 AL84 AL81:AL82 L85:L86">
    <cfRule type="containsBlanks" dxfId="63" priority="41">
      <formula>LEN(TRIM(L81))=0</formula>
    </cfRule>
  </conditionalFormatting>
  <conditionalFormatting sqref="L91:AB91">
    <cfRule type="containsBlanks" dxfId="62" priority="22">
      <formula>LEN(TRIM(L91))=0</formula>
    </cfRule>
  </conditionalFormatting>
  <conditionalFormatting sqref="L101:AB101">
    <cfRule type="containsBlanks" dxfId="61" priority="21">
      <formula>LEN(TRIM(L101))=0</formula>
    </cfRule>
  </conditionalFormatting>
  <conditionalFormatting sqref="L102:AB102">
    <cfRule type="containsBlanks" dxfId="60" priority="20">
      <formula>LEN(TRIM(L102))=0</formula>
    </cfRule>
  </conditionalFormatting>
  <conditionalFormatting sqref="AL101 AY101">
    <cfRule type="containsBlanks" dxfId="59" priority="19">
      <formula>LEN(TRIM(AL101))=0</formula>
    </cfRule>
  </conditionalFormatting>
  <conditionalFormatting sqref="AL102 AY102">
    <cfRule type="containsBlanks" dxfId="58" priority="18">
      <formula>LEN(TRIM(AL102))=0</formula>
    </cfRule>
  </conditionalFormatting>
  <conditionalFormatting sqref="L103 AY103">
    <cfRule type="containsBlanks" dxfId="57" priority="17">
      <formula>LEN(TRIM(L103))=0</formula>
    </cfRule>
  </conditionalFormatting>
  <conditionalFormatting sqref="L104:AB104">
    <cfRule type="containsBlanks" dxfId="56" priority="16">
      <formula>LEN(TRIM(L104))=0</formula>
    </cfRule>
  </conditionalFormatting>
  <conditionalFormatting sqref="AL104 AY104">
    <cfRule type="containsBlanks" dxfId="55" priority="15">
      <formula>LEN(TRIM(AL104))=0</formula>
    </cfRule>
  </conditionalFormatting>
  <conditionalFormatting sqref="L105 AY105">
    <cfRule type="containsBlanks" dxfId="54" priority="14">
      <formula>LEN(TRIM(L105))=0</formula>
    </cfRule>
  </conditionalFormatting>
  <conditionalFormatting sqref="L106 AY106">
    <cfRule type="containsBlanks" dxfId="53" priority="13">
      <formula>LEN(TRIM(L106))=0</formula>
    </cfRule>
  </conditionalFormatting>
  <conditionalFormatting sqref="L92:AB92">
    <cfRule type="containsBlanks" dxfId="52" priority="12">
      <formula>LEN(TRIM(L92))=0</formula>
    </cfRule>
  </conditionalFormatting>
  <conditionalFormatting sqref="AL91 AY91">
    <cfRule type="containsBlanks" dxfId="51" priority="11">
      <formula>LEN(TRIM(AL91))=0</formula>
    </cfRule>
  </conditionalFormatting>
  <conditionalFormatting sqref="AL92 AY92">
    <cfRule type="containsBlanks" dxfId="50" priority="10">
      <formula>LEN(TRIM(AL92))=0</formula>
    </cfRule>
  </conditionalFormatting>
  <conditionalFormatting sqref="L93 AY93">
    <cfRule type="containsBlanks" dxfId="49" priority="9">
      <formula>LEN(TRIM(L93))=0</formula>
    </cfRule>
  </conditionalFormatting>
  <conditionalFormatting sqref="L94:AB94">
    <cfRule type="containsBlanks" dxfId="48" priority="8">
      <formula>LEN(TRIM(L94))=0</formula>
    </cfRule>
  </conditionalFormatting>
  <conditionalFormatting sqref="AL94 AY94">
    <cfRule type="containsBlanks" dxfId="47" priority="7">
      <formula>LEN(TRIM(AL94))=0</formula>
    </cfRule>
  </conditionalFormatting>
  <conditionalFormatting sqref="L95 AY95">
    <cfRule type="containsBlanks" dxfId="46" priority="6">
      <formula>LEN(TRIM(L95))=0</formula>
    </cfRule>
  </conditionalFormatting>
  <conditionalFormatting sqref="L96 AY96">
    <cfRule type="containsBlanks" dxfId="45" priority="5">
      <formula>LEN(TRIM(L96))=0</formula>
    </cfRule>
  </conditionalFormatting>
  <conditionalFormatting sqref="B101:AL102 B103:L103 B104:AL104 B105:L106">
    <cfRule type="expression" dxfId="44" priority="4">
      <formula>$B$112="■"</formula>
    </cfRule>
  </conditionalFormatting>
  <conditionalFormatting sqref="B81:AL82 B83:L83 B84:AL84 B85:L86">
    <cfRule type="expression" dxfId="43" priority="3">
      <formula>$B$92="■"</formula>
    </cfRule>
  </conditionalFormatting>
  <conditionalFormatting sqref="B91:AL92 B93:L93 B94:AL94 B95:L96">
    <cfRule type="expression" dxfId="42" priority="2">
      <formula>$B$102="■"</formula>
    </cfRule>
  </conditionalFormatting>
  <dataValidations count="18">
    <dataValidation type="whole" imeMode="disabled" allowBlank="1" showInputMessage="1" showErrorMessage="1" sqref="T40:W42" xr:uid="{00000000-0002-0000-0900-000000000000}">
      <formula1>1</formula1>
      <formula2>31</formula2>
    </dataValidation>
    <dataValidation imeMode="hiragana" allowBlank="1" showInputMessage="1" showErrorMessage="1" promptTitle="市区町村入力" prompt="市区町村を全角で入力してください。_x000a_(注)市区町村名について以下の情報のみ入力願います。_x000a_・東京都２３区の場合『○○区』_x000a_・政令指定都市の場合『○○市◆◆区』_x000a_・上記以外の場合『○○市』_x000a_郡の場合『○○郡◆◆町』または『○○郡◆◆村』" sqref="U11:AB12 U16:AB17" xr:uid="{00000000-0002-0000-0900-000001000000}"/>
    <dataValidation imeMode="hiragana" allowBlank="1" showInputMessage="1" showErrorMessage="1" sqref="H8:AY9 H20:V22 AC21:AY22 AE45:AY46 AE50:AY51 AI54:AY55 N53:AB55 T47:AY47 U18:AY18 T52:AY52 AF11:AY12 AF16:AY17 T13:AY13 L71:AB72 L74:AB74 L81:AB82 AZ82:AZ83 L84:AB84 L91:AB92 AZ72 L94:AB94 L101:AB102 AZ92:AZ93 L104:AB104 L73 AL72:AL73 AL82 L83 AL92 L93 AL102 L103 AZ102:AZ103" xr:uid="{00000000-0002-0000-0900-000002000000}"/>
    <dataValidation type="whole" imeMode="disabled" allowBlank="1" showErrorMessage="1" errorTitle="入力エラー" error="西暦を半角数字で入力してください" promptTitle="AP配送希望日の入力について" prompt="申込受領日の翌日から起算し、4営業日以降で記載してください。_x000a__x000a_※北海道、九州へのAP配送は、＋1営業日必要です。_x000a_※全県の諸島部への配送は、＋3営業日必要です。_x000a_※AP配送日は、申込日から最大3ヶ月先まで指定可能です。_x000a_※土日祝は指定できません。" sqref="K6 J40:J42" xr:uid="{00000000-0002-0000-0900-000003000000}">
      <formula1>2000</formula1>
      <formula2>2100</formula2>
    </dataValidation>
    <dataValidation type="custom" imeMode="disabled" allowBlank="1" showInputMessage="1" showErrorMessage="1" errorTitle="入力エラー" error="半角英数字にて入力してください。" sqref="H29:Z29" xr:uid="{00000000-0002-0000-0900-000004000000}">
      <formula1>LEN($H$29)=LENB($H$29)</formula1>
    </dataValidation>
    <dataValidation type="list" allowBlank="1" showInputMessage="1" showErrorMessage="1" sqref="H18 H13:H14 H43 AF32:AF34 Z65:Z66 AJ65 X32:X34 AD35:AD39 H52 H47:H48 Y48 H35:H39 I33:I34 B100 B80 B90" xr:uid="{00000000-0002-0000-0900-000005000000}">
      <formula1>"□,■"</formula1>
    </dataValidation>
    <dataValidation type="textLength" imeMode="disabled" allowBlank="1" showInputMessage="1" showErrorMessage="1" error="数字を入力してください。" sqref="X57:AB57 O57:Q57 S57:V57 AS57:AW57 AJ57:AL57 AN57:AQ57 R24:V24 M27:P27 I27:K27 R27:V27 I24:K24 M24:P24" xr:uid="{00000000-0002-0000-0900-000006000000}">
      <formula1>0</formula1>
      <formula2>99999</formula2>
    </dataValidation>
    <dataValidation allowBlank="1" showErrorMessage="1" promptTitle="事業者管理IDの入力" prompt="事業者様管理の番号がある場合記入ください。" sqref="M64:Y64" xr:uid="{00000000-0002-0000-0900-000007000000}"/>
    <dataValidation imeMode="fullKatakana" allowBlank="1" showInputMessage="1" showErrorMessage="1" errorTitle="入力エラー" error="カタカナを入力してください" sqref="T44:AY44 T49:AY49 AF20:AY20 U15 L7:AY7 U10" xr:uid="{00000000-0002-0000-0900-000008000000}"/>
    <dataValidation type="whole" imeMode="disabled" allowBlank="1" showErrorMessage="1" errorTitle="入力エラー" error="1～12 の半角数字を入力してください" promptTitle="AP配送希望日の入力について" prompt="申込受領日の翌日から起算し、4営業日以降で記載してください。_x000a__x000a_※北海道、九州へのAP配送は、＋1営業日必要です。_x000a_※全県の諸島部への配送は、＋3営業日必要です。_x000a_※AP配送日は、申込日から最大3ヶ月先まで指定可能です。_x000a_※土日祝は指定できません。" sqref="O40:R42 P6" xr:uid="{00000000-0002-0000-0900-000009000000}">
      <formula1>1</formula1>
      <formula2>12</formula2>
    </dataValidation>
    <dataValidation type="whole" imeMode="disabled" allowBlank="1" showErrorMessage="1" errorTitle="入力エラー" error="1～31 の半角数字を入力してください" promptTitle="AP配送希望日の入力について" prompt="申込受領日の翌日から起算し、4営業日以降で記載してください。_x000a__x000a_※北海道、九州へのAP配送は、＋1営業日必要です。_x000a_※全県の諸島部への配送は、＋3営業日必要です。_x000a_※AP配送日は、申込日から最大3ヶ月先まで指定可能です。_x000a_※土日祝は指定できません。" sqref="U6" xr:uid="{00000000-0002-0000-0900-00000A000000}">
      <formula1>1</formula1>
      <formula2>31</formula2>
    </dataValidation>
    <dataValidation imeMode="disabled" allowBlank="1" showInputMessage="1" showErrorMessage="1" sqref="L19:U19 AZ86 AZ76 AZ96 L86 L76 L96 L106 AZ106" xr:uid="{00000000-0002-0000-0900-00000B000000}"/>
    <dataValidation imeMode="disabled" allowBlank="1" sqref="L44 L49 M10 M15" xr:uid="{00000000-0002-0000-0900-00000C000000}"/>
    <dataValidation type="whole" imeMode="disabled" allowBlank="1" sqref="I44:K44 I49:K49 I15 I10" xr:uid="{00000000-0002-0000-0900-00000D000000}">
      <formula1>0</formula1>
      <formula2>999</formula2>
    </dataValidation>
    <dataValidation type="whole" imeMode="disabled" allowBlank="1" sqref="M44:P44 M49:P49 N15 N10" xr:uid="{00000000-0002-0000-0900-00000E000000}">
      <formula1>0</formula1>
      <formula2>9999</formula2>
    </dataValidation>
    <dataValidation imeMode="hiragana" allowBlank="1" showInputMessage="1" promptTitle="市区町村入力" prompt="市区町村を全角で入力してください。_x000a_(注)市区町村名について以下の情報のみ入力願います。_x000a_・東京都２３区の場合『○○区』_x000a_・政令指定都市の場合『○○市◆◆区』_x000a_・上記以外の場合『○○市』_x000a_郡の場合『○○郡◆◆町』または『○○郡◆◆村』" sqref="T45:AA46 T50:AA51" xr:uid="{00000000-0002-0000-0900-00000F000000}"/>
    <dataValidation imeMode="fullKatakana" allowBlank="1" showInputMessage="1" showErrorMessage="1" sqref="AL53:AY53" xr:uid="{00000000-0002-0000-0900-000010000000}"/>
    <dataValidation type="custom" imeMode="disabled" allowBlank="1" showInputMessage="1" showErrorMessage="1" sqref="AB29:AY29" xr:uid="{00000000-0002-0000-0900-000011000000}">
      <formula1>LEN($AB$29)=LENB($AB$29)</formula1>
    </dataValidation>
  </dataValidations>
  <hyperlinks>
    <hyperlink ref="B4:AQ4" r:id="rId1" display="https://www.ntt-west.co.jp/smb/plan/camera_toreru/pdf/terms_toreru_2105.pdf" xr:uid="{00000000-0004-0000-0900-000000000000}"/>
  </hyperlinks>
  <printOptions horizontalCentered="1"/>
  <pageMargins left="0.23622047244094491" right="0.23622047244094491" top="0.74803149606299213" bottom="0.74803149606299213" header="0.31496062992125984" footer="0.31496062992125984"/>
  <pageSetup paperSize="8" scale="65" orientation="portrait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" id="{D16E528C-BFB0-4845-ADE6-22B52725ABE6}">
            <xm:f>AND($K$6="",'\\bs-cldstrg-hon\個別\商品戦略担当\商戦\サービス推進\02.山下G\340_【サービス】_クラウド型カメラとれ～る\113.ユーザ申込書\20210301_申込用紙改定\作業中\[N【様式camera1】サービス申込書_3.0版（OEM）お客様用意型.xlsx]別紙③_Pocket2専用申込書'!#REF!&lt;&gt;"")</xm:f>
            <x14:dxf>
              <fill>
                <patternFill patternType="none">
                  <bgColor auto="1"/>
                </patternFill>
              </fill>
            </x14:dxf>
          </x14:cfRule>
          <xm:sqref>AB65:AI65 AL65:AY65</xm:sqref>
        </x14:conditionalFormatting>
        <x14:conditionalFormatting xmlns:xm="http://schemas.microsoft.com/office/excel/2006/main">
          <x14:cfRule type="expression" priority="1" id="{51F3D02A-D564-4DC5-96B2-40C53E730EBC}">
            <xm:f>AND($K$6="",'\\bs-cldstrg-hon\個別\商品戦略担当\商戦\サービス推進\02.山下G\340_【サービス】_クラウド型カメラとれ～る\113.ユーザ申込書\20210301_申込用紙改定\作業中\[N【様式camera1】サービス申込書_3.0版（OEM）お客様用意型.xlsx]別紙③_Pocket2専用申込書'!#REF!&lt;&gt;"")</xm:f>
            <x14:dxf>
              <fill>
                <patternFill patternType="none">
                  <bgColor auto="1"/>
                </patternFill>
              </fill>
            </x14:dxf>
          </x14:cfRule>
          <xm:sqref>L71:AB74 AL71:AY74 L75:AY76 L81:AB82 AL81:AY82 L83:AY83 AL84:AY84 L84:AB84 L85:AY86 L91:AB92 AL91:AY92 L93:AY93 AL94:AY94 L95:AY96 L101:AB102 L103:AY103 L104:AB104 L105:AY106 AL104:AY104 AL101:AY102 L94:AB94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errorTitle="都道府県名入力" error="右側▼を押して、リストより選択してください。" promptTitle="都道府県名入力" prompt="右側▼を押して、リストより選択してください。" xr:uid="{00000000-0002-0000-0900-000012000000}">
          <x14:formula1>
            <xm:f>リスト!$H$2:$H$48</xm:f>
          </x14:formula1>
          <xm:sqref>L16 L11 K50 K45</xm:sqref>
        </x14:dataValidation>
        <x14:dataValidation type="list" allowBlank="1" showInputMessage="1" showErrorMessage="1" errorTitle="入力エラー" error="プルダウンリストから選択、_x000a_もしくは数字を入力してください" xr:uid="{00000000-0002-0000-0900-000013000000}">
          <x14:formula1>
            <xm:f>リスト!$G$2:$G$21</xm:f>
          </x14:formula1>
          <xm:sqref>W35:X39 AR35:AS39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theme="2" tint="-9.9978637043366805E-2"/>
    <pageSetUpPr fitToPage="1"/>
  </sheetPr>
  <dimension ref="A1:AS108"/>
  <sheetViews>
    <sheetView view="pageBreakPreview" zoomScaleNormal="100" zoomScaleSheetLayoutView="100" workbookViewId="0"/>
  </sheetViews>
  <sheetFormatPr defaultRowHeight="13.2" outlineLevelRow="1"/>
  <cols>
    <col min="1" max="1" width="7.44140625" style="19" customWidth="1"/>
    <col min="2" max="2" width="12.6640625" style="19" customWidth="1"/>
    <col min="3" max="3" width="20.33203125" style="19" customWidth="1"/>
    <col min="4" max="5" width="20.33203125" style="115" customWidth="1"/>
    <col min="6" max="6" width="31" style="115" customWidth="1"/>
    <col min="7" max="7" width="25.109375" style="19" customWidth="1"/>
    <col min="8" max="231" width="9.109375" style="19"/>
    <col min="232" max="232" width="9.109375" style="19" customWidth="1"/>
    <col min="233" max="235" width="19" style="19" customWidth="1"/>
    <col min="236" max="236" width="15" style="19" bestFit="1" customWidth="1"/>
    <col min="237" max="237" width="11.109375" style="19" bestFit="1" customWidth="1"/>
    <col min="238" max="238" width="28.88671875" style="19" customWidth="1"/>
    <col min="239" max="239" width="16.109375" style="19" customWidth="1"/>
    <col min="240" max="240" width="41.44140625" style="19" customWidth="1"/>
    <col min="241" max="241" width="14.88671875" style="19" customWidth="1"/>
    <col min="242" max="242" width="17.6640625" style="19" customWidth="1"/>
    <col min="243" max="247" width="17" style="19" customWidth="1"/>
    <col min="248" max="248" width="24" style="19" bestFit="1" customWidth="1"/>
    <col min="249" max="250" width="17.88671875" style="19" customWidth="1"/>
    <col min="251" max="251" width="16.33203125" style="19" customWidth="1"/>
    <col min="252" max="252" width="12.5546875" style="19" bestFit="1" customWidth="1"/>
    <col min="253" max="253" width="13.33203125" style="19" customWidth="1"/>
    <col min="254" max="254" width="11.33203125" style="19" customWidth="1"/>
    <col min="255" max="255" width="13.33203125" style="19" customWidth="1"/>
    <col min="256" max="256" width="15.44140625" style="19" customWidth="1"/>
    <col min="257" max="257" width="48" style="19" customWidth="1"/>
    <col min="258" max="487" width="9.109375" style="19"/>
    <col min="488" max="488" width="9.109375" style="19" customWidth="1"/>
    <col min="489" max="491" width="19" style="19" customWidth="1"/>
    <col min="492" max="492" width="15" style="19" bestFit="1" customWidth="1"/>
    <col min="493" max="493" width="11.109375" style="19" bestFit="1" customWidth="1"/>
    <col min="494" max="494" width="28.88671875" style="19" customWidth="1"/>
    <col min="495" max="495" width="16.109375" style="19" customWidth="1"/>
    <col min="496" max="496" width="41.44140625" style="19" customWidth="1"/>
    <col min="497" max="497" width="14.88671875" style="19" customWidth="1"/>
    <col min="498" max="498" width="17.6640625" style="19" customWidth="1"/>
    <col min="499" max="503" width="17" style="19" customWidth="1"/>
    <col min="504" max="504" width="24" style="19" bestFit="1" customWidth="1"/>
    <col min="505" max="506" width="17.88671875" style="19" customWidth="1"/>
    <col min="507" max="507" width="16.33203125" style="19" customWidth="1"/>
    <col min="508" max="508" width="12.5546875" style="19" bestFit="1" customWidth="1"/>
    <col min="509" max="509" width="13.33203125" style="19" customWidth="1"/>
    <col min="510" max="510" width="11.33203125" style="19" customWidth="1"/>
    <col min="511" max="511" width="13.33203125" style="19" customWidth="1"/>
    <col min="512" max="512" width="15.44140625" style="19" customWidth="1"/>
    <col min="513" max="513" width="48" style="19" customWidth="1"/>
    <col min="514" max="743" width="9.109375" style="19"/>
    <col min="744" max="744" width="9.109375" style="19" customWidth="1"/>
    <col min="745" max="747" width="19" style="19" customWidth="1"/>
    <col min="748" max="748" width="15" style="19" bestFit="1" customWidth="1"/>
    <col min="749" max="749" width="11.109375" style="19" bestFit="1" customWidth="1"/>
    <col min="750" max="750" width="28.88671875" style="19" customWidth="1"/>
    <col min="751" max="751" width="16.109375" style="19" customWidth="1"/>
    <col min="752" max="752" width="41.44140625" style="19" customWidth="1"/>
    <col min="753" max="753" width="14.88671875" style="19" customWidth="1"/>
    <col min="754" max="754" width="17.6640625" style="19" customWidth="1"/>
    <col min="755" max="759" width="17" style="19" customWidth="1"/>
    <col min="760" max="760" width="24" style="19" bestFit="1" customWidth="1"/>
    <col min="761" max="762" width="17.88671875" style="19" customWidth="1"/>
    <col min="763" max="763" width="16.33203125" style="19" customWidth="1"/>
    <col min="764" max="764" width="12.5546875" style="19" bestFit="1" customWidth="1"/>
    <col min="765" max="765" width="13.33203125" style="19" customWidth="1"/>
    <col min="766" max="766" width="11.33203125" style="19" customWidth="1"/>
    <col min="767" max="767" width="13.33203125" style="19" customWidth="1"/>
    <col min="768" max="768" width="15.44140625" style="19" customWidth="1"/>
    <col min="769" max="769" width="48" style="19" customWidth="1"/>
    <col min="770" max="999" width="9.109375" style="19"/>
    <col min="1000" max="1000" width="9.109375" style="19" customWidth="1"/>
    <col min="1001" max="1003" width="19" style="19" customWidth="1"/>
    <col min="1004" max="1004" width="15" style="19" bestFit="1" customWidth="1"/>
    <col min="1005" max="1005" width="11.109375" style="19" bestFit="1" customWidth="1"/>
    <col min="1006" max="1006" width="28.88671875" style="19" customWidth="1"/>
    <col min="1007" max="1007" width="16.109375" style="19" customWidth="1"/>
    <col min="1008" max="1008" width="41.44140625" style="19" customWidth="1"/>
    <col min="1009" max="1009" width="14.88671875" style="19" customWidth="1"/>
    <col min="1010" max="1010" width="17.6640625" style="19" customWidth="1"/>
    <col min="1011" max="1015" width="17" style="19" customWidth="1"/>
    <col min="1016" max="1016" width="24" style="19" bestFit="1" customWidth="1"/>
    <col min="1017" max="1018" width="17.88671875" style="19" customWidth="1"/>
    <col min="1019" max="1019" width="16.33203125" style="19" customWidth="1"/>
    <col min="1020" max="1020" width="12.5546875" style="19" bestFit="1" customWidth="1"/>
    <col min="1021" max="1021" width="13.33203125" style="19" customWidth="1"/>
    <col min="1022" max="1022" width="11.33203125" style="19" customWidth="1"/>
    <col min="1023" max="1023" width="13.33203125" style="19" customWidth="1"/>
    <col min="1024" max="1024" width="15.44140625" style="19" customWidth="1"/>
    <col min="1025" max="1025" width="48" style="19" customWidth="1"/>
    <col min="1026" max="1255" width="9.109375" style="19"/>
    <col min="1256" max="1256" width="9.109375" style="19" customWidth="1"/>
    <col min="1257" max="1259" width="19" style="19" customWidth="1"/>
    <col min="1260" max="1260" width="15" style="19" bestFit="1" customWidth="1"/>
    <col min="1261" max="1261" width="11.109375" style="19" bestFit="1" customWidth="1"/>
    <col min="1262" max="1262" width="28.88671875" style="19" customWidth="1"/>
    <col min="1263" max="1263" width="16.109375" style="19" customWidth="1"/>
    <col min="1264" max="1264" width="41.44140625" style="19" customWidth="1"/>
    <col min="1265" max="1265" width="14.88671875" style="19" customWidth="1"/>
    <col min="1266" max="1266" width="17.6640625" style="19" customWidth="1"/>
    <col min="1267" max="1271" width="17" style="19" customWidth="1"/>
    <col min="1272" max="1272" width="24" style="19" bestFit="1" customWidth="1"/>
    <col min="1273" max="1274" width="17.88671875" style="19" customWidth="1"/>
    <col min="1275" max="1275" width="16.33203125" style="19" customWidth="1"/>
    <col min="1276" max="1276" width="12.5546875" style="19" bestFit="1" customWidth="1"/>
    <col min="1277" max="1277" width="13.33203125" style="19" customWidth="1"/>
    <col min="1278" max="1278" width="11.33203125" style="19" customWidth="1"/>
    <col min="1279" max="1279" width="13.33203125" style="19" customWidth="1"/>
    <col min="1280" max="1280" width="15.44140625" style="19" customWidth="1"/>
    <col min="1281" max="1281" width="48" style="19" customWidth="1"/>
    <col min="1282" max="1511" width="9.109375" style="19"/>
    <col min="1512" max="1512" width="9.109375" style="19" customWidth="1"/>
    <col min="1513" max="1515" width="19" style="19" customWidth="1"/>
    <col min="1516" max="1516" width="15" style="19" bestFit="1" customWidth="1"/>
    <col min="1517" max="1517" width="11.109375" style="19" bestFit="1" customWidth="1"/>
    <col min="1518" max="1518" width="28.88671875" style="19" customWidth="1"/>
    <col min="1519" max="1519" width="16.109375" style="19" customWidth="1"/>
    <col min="1520" max="1520" width="41.44140625" style="19" customWidth="1"/>
    <col min="1521" max="1521" width="14.88671875" style="19" customWidth="1"/>
    <col min="1522" max="1522" width="17.6640625" style="19" customWidth="1"/>
    <col min="1523" max="1527" width="17" style="19" customWidth="1"/>
    <col min="1528" max="1528" width="24" style="19" bestFit="1" customWidth="1"/>
    <col min="1529" max="1530" width="17.88671875" style="19" customWidth="1"/>
    <col min="1531" max="1531" width="16.33203125" style="19" customWidth="1"/>
    <col min="1532" max="1532" width="12.5546875" style="19" bestFit="1" customWidth="1"/>
    <col min="1533" max="1533" width="13.33203125" style="19" customWidth="1"/>
    <col min="1534" max="1534" width="11.33203125" style="19" customWidth="1"/>
    <col min="1535" max="1535" width="13.33203125" style="19" customWidth="1"/>
    <col min="1536" max="1536" width="15.44140625" style="19" customWidth="1"/>
    <col min="1537" max="1537" width="48" style="19" customWidth="1"/>
    <col min="1538" max="1767" width="9.109375" style="19"/>
    <col min="1768" max="1768" width="9.109375" style="19" customWidth="1"/>
    <col min="1769" max="1771" width="19" style="19" customWidth="1"/>
    <col min="1772" max="1772" width="15" style="19" bestFit="1" customWidth="1"/>
    <col min="1773" max="1773" width="11.109375" style="19" bestFit="1" customWidth="1"/>
    <col min="1774" max="1774" width="28.88671875" style="19" customWidth="1"/>
    <col min="1775" max="1775" width="16.109375" style="19" customWidth="1"/>
    <col min="1776" max="1776" width="41.44140625" style="19" customWidth="1"/>
    <col min="1777" max="1777" width="14.88671875" style="19" customWidth="1"/>
    <col min="1778" max="1778" width="17.6640625" style="19" customWidth="1"/>
    <col min="1779" max="1783" width="17" style="19" customWidth="1"/>
    <col min="1784" max="1784" width="24" style="19" bestFit="1" customWidth="1"/>
    <col min="1785" max="1786" width="17.88671875" style="19" customWidth="1"/>
    <col min="1787" max="1787" width="16.33203125" style="19" customWidth="1"/>
    <col min="1788" max="1788" width="12.5546875" style="19" bestFit="1" customWidth="1"/>
    <col min="1789" max="1789" width="13.33203125" style="19" customWidth="1"/>
    <col min="1790" max="1790" width="11.33203125" style="19" customWidth="1"/>
    <col min="1791" max="1791" width="13.33203125" style="19" customWidth="1"/>
    <col min="1792" max="1792" width="15.44140625" style="19" customWidth="1"/>
    <col min="1793" max="1793" width="48" style="19" customWidth="1"/>
    <col min="1794" max="2023" width="9.109375" style="19"/>
    <col min="2024" max="2024" width="9.109375" style="19" customWidth="1"/>
    <col min="2025" max="2027" width="19" style="19" customWidth="1"/>
    <col min="2028" max="2028" width="15" style="19" bestFit="1" customWidth="1"/>
    <col min="2029" max="2029" width="11.109375" style="19" bestFit="1" customWidth="1"/>
    <col min="2030" max="2030" width="28.88671875" style="19" customWidth="1"/>
    <col min="2031" max="2031" width="16.109375" style="19" customWidth="1"/>
    <col min="2032" max="2032" width="41.44140625" style="19" customWidth="1"/>
    <col min="2033" max="2033" width="14.88671875" style="19" customWidth="1"/>
    <col min="2034" max="2034" width="17.6640625" style="19" customWidth="1"/>
    <col min="2035" max="2039" width="17" style="19" customWidth="1"/>
    <col min="2040" max="2040" width="24" style="19" bestFit="1" customWidth="1"/>
    <col min="2041" max="2042" width="17.88671875" style="19" customWidth="1"/>
    <col min="2043" max="2043" width="16.33203125" style="19" customWidth="1"/>
    <col min="2044" max="2044" width="12.5546875" style="19" bestFit="1" customWidth="1"/>
    <col min="2045" max="2045" width="13.33203125" style="19" customWidth="1"/>
    <col min="2046" max="2046" width="11.33203125" style="19" customWidth="1"/>
    <col min="2047" max="2047" width="13.33203125" style="19" customWidth="1"/>
    <col min="2048" max="2048" width="15.44140625" style="19" customWidth="1"/>
    <col min="2049" max="2049" width="48" style="19" customWidth="1"/>
    <col min="2050" max="2279" width="9.109375" style="19"/>
    <col min="2280" max="2280" width="9.109375" style="19" customWidth="1"/>
    <col min="2281" max="2283" width="19" style="19" customWidth="1"/>
    <col min="2284" max="2284" width="15" style="19" bestFit="1" customWidth="1"/>
    <col min="2285" max="2285" width="11.109375" style="19" bestFit="1" customWidth="1"/>
    <col min="2286" max="2286" width="28.88671875" style="19" customWidth="1"/>
    <col min="2287" max="2287" width="16.109375" style="19" customWidth="1"/>
    <col min="2288" max="2288" width="41.44140625" style="19" customWidth="1"/>
    <col min="2289" max="2289" width="14.88671875" style="19" customWidth="1"/>
    <col min="2290" max="2290" width="17.6640625" style="19" customWidth="1"/>
    <col min="2291" max="2295" width="17" style="19" customWidth="1"/>
    <col min="2296" max="2296" width="24" style="19" bestFit="1" customWidth="1"/>
    <col min="2297" max="2298" width="17.88671875" style="19" customWidth="1"/>
    <col min="2299" max="2299" width="16.33203125" style="19" customWidth="1"/>
    <col min="2300" max="2300" width="12.5546875" style="19" bestFit="1" customWidth="1"/>
    <col min="2301" max="2301" width="13.33203125" style="19" customWidth="1"/>
    <col min="2302" max="2302" width="11.33203125" style="19" customWidth="1"/>
    <col min="2303" max="2303" width="13.33203125" style="19" customWidth="1"/>
    <col min="2304" max="2304" width="15.44140625" style="19" customWidth="1"/>
    <col min="2305" max="2305" width="48" style="19" customWidth="1"/>
    <col min="2306" max="2535" width="9.109375" style="19"/>
    <col min="2536" max="2536" width="9.109375" style="19" customWidth="1"/>
    <col min="2537" max="2539" width="19" style="19" customWidth="1"/>
    <col min="2540" max="2540" width="15" style="19" bestFit="1" customWidth="1"/>
    <col min="2541" max="2541" width="11.109375" style="19" bestFit="1" customWidth="1"/>
    <col min="2542" max="2542" width="28.88671875" style="19" customWidth="1"/>
    <col min="2543" max="2543" width="16.109375" style="19" customWidth="1"/>
    <col min="2544" max="2544" width="41.44140625" style="19" customWidth="1"/>
    <col min="2545" max="2545" width="14.88671875" style="19" customWidth="1"/>
    <col min="2546" max="2546" width="17.6640625" style="19" customWidth="1"/>
    <col min="2547" max="2551" width="17" style="19" customWidth="1"/>
    <col min="2552" max="2552" width="24" style="19" bestFit="1" customWidth="1"/>
    <col min="2553" max="2554" width="17.88671875" style="19" customWidth="1"/>
    <col min="2555" max="2555" width="16.33203125" style="19" customWidth="1"/>
    <col min="2556" max="2556" width="12.5546875" style="19" bestFit="1" customWidth="1"/>
    <col min="2557" max="2557" width="13.33203125" style="19" customWidth="1"/>
    <col min="2558" max="2558" width="11.33203125" style="19" customWidth="1"/>
    <col min="2559" max="2559" width="13.33203125" style="19" customWidth="1"/>
    <col min="2560" max="2560" width="15.44140625" style="19" customWidth="1"/>
    <col min="2561" max="2561" width="48" style="19" customWidth="1"/>
    <col min="2562" max="2791" width="9.109375" style="19"/>
    <col min="2792" max="2792" width="9.109375" style="19" customWidth="1"/>
    <col min="2793" max="2795" width="19" style="19" customWidth="1"/>
    <col min="2796" max="2796" width="15" style="19" bestFit="1" customWidth="1"/>
    <col min="2797" max="2797" width="11.109375" style="19" bestFit="1" customWidth="1"/>
    <col min="2798" max="2798" width="28.88671875" style="19" customWidth="1"/>
    <col min="2799" max="2799" width="16.109375" style="19" customWidth="1"/>
    <col min="2800" max="2800" width="41.44140625" style="19" customWidth="1"/>
    <col min="2801" max="2801" width="14.88671875" style="19" customWidth="1"/>
    <col min="2802" max="2802" width="17.6640625" style="19" customWidth="1"/>
    <col min="2803" max="2807" width="17" style="19" customWidth="1"/>
    <col min="2808" max="2808" width="24" style="19" bestFit="1" customWidth="1"/>
    <col min="2809" max="2810" width="17.88671875" style="19" customWidth="1"/>
    <col min="2811" max="2811" width="16.33203125" style="19" customWidth="1"/>
    <col min="2812" max="2812" width="12.5546875" style="19" bestFit="1" customWidth="1"/>
    <col min="2813" max="2813" width="13.33203125" style="19" customWidth="1"/>
    <col min="2814" max="2814" width="11.33203125" style="19" customWidth="1"/>
    <col min="2815" max="2815" width="13.33203125" style="19" customWidth="1"/>
    <col min="2816" max="2816" width="15.44140625" style="19" customWidth="1"/>
    <col min="2817" max="2817" width="48" style="19" customWidth="1"/>
    <col min="2818" max="3047" width="9.109375" style="19"/>
    <col min="3048" max="3048" width="9.109375" style="19" customWidth="1"/>
    <col min="3049" max="3051" width="19" style="19" customWidth="1"/>
    <col min="3052" max="3052" width="15" style="19" bestFit="1" customWidth="1"/>
    <col min="3053" max="3053" width="11.109375" style="19" bestFit="1" customWidth="1"/>
    <col min="3054" max="3054" width="28.88671875" style="19" customWidth="1"/>
    <col min="3055" max="3055" width="16.109375" style="19" customWidth="1"/>
    <col min="3056" max="3056" width="41.44140625" style="19" customWidth="1"/>
    <col min="3057" max="3057" width="14.88671875" style="19" customWidth="1"/>
    <col min="3058" max="3058" width="17.6640625" style="19" customWidth="1"/>
    <col min="3059" max="3063" width="17" style="19" customWidth="1"/>
    <col min="3064" max="3064" width="24" style="19" bestFit="1" customWidth="1"/>
    <col min="3065" max="3066" width="17.88671875" style="19" customWidth="1"/>
    <col min="3067" max="3067" width="16.33203125" style="19" customWidth="1"/>
    <col min="3068" max="3068" width="12.5546875" style="19" bestFit="1" customWidth="1"/>
    <col min="3069" max="3069" width="13.33203125" style="19" customWidth="1"/>
    <col min="3070" max="3070" width="11.33203125" style="19" customWidth="1"/>
    <col min="3071" max="3071" width="13.33203125" style="19" customWidth="1"/>
    <col min="3072" max="3072" width="15.44140625" style="19" customWidth="1"/>
    <col min="3073" max="3073" width="48" style="19" customWidth="1"/>
    <col min="3074" max="3303" width="9.109375" style="19"/>
    <col min="3304" max="3304" width="9.109375" style="19" customWidth="1"/>
    <col min="3305" max="3307" width="19" style="19" customWidth="1"/>
    <col min="3308" max="3308" width="15" style="19" bestFit="1" customWidth="1"/>
    <col min="3309" max="3309" width="11.109375" style="19" bestFit="1" customWidth="1"/>
    <col min="3310" max="3310" width="28.88671875" style="19" customWidth="1"/>
    <col min="3311" max="3311" width="16.109375" style="19" customWidth="1"/>
    <col min="3312" max="3312" width="41.44140625" style="19" customWidth="1"/>
    <col min="3313" max="3313" width="14.88671875" style="19" customWidth="1"/>
    <col min="3314" max="3314" width="17.6640625" style="19" customWidth="1"/>
    <col min="3315" max="3319" width="17" style="19" customWidth="1"/>
    <col min="3320" max="3320" width="24" style="19" bestFit="1" customWidth="1"/>
    <col min="3321" max="3322" width="17.88671875" style="19" customWidth="1"/>
    <col min="3323" max="3323" width="16.33203125" style="19" customWidth="1"/>
    <col min="3324" max="3324" width="12.5546875" style="19" bestFit="1" customWidth="1"/>
    <col min="3325" max="3325" width="13.33203125" style="19" customWidth="1"/>
    <col min="3326" max="3326" width="11.33203125" style="19" customWidth="1"/>
    <col min="3327" max="3327" width="13.33203125" style="19" customWidth="1"/>
    <col min="3328" max="3328" width="15.44140625" style="19" customWidth="1"/>
    <col min="3329" max="3329" width="48" style="19" customWidth="1"/>
    <col min="3330" max="3559" width="9.109375" style="19"/>
    <col min="3560" max="3560" width="9.109375" style="19" customWidth="1"/>
    <col min="3561" max="3563" width="19" style="19" customWidth="1"/>
    <col min="3564" max="3564" width="15" style="19" bestFit="1" customWidth="1"/>
    <col min="3565" max="3565" width="11.109375" style="19" bestFit="1" customWidth="1"/>
    <col min="3566" max="3566" width="28.88671875" style="19" customWidth="1"/>
    <col min="3567" max="3567" width="16.109375" style="19" customWidth="1"/>
    <col min="3568" max="3568" width="41.44140625" style="19" customWidth="1"/>
    <col min="3569" max="3569" width="14.88671875" style="19" customWidth="1"/>
    <col min="3570" max="3570" width="17.6640625" style="19" customWidth="1"/>
    <col min="3571" max="3575" width="17" style="19" customWidth="1"/>
    <col min="3576" max="3576" width="24" style="19" bestFit="1" customWidth="1"/>
    <col min="3577" max="3578" width="17.88671875" style="19" customWidth="1"/>
    <col min="3579" max="3579" width="16.33203125" style="19" customWidth="1"/>
    <col min="3580" max="3580" width="12.5546875" style="19" bestFit="1" customWidth="1"/>
    <col min="3581" max="3581" width="13.33203125" style="19" customWidth="1"/>
    <col min="3582" max="3582" width="11.33203125" style="19" customWidth="1"/>
    <col min="3583" max="3583" width="13.33203125" style="19" customWidth="1"/>
    <col min="3584" max="3584" width="15.44140625" style="19" customWidth="1"/>
    <col min="3585" max="3585" width="48" style="19" customWidth="1"/>
    <col min="3586" max="3815" width="9.109375" style="19"/>
    <col min="3816" max="3816" width="9.109375" style="19" customWidth="1"/>
    <col min="3817" max="3819" width="19" style="19" customWidth="1"/>
    <col min="3820" max="3820" width="15" style="19" bestFit="1" customWidth="1"/>
    <col min="3821" max="3821" width="11.109375" style="19" bestFit="1" customWidth="1"/>
    <col min="3822" max="3822" width="28.88671875" style="19" customWidth="1"/>
    <col min="3823" max="3823" width="16.109375" style="19" customWidth="1"/>
    <col min="3824" max="3824" width="41.44140625" style="19" customWidth="1"/>
    <col min="3825" max="3825" width="14.88671875" style="19" customWidth="1"/>
    <col min="3826" max="3826" width="17.6640625" style="19" customWidth="1"/>
    <col min="3827" max="3831" width="17" style="19" customWidth="1"/>
    <col min="3832" max="3832" width="24" style="19" bestFit="1" customWidth="1"/>
    <col min="3833" max="3834" width="17.88671875" style="19" customWidth="1"/>
    <col min="3835" max="3835" width="16.33203125" style="19" customWidth="1"/>
    <col min="3836" max="3836" width="12.5546875" style="19" bestFit="1" customWidth="1"/>
    <col min="3837" max="3837" width="13.33203125" style="19" customWidth="1"/>
    <col min="3838" max="3838" width="11.33203125" style="19" customWidth="1"/>
    <col min="3839" max="3839" width="13.33203125" style="19" customWidth="1"/>
    <col min="3840" max="3840" width="15.44140625" style="19" customWidth="1"/>
    <col min="3841" max="3841" width="48" style="19" customWidth="1"/>
    <col min="3842" max="4071" width="9.109375" style="19"/>
    <col min="4072" max="4072" width="9.109375" style="19" customWidth="1"/>
    <col min="4073" max="4075" width="19" style="19" customWidth="1"/>
    <col min="4076" max="4076" width="15" style="19" bestFit="1" customWidth="1"/>
    <col min="4077" max="4077" width="11.109375" style="19" bestFit="1" customWidth="1"/>
    <col min="4078" max="4078" width="28.88671875" style="19" customWidth="1"/>
    <col min="4079" max="4079" width="16.109375" style="19" customWidth="1"/>
    <col min="4080" max="4080" width="41.44140625" style="19" customWidth="1"/>
    <col min="4081" max="4081" width="14.88671875" style="19" customWidth="1"/>
    <col min="4082" max="4082" width="17.6640625" style="19" customWidth="1"/>
    <col min="4083" max="4087" width="17" style="19" customWidth="1"/>
    <col min="4088" max="4088" width="24" style="19" bestFit="1" customWidth="1"/>
    <col min="4089" max="4090" width="17.88671875" style="19" customWidth="1"/>
    <col min="4091" max="4091" width="16.33203125" style="19" customWidth="1"/>
    <col min="4092" max="4092" width="12.5546875" style="19" bestFit="1" customWidth="1"/>
    <col min="4093" max="4093" width="13.33203125" style="19" customWidth="1"/>
    <col min="4094" max="4094" width="11.33203125" style="19" customWidth="1"/>
    <col min="4095" max="4095" width="13.33203125" style="19" customWidth="1"/>
    <col min="4096" max="4096" width="15.44140625" style="19" customWidth="1"/>
    <col min="4097" max="4097" width="48" style="19" customWidth="1"/>
    <col min="4098" max="4327" width="9.109375" style="19"/>
    <col min="4328" max="4328" width="9.109375" style="19" customWidth="1"/>
    <col min="4329" max="4331" width="19" style="19" customWidth="1"/>
    <col min="4332" max="4332" width="15" style="19" bestFit="1" customWidth="1"/>
    <col min="4333" max="4333" width="11.109375" style="19" bestFit="1" customWidth="1"/>
    <col min="4334" max="4334" width="28.88671875" style="19" customWidth="1"/>
    <col min="4335" max="4335" width="16.109375" style="19" customWidth="1"/>
    <col min="4336" max="4336" width="41.44140625" style="19" customWidth="1"/>
    <col min="4337" max="4337" width="14.88671875" style="19" customWidth="1"/>
    <col min="4338" max="4338" width="17.6640625" style="19" customWidth="1"/>
    <col min="4339" max="4343" width="17" style="19" customWidth="1"/>
    <col min="4344" max="4344" width="24" style="19" bestFit="1" customWidth="1"/>
    <col min="4345" max="4346" width="17.88671875" style="19" customWidth="1"/>
    <col min="4347" max="4347" width="16.33203125" style="19" customWidth="1"/>
    <col min="4348" max="4348" width="12.5546875" style="19" bestFit="1" customWidth="1"/>
    <col min="4349" max="4349" width="13.33203125" style="19" customWidth="1"/>
    <col min="4350" max="4350" width="11.33203125" style="19" customWidth="1"/>
    <col min="4351" max="4351" width="13.33203125" style="19" customWidth="1"/>
    <col min="4352" max="4352" width="15.44140625" style="19" customWidth="1"/>
    <col min="4353" max="4353" width="48" style="19" customWidth="1"/>
    <col min="4354" max="4583" width="9.109375" style="19"/>
    <col min="4584" max="4584" width="9.109375" style="19" customWidth="1"/>
    <col min="4585" max="4587" width="19" style="19" customWidth="1"/>
    <col min="4588" max="4588" width="15" style="19" bestFit="1" customWidth="1"/>
    <col min="4589" max="4589" width="11.109375" style="19" bestFit="1" customWidth="1"/>
    <col min="4590" max="4590" width="28.88671875" style="19" customWidth="1"/>
    <col min="4591" max="4591" width="16.109375" style="19" customWidth="1"/>
    <col min="4592" max="4592" width="41.44140625" style="19" customWidth="1"/>
    <col min="4593" max="4593" width="14.88671875" style="19" customWidth="1"/>
    <col min="4594" max="4594" width="17.6640625" style="19" customWidth="1"/>
    <col min="4595" max="4599" width="17" style="19" customWidth="1"/>
    <col min="4600" max="4600" width="24" style="19" bestFit="1" customWidth="1"/>
    <col min="4601" max="4602" width="17.88671875" style="19" customWidth="1"/>
    <col min="4603" max="4603" width="16.33203125" style="19" customWidth="1"/>
    <col min="4604" max="4604" width="12.5546875" style="19" bestFit="1" customWidth="1"/>
    <col min="4605" max="4605" width="13.33203125" style="19" customWidth="1"/>
    <col min="4606" max="4606" width="11.33203125" style="19" customWidth="1"/>
    <col min="4607" max="4607" width="13.33203125" style="19" customWidth="1"/>
    <col min="4608" max="4608" width="15.44140625" style="19" customWidth="1"/>
    <col min="4609" max="4609" width="48" style="19" customWidth="1"/>
    <col min="4610" max="4839" width="9.109375" style="19"/>
    <col min="4840" max="4840" width="9.109375" style="19" customWidth="1"/>
    <col min="4841" max="4843" width="19" style="19" customWidth="1"/>
    <col min="4844" max="4844" width="15" style="19" bestFit="1" customWidth="1"/>
    <col min="4845" max="4845" width="11.109375" style="19" bestFit="1" customWidth="1"/>
    <col min="4846" max="4846" width="28.88671875" style="19" customWidth="1"/>
    <col min="4847" max="4847" width="16.109375" style="19" customWidth="1"/>
    <col min="4848" max="4848" width="41.44140625" style="19" customWidth="1"/>
    <col min="4849" max="4849" width="14.88671875" style="19" customWidth="1"/>
    <col min="4850" max="4850" width="17.6640625" style="19" customWidth="1"/>
    <col min="4851" max="4855" width="17" style="19" customWidth="1"/>
    <col min="4856" max="4856" width="24" style="19" bestFit="1" customWidth="1"/>
    <col min="4857" max="4858" width="17.88671875" style="19" customWidth="1"/>
    <col min="4859" max="4859" width="16.33203125" style="19" customWidth="1"/>
    <col min="4860" max="4860" width="12.5546875" style="19" bestFit="1" customWidth="1"/>
    <col min="4861" max="4861" width="13.33203125" style="19" customWidth="1"/>
    <col min="4862" max="4862" width="11.33203125" style="19" customWidth="1"/>
    <col min="4863" max="4863" width="13.33203125" style="19" customWidth="1"/>
    <col min="4864" max="4864" width="15.44140625" style="19" customWidth="1"/>
    <col min="4865" max="4865" width="48" style="19" customWidth="1"/>
    <col min="4866" max="5095" width="9.109375" style="19"/>
    <col min="5096" max="5096" width="9.109375" style="19" customWidth="1"/>
    <col min="5097" max="5099" width="19" style="19" customWidth="1"/>
    <col min="5100" max="5100" width="15" style="19" bestFit="1" customWidth="1"/>
    <col min="5101" max="5101" width="11.109375" style="19" bestFit="1" customWidth="1"/>
    <col min="5102" max="5102" width="28.88671875" style="19" customWidth="1"/>
    <col min="5103" max="5103" width="16.109375" style="19" customWidth="1"/>
    <col min="5104" max="5104" width="41.44140625" style="19" customWidth="1"/>
    <col min="5105" max="5105" width="14.88671875" style="19" customWidth="1"/>
    <col min="5106" max="5106" width="17.6640625" style="19" customWidth="1"/>
    <col min="5107" max="5111" width="17" style="19" customWidth="1"/>
    <col min="5112" max="5112" width="24" style="19" bestFit="1" customWidth="1"/>
    <col min="5113" max="5114" width="17.88671875" style="19" customWidth="1"/>
    <col min="5115" max="5115" width="16.33203125" style="19" customWidth="1"/>
    <col min="5116" max="5116" width="12.5546875" style="19" bestFit="1" customWidth="1"/>
    <col min="5117" max="5117" width="13.33203125" style="19" customWidth="1"/>
    <col min="5118" max="5118" width="11.33203125" style="19" customWidth="1"/>
    <col min="5119" max="5119" width="13.33203125" style="19" customWidth="1"/>
    <col min="5120" max="5120" width="15.44140625" style="19" customWidth="1"/>
    <col min="5121" max="5121" width="48" style="19" customWidth="1"/>
    <col min="5122" max="5351" width="9.109375" style="19"/>
    <col min="5352" max="5352" width="9.109375" style="19" customWidth="1"/>
    <col min="5353" max="5355" width="19" style="19" customWidth="1"/>
    <col min="5356" max="5356" width="15" style="19" bestFit="1" customWidth="1"/>
    <col min="5357" max="5357" width="11.109375" style="19" bestFit="1" customWidth="1"/>
    <col min="5358" max="5358" width="28.88671875" style="19" customWidth="1"/>
    <col min="5359" max="5359" width="16.109375" style="19" customWidth="1"/>
    <col min="5360" max="5360" width="41.44140625" style="19" customWidth="1"/>
    <col min="5361" max="5361" width="14.88671875" style="19" customWidth="1"/>
    <col min="5362" max="5362" width="17.6640625" style="19" customWidth="1"/>
    <col min="5363" max="5367" width="17" style="19" customWidth="1"/>
    <col min="5368" max="5368" width="24" style="19" bestFit="1" customWidth="1"/>
    <col min="5369" max="5370" width="17.88671875" style="19" customWidth="1"/>
    <col min="5371" max="5371" width="16.33203125" style="19" customWidth="1"/>
    <col min="5372" max="5372" width="12.5546875" style="19" bestFit="1" customWidth="1"/>
    <col min="5373" max="5373" width="13.33203125" style="19" customWidth="1"/>
    <col min="5374" max="5374" width="11.33203125" style="19" customWidth="1"/>
    <col min="5375" max="5375" width="13.33203125" style="19" customWidth="1"/>
    <col min="5376" max="5376" width="15.44140625" style="19" customWidth="1"/>
    <col min="5377" max="5377" width="48" style="19" customWidth="1"/>
    <col min="5378" max="5607" width="9.109375" style="19"/>
    <col min="5608" max="5608" width="9.109375" style="19" customWidth="1"/>
    <col min="5609" max="5611" width="19" style="19" customWidth="1"/>
    <col min="5612" max="5612" width="15" style="19" bestFit="1" customWidth="1"/>
    <col min="5613" max="5613" width="11.109375" style="19" bestFit="1" customWidth="1"/>
    <col min="5614" max="5614" width="28.88671875" style="19" customWidth="1"/>
    <col min="5615" max="5615" width="16.109375" style="19" customWidth="1"/>
    <col min="5616" max="5616" width="41.44140625" style="19" customWidth="1"/>
    <col min="5617" max="5617" width="14.88671875" style="19" customWidth="1"/>
    <col min="5618" max="5618" width="17.6640625" style="19" customWidth="1"/>
    <col min="5619" max="5623" width="17" style="19" customWidth="1"/>
    <col min="5624" max="5624" width="24" style="19" bestFit="1" customWidth="1"/>
    <col min="5625" max="5626" width="17.88671875" style="19" customWidth="1"/>
    <col min="5627" max="5627" width="16.33203125" style="19" customWidth="1"/>
    <col min="5628" max="5628" width="12.5546875" style="19" bestFit="1" customWidth="1"/>
    <col min="5629" max="5629" width="13.33203125" style="19" customWidth="1"/>
    <col min="5630" max="5630" width="11.33203125" style="19" customWidth="1"/>
    <col min="5631" max="5631" width="13.33203125" style="19" customWidth="1"/>
    <col min="5632" max="5632" width="15.44140625" style="19" customWidth="1"/>
    <col min="5633" max="5633" width="48" style="19" customWidth="1"/>
    <col min="5634" max="5863" width="9.109375" style="19"/>
    <col min="5864" max="5864" width="9.109375" style="19" customWidth="1"/>
    <col min="5865" max="5867" width="19" style="19" customWidth="1"/>
    <col min="5868" max="5868" width="15" style="19" bestFit="1" customWidth="1"/>
    <col min="5869" max="5869" width="11.109375" style="19" bestFit="1" customWidth="1"/>
    <col min="5870" max="5870" width="28.88671875" style="19" customWidth="1"/>
    <col min="5871" max="5871" width="16.109375" style="19" customWidth="1"/>
    <col min="5872" max="5872" width="41.44140625" style="19" customWidth="1"/>
    <col min="5873" max="5873" width="14.88671875" style="19" customWidth="1"/>
    <col min="5874" max="5874" width="17.6640625" style="19" customWidth="1"/>
    <col min="5875" max="5879" width="17" style="19" customWidth="1"/>
    <col min="5880" max="5880" width="24" style="19" bestFit="1" customWidth="1"/>
    <col min="5881" max="5882" width="17.88671875" style="19" customWidth="1"/>
    <col min="5883" max="5883" width="16.33203125" style="19" customWidth="1"/>
    <col min="5884" max="5884" width="12.5546875" style="19" bestFit="1" customWidth="1"/>
    <col min="5885" max="5885" width="13.33203125" style="19" customWidth="1"/>
    <col min="5886" max="5886" width="11.33203125" style="19" customWidth="1"/>
    <col min="5887" max="5887" width="13.33203125" style="19" customWidth="1"/>
    <col min="5888" max="5888" width="15.44140625" style="19" customWidth="1"/>
    <col min="5889" max="5889" width="48" style="19" customWidth="1"/>
    <col min="5890" max="6119" width="9.109375" style="19"/>
    <col min="6120" max="6120" width="9.109375" style="19" customWidth="1"/>
    <col min="6121" max="6123" width="19" style="19" customWidth="1"/>
    <col min="6124" max="6124" width="15" style="19" bestFit="1" customWidth="1"/>
    <col min="6125" max="6125" width="11.109375" style="19" bestFit="1" customWidth="1"/>
    <col min="6126" max="6126" width="28.88671875" style="19" customWidth="1"/>
    <col min="6127" max="6127" width="16.109375" style="19" customWidth="1"/>
    <col min="6128" max="6128" width="41.44140625" style="19" customWidth="1"/>
    <col min="6129" max="6129" width="14.88671875" style="19" customWidth="1"/>
    <col min="6130" max="6130" width="17.6640625" style="19" customWidth="1"/>
    <col min="6131" max="6135" width="17" style="19" customWidth="1"/>
    <col min="6136" max="6136" width="24" style="19" bestFit="1" customWidth="1"/>
    <col min="6137" max="6138" width="17.88671875" style="19" customWidth="1"/>
    <col min="6139" max="6139" width="16.33203125" style="19" customWidth="1"/>
    <col min="6140" max="6140" width="12.5546875" style="19" bestFit="1" customWidth="1"/>
    <col min="6141" max="6141" width="13.33203125" style="19" customWidth="1"/>
    <col min="6142" max="6142" width="11.33203125" style="19" customWidth="1"/>
    <col min="6143" max="6143" width="13.33203125" style="19" customWidth="1"/>
    <col min="6144" max="6144" width="15.44140625" style="19" customWidth="1"/>
    <col min="6145" max="6145" width="48" style="19" customWidth="1"/>
    <col min="6146" max="6375" width="9.109375" style="19"/>
    <col min="6376" max="6376" width="9.109375" style="19" customWidth="1"/>
    <col min="6377" max="6379" width="19" style="19" customWidth="1"/>
    <col min="6380" max="6380" width="15" style="19" bestFit="1" customWidth="1"/>
    <col min="6381" max="6381" width="11.109375" style="19" bestFit="1" customWidth="1"/>
    <col min="6382" max="6382" width="28.88671875" style="19" customWidth="1"/>
    <col min="6383" max="6383" width="16.109375" style="19" customWidth="1"/>
    <col min="6384" max="6384" width="41.44140625" style="19" customWidth="1"/>
    <col min="6385" max="6385" width="14.88671875" style="19" customWidth="1"/>
    <col min="6386" max="6386" width="17.6640625" style="19" customWidth="1"/>
    <col min="6387" max="6391" width="17" style="19" customWidth="1"/>
    <col min="6392" max="6392" width="24" style="19" bestFit="1" customWidth="1"/>
    <col min="6393" max="6394" width="17.88671875" style="19" customWidth="1"/>
    <col min="6395" max="6395" width="16.33203125" style="19" customWidth="1"/>
    <col min="6396" max="6396" width="12.5546875" style="19" bestFit="1" customWidth="1"/>
    <col min="6397" max="6397" width="13.33203125" style="19" customWidth="1"/>
    <col min="6398" max="6398" width="11.33203125" style="19" customWidth="1"/>
    <col min="6399" max="6399" width="13.33203125" style="19" customWidth="1"/>
    <col min="6400" max="6400" width="15.44140625" style="19" customWidth="1"/>
    <col min="6401" max="6401" width="48" style="19" customWidth="1"/>
    <col min="6402" max="6631" width="9.109375" style="19"/>
    <col min="6632" max="6632" width="9.109375" style="19" customWidth="1"/>
    <col min="6633" max="6635" width="19" style="19" customWidth="1"/>
    <col min="6636" max="6636" width="15" style="19" bestFit="1" customWidth="1"/>
    <col min="6637" max="6637" width="11.109375" style="19" bestFit="1" customWidth="1"/>
    <col min="6638" max="6638" width="28.88671875" style="19" customWidth="1"/>
    <col min="6639" max="6639" width="16.109375" style="19" customWidth="1"/>
    <col min="6640" max="6640" width="41.44140625" style="19" customWidth="1"/>
    <col min="6641" max="6641" width="14.88671875" style="19" customWidth="1"/>
    <col min="6642" max="6642" width="17.6640625" style="19" customWidth="1"/>
    <col min="6643" max="6647" width="17" style="19" customWidth="1"/>
    <col min="6648" max="6648" width="24" style="19" bestFit="1" customWidth="1"/>
    <col min="6649" max="6650" width="17.88671875" style="19" customWidth="1"/>
    <col min="6651" max="6651" width="16.33203125" style="19" customWidth="1"/>
    <col min="6652" max="6652" width="12.5546875" style="19" bestFit="1" customWidth="1"/>
    <col min="6653" max="6653" width="13.33203125" style="19" customWidth="1"/>
    <col min="6654" max="6654" width="11.33203125" style="19" customWidth="1"/>
    <col min="6655" max="6655" width="13.33203125" style="19" customWidth="1"/>
    <col min="6656" max="6656" width="15.44140625" style="19" customWidth="1"/>
    <col min="6657" max="6657" width="48" style="19" customWidth="1"/>
    <col min="6658" max="6887" width="9.109375" style="19"/>
    <col min="6888" max="6888" width="9.109375" style="19" customWidth="1"/>
    <col min="6889" max="6891" width="19" style="19" customWidth="1"/>
    <col min="6892" max="6892" width="15" style="19" bestFit="1" customWidth="1"/>
    <col min="6893" max="6893" width="11.109375" style="19" bestFit="1" customWidth="1"/>
    <col min="6894" max="6894" width="28.88671875" style="19" customWidth="1"/>
    <col min="6895" max="6895" width="16.109375" style="19" customWidth="1"/>
    <col min="6896" max="6896" width="41.44140625" style="19" customWidth="1"/>
    <col min="6897" max="6897" width="14.88671875" style="19" customWidth="1"/>
    <col min="6898" max="6898" width="17.6640625" style="19" customWidth="1"/>
    <col min="6899" max="6903" width="17" style="19" customWidth="1"/>
    <col min="6904" max="6904" width="24" style="19" bestFit="1" customWidth="1"/>
    <col min="6905" max="6906" width="17.88671875" style="19" customWidth="1"/>
    <col min="6907" max="6907" width="16.33203125" style="19" customWidth="1"/>
    <col min="6908" max="6908" width="12.5546875" style="19" bestFit="1" customWidth="1"/>
    <col min="6909" max="6909" width="13.33203125" style="19" customWidth="1"/>
    <col min="6910" max="6910" width="11.33203125" style="19" customWidth="1"/>
    <col min="6911" max="6911" width="13.33203125" style="19" customWidth="1"/>
    <col min="6912" max="6912" width="15.44140625" style="19" customWidth="1"/>
    <col min="6913" max="6913" width="48" style="19" customWidth="1"/>
    <col min="6914" max="7143" width="9.109375" style="19"/>
    <col min="7144" max="7144" width="9.109375" style="19" customWidth="1"/>
    <col min="7145" max="7147" width="19" style="19" customWidth="1"/>
    <col min="7148" max="7148" width="15" style="19" bestFit="1" customWidth="1"/>
    <col min="7149" max="7149" width="11.109375" style="19" bestFit="1" customWidth="1"/>
    <col min="7150" max="7150" width="28.88671875" style="19" customWidth="1"/>
    <col min="7151" max="7151" width="16.109375" style="19" customWidth="1"/>
    <col min="7152" max="7152" width="41.44140625" style="19" customWidth="1"/>
    <col min="7153" max="7153" width="14.88671875" style="19" customWidth="1"/>
    <col min="7154" max="7154" width="17.6640625" style="19" customWidth="1"/>
    <col min="7155" max="7159" width="17" style="19" customWidth="1"/>
    <col min="7160" max="7160" width="24" style="19" bestFit="1" customWidth="1"/>
    <col min="7161" max="7162" width="17.88671875" style="19" customWidth="1"/>
    <col min="7163" max="7163" width="16.33203125" style="19" customWidth="1"/>
    <col min="7164" max="7164" width="12.5546875" style="19" bestFit="1" customWidth="1"/>
    <col min="7165" max="7165" width="13.33203125" style="19" customWidth="1"/>
    <col min="7166" max="7166" width="11.33203125" style="19" customWidth="1"/>
    <col min="7167" max="7167" width="13.33203125" style="19" customWidth="1"/>
    <col min="7168" max="7168" width="15.44140625" style="19" customWidth="1"/>
    <col min="7169" max="7169" width="48" style="19" customWidth="1"/>
    <col min="7170" max="7399" width="9.109375" style="19"/>
    <col min="7400" max="7400" width="9.109375" style="19" customWidth="1"/>
    <col min="7401" max="7403" width="19" style="19" customWidth="1"/>
    <col min="7404" max="7404" width="15" style="19" bestFit="1" customWidth="1"/>
    <col min="7405" max="7405" width="11.109375" style="19" bestFit="1" customWidth="1"/>
    <col min="7406" max="7406" width="28.88671875" style="19" customWidth="1"/>
    <col min="7407" max="7407" width="16.109375" style="19" customWidth="1"/>
    <col min="7408" max="7408" width="41.44140625" style="19" customWidth="1"/>
    <col min="7409" max="7409" width="14.88671875" style="19" customWidth="1"/>
    <col min="7410" max="7410" width="17.6640625" style="19" customWidth="1"/>
    <col min="7411" max="7415" width="17" style="19" customWidth="1"/>
    <col min="7416" max="7416" width="24" style="19" bestFit="1" customWidth="1"/>
    <col min="7417" max="7418" width="17.88671875" style="19" customWidth="1"/>
    <col min="7419" max="7419" width="16.33203125" style="19" customWidth="1"/>
    <col min="7420" max="7420" width="12.5546875" style="19" bestFit="1" customWidth="1"/>
    <col min="7421" max="7421" width="13.33203125" style="19" customWidth="1"/>
    <col min="7422" max="7422" width="11.33203125" style="19" customWidth="1"/>
    <col min="7423" max="7423" width="13.33203125" style="19" customWidth="1"/>
    <col min="7424" max="7424" width="15.44140625" style="19" customWidth="1"/>
    <col min="7425" max="7425" width="48" style="19" customWidth="1"/>
    <col min="7426" max="7655" width="9.109375" style="19"/>
    <col min="7656" max="7656" width="9.109375" style="19" customWidth="1"/>
    <col min="7657" max="7659" width="19" style="19" customWidth="1"/>
    <col min="7660" max="7660" width="15" style="19" bestFit="1" customWidth="1"/>
    <col min="7661" max="7661" width="11.109375" style="19" bestFit="1" customWidth="1"/>
    <col min="7662" max="7662" width="28.88671875" style="19" customWidth="1"/>
    <col min="7663" max="7663" width="16.109375" style="19" customWidth="1"/>
    <col min="7664" max="7664" width="41.44140625" style="19" customWidth="1"/>
    <col min="7665" max="7665" width="14.88671875" style="19" customWidth="1"/>
    <col min="7666" max="7666" width="17.6640625" style="19" customWidth="1"/>
    <col min="7667" max="7671" width="17" style="19" customWidth="1"/>
    <col min="7672" max="7672" width="24" style="19" bestFit="1" customWidth="1"/>
    <col min="7673" max="7674" width="17.88671875" style="19" customWidth="1"/>
    <col min="7675" max="7675" width="16.33203125" style="19" customWidth="1"/>
    <col min="7676" max="7676" width="12.5546875" style="19" bestFit="1" customWidth="1"/>
    <col min="7677" max="7677" width="13.33203125" style="19" customWidth="1"/>
    <col min="7678" max="7678" width="11.33203125" style="19" customWidth="1"/>
    <col min="7679" max="7679" width="13.33203125" style="19" customWidth="1"/>
    <col min="7680" max="7680" width="15.44140625" style="19" customWidth="1"/>
    <col min="7681" max="7681" width="48" style="19" customWidth="1"/>
    <col min="7682" max="7911" width="9.109375" style="19"/>
    <col min="7912" max="7912" width="9.109375" style="19" customWidth="1"/>
    <col min="7913" max="7915" width="19" style="19" customWidth="1"/>
    <col min="7916" max="7916" width="15" style="19" bestFit="1" customWidth="1"/>
    <col min="7917" max="7917" width="11.109375" style="19" bestFit="1" customWidth="1"/>
    <col min="7918" max="7918" width="28.88671875" style="19" customWidth="1"/>
    <col min="7919" max="7919" width="16.109375" style="19" customWidth="1"/>
    <col min="7920" max="7920" width="41.44140625" style="19" customWidth="1"/>
    <col min="7921" max="7921" width="14.88671875" style="19" customWidth="1"/>
    <col min="7922" max="7922" width="17.6640625" style="19" customWidth="1"/>
    <col min="7923" max="7927" width="17" style="19" customWidth="1"/>
    <col min="7928" max="7928" width="24" style="19" bestFit="1" customWidth="1"/>
    <col min="7929" max="7930" width="17.88671875" style="19" customWidth="1"/>
    <col min="7931" max="7931" width="16.33203125" style="19" customWidth="1"/>
    <col min="7932" max="7932" width="12.5546875" style="19" bestFit="1" customWidth="1"/>
    <col min="7933" max="7933" width="13.33203125" style="19" customWidth="1"/>
    <col min="7934" max="7934" width="11.33203125" style="19" customWidth="1"/>
    <col min="7935" max="7935" width="13.33203125" style="19" customWidth="1"/>
    <col min="7936" max="7936" width="15.44140625" style="19" customWidth="1"/>
    <col min="7937" max="7937" width="48" style="19" customWidth="1"/>
    <col min="7938" max="8167" width="9.109375" style="19"/>
    <col min="8168" max="8168" width="9.109375" style="19" customWidth="1"/>
    <col min="8169" max="8171" width="19" style="19" customWidth="1"/>
    <col min="8172" max="8172" width="15" style="19" bestFit="1" customWidth="1"/>
    <col min="8173" max="8173" width="11.109375" style="19" bestFit="1" customWidth="1"/>
    <col min="8174" max="8174" width="28.88671875" style="19" customWidth="1"/>
    <col min="8175" max="8175" width="16.109375" style="19" customWidth="1"/>
    <col min="8176" max="8176" width="41.44140625" style="19" customWidth="1"/>
    <col min="8177" max="8177" width="14.88671875" style="19" customWidth="1"/>
    <col min="8178" max="8178" width="17.6640625" style="19" customWidth="1"/>
    <col min="8179" max="8183" width="17" style="19" customWidth="1"/>
    <col min="8184" max="8184" width="24" style="19" bestFit="1" customWidth="1"/>
    <col min="8185" max="8186" width="17.88671875" style="19" customWidth="1"/>
    <col min="8187" max="8187" width="16.33203125" style="19" customWidth="1"/>
    <col min="8188" max="8188" width="12.5546875" style="19" bestFit="1" customWidth="1"/>
    <col min="8189" max="8189" width="13.33203125" style="19" customWidth="1"/>
    <col min="8190" max="8190" width="11.33203125" style="19" customWidth="1"/>
    <col min="8191" max="8191" width="13.33203125" style="19" customWidth="1"/>
    <col min="8192" max="8192" width="15.44140625" style="19" customWidth="1"/>
    <col min="8193" max="8193" width="48" style="19" customWidth="1"/>
    <col min="8194" max="8423" width="9.109375" style="19"/>
    <col min="8424" max="8424" width="9.109375" style="19" customWidth="1"/>
    <col min="8425" max="8427" width="19" style="19" customWidth="1"/>
    <col min="8428" max="8428" width="15" style="19" bestFit="1" customWidth="1"/>
    <col min="8429" max="8429" width="11.109375" style="19" bestFit="1" customWidth="1"/>
    <col min="8430" max="8430" width="28.88671875" style="19" customWidth="1"/>
    <col min="8431" max="8431" width="16.109375" style="19" customWidth="1"/>
    <col min="8432" max="8432" width="41.44140625" style="19" customWidth="1"/>
    <col min="8433" max="8433" width="14.88671875" style="19" customWidth="1"/>
    <col min="8434" max="8434" width="17.6640625" style="19" customWidth="1"/>
    <col min="8435" max="8439" width="17" style="19" customWidth="1"/>
    <col min="8440" max="8440" width="24" style="19" bestFit="1" customWidth="1"/>
    <col min="8441" max="8442" width="17.88671875" style="19" customWidth="1"/>
    <col min="8443" max="8443" width="16.33203125" style="19" customWidth="1"/>
    <col min="8444" max="8444" width="12.5546875" style="19" bestFit="1" customWidth="1"/>
    <col min="8445" max="8445" width="13.33203125" style="19" customWidth="1"/>
    <col min="8446" max="8446" width="11.33203125" style="19" customWidth="1"/>
    <col min="8447" max="8447" width="13.33203125" style="19" customWidth="1"/>
    <col min="8448" max="8448" width="15.44140625" style="19" customWidth="1"/>
    <col min="8449" max="8449" width="48" style="19" customWidth="1"/>
    <col min="8450" max="8679" width="9.109375" style="19"/>
    <col min="8680" max="8680" width="9.109375" style="19" customWidth="1"/>
    <col min="8681" max="8683" width="19" style="19" customWidth="1"/>
    <col min="8684" max="8684" width="15" style="19" bestFit="1" customWidth="1"/>
    <col min="8685" max="8685" width="11.109375" style="19" bestFit="1" customWidth="1"/>
    <col min="8686" max="8686" width="28.88671875" style="19" customWidth="1"/>
    <col min="8687" max="8687" width="16.109375" style="19" customWidth="1"/>
    <col min="8688" max="8688" width="41.44140625" style="19" customWidth="1"/>
    <col min="8689" max="8689" width="14.88671875" style="19" customWidth="1"/>
    <col min="8690" max="8690" width="17.6640625" style="19" customWidth="1"/>
    <col min="8691" max="8695" width="17" style="19" customWidth="1"/>
    <col min="8696" max="8696" width="24" style="19" bestFit="1" customWidth="1"/>
    <col min="8697" max="8698" width="17.88671875" style="19" customWidth="1"/>
    <col min="8699" max="8699" width="16.33203125" style="19" customWidth="1"/>
    <col min="8700" max="8700" width="12.5546875" style="19" bestFit="1" customWidth="1"/>
    <col min="8701" max="8701" width="13.33203125" style="19" customWidth="1"/>
    <col min="8702" max="8702" width="11.33203125" style="19" customWidth="1"/>
    <col min="8703" max="8703" width="13.33203125" style="19" customWidth="1"/>
    <col min="8704" max="8704" width="15.44140625" style="19" customWidth="1"/>
    <col min="8705" max="8705" width="48" style="19" customWidth="1"/>
    <col min="8706" max="8935" width="9.109375" style="19"/>
    <col min="8936" max="8936" width="9.109375" style="19" customWidth="1"/>
    <col min="8937" max="8939" width="19" style="19" customWidth="1"/>
    <col min="8940" max="8940" width="15" style="19" bestFit="1" customWidth="1"/>
    <col min="8941" max="8941" width="11.109375" style="19" bestFit="1" customWidth="1"/>
    <col min="8942" max="8942" width="28.88671875" style="19" customWidth="1"/>
    <col min="8943" max="8943" width="16.109375" style="19" customWidth="1"/>
    <col min="8944" max="8944" width="41.44140625" style="19" customWidth="1"/>
    <col min="8945" max="8945" width="14.88671875" style="19" customWidth="1"/>
    <col min="8946" max="8946" width="17.6640625" style="19" customWidth="1"/>
    <col min="8947" max="8951" width="17" style="19" customWidth="1"/>
    <col min="8952" max="8952" width="24" style="19" bestFit="1" customWidth="1"/>
    <col min="8953" max="8954" width="17.88671875" style="19" customWidth="1"/>
    <col min="8955" max="8955" width="16.33203125" style="19" customWidth="1"/>
    <col min="8956" max="8956" width="12.5546875" style="19" bestFit="1" customWidth="1"/>
    <col min="8957" max="8957" width="13.33203125" style="19" customWidth="1"/>
    <col min="8958" max="8958" width="11.33203125" style="19" customWidth="1"/>
    <col min="8959" max="8959" width="13.33203125" style="19" customWidth="1"/>
    <col min="8960" max="8960" width="15.44140625" style="19" customWidth="1"/>
    <col min="8961" max="8961" width="48" style="19" customWidth="1"/>
    <col min="8962" max="9191" width="9.109375" style="19"/>
    <col min="9192" max="9192" width="9.109375" style="19" customWidth="1"/>
    <col min="9193" max="9195" width="19" style="19" customWidth="1"/>
    <col min="9196" max="9196" width="15" style="19" bestFit="1" customWidth="1"/>
    <col min="9197" max="9197" width="11.109375" style="19" bestFit="1" customWidth="1"/>
    <col min="9198" max="9198" width="28.88671875" style="19" customWidth="1"/>
    <col min="9199" max="9199" width="16.109375" style="19" customWidth="1"/>
    <col min="9200" max="9200" width="41.44140625" style="19" customWidth="1"/>
    <col min="9201" max="9201" width="14.88671875" style="19" customWidth="1"/>
    <col min="9202" max="9202" width="17.6640625" style="19" customWidth="1"/>
    <col min="9203" max="9207" width="17" style="19" customWidth="1"/>
    <col min="9208" max="9208" width="24" style="19" bestFit="1" customWidth="1"/>
    <col min="9209" max="9210" width="17.88671875" style="19" customWidth="1"/>
    <col min="9211" max="9211" width="16.33203125" style="19" customWidth="1"/>
    <col min="9212" max="9212" width="12.5546875" style="19" bestFit="1" customWidth="1"/>
    <col min="9213" max="9213" width="13.33203125" style="19" customWidth="1"/>
    <col min="9214" max="9214" width="11.33203125" style="19" customWidth="1"/>
    <col min="9215" max="9215" width="13.33203125" style="19" customWidth="1"/>
    <col min="9216" max="9216" width="15.44140625" style="19" customWidth="1"/>
    <col min="9217" max="9217" width="48" style="19" customWidth="1"/>
    <col min="9218" max="9447" width="9.109375" style="19"/>
    <col min="9448" max="9448" width="9.109375" style="19" customWidth="1"/>
    <col min="9449" max="9451" width="19" style="19" customWidth="1"/>
    <col min="9452" max="9452" width="15" style="19" bestFit="1" customWidth="1"/>
    <col min="9453" max="9453" width="11.109375" style="19" bestFit="1" customWidth="1"/>
    <col min="9454" max="9454" width="28.88671875" style="19" customWidth="1"/>
    <col min="9455" max="9455" width="16.109375" style="19" customWidth="1"/>
    <col min="9456" max="9456" width="41.44140625" style="19" customWidth="1"/>
    <col min="9457" max="9457" width="14.88671875" style="19" customWidth="1"/>
    <col min="9458" max="9458" width="17.6640625" style="19" customWidth="1"/>
    <col min="9459" max="9463" width="17" style="19" customWidth="1"/>
    <col min="9464" max="9464" width="24" style="19" bestFit="1" customWidth="1"/>
    <col min="9465" max="9466" width="17.88671875" style="19" customWidth="1"/>
    <col min="9467" max="9467" width="16.33203125" style="19" customWidth="1"/>
    <col min="9468" max="9468" width="12.5546875" style="19" bestFit="1" customWidth="1"/>
    <col min="9469" max="9469" width="13.33203125" style="19" customWidth="1"/>
    <col min="9470" max="9470" width="11.33203125" style="19" customWidth="1"/>
    <col min="9471" max="9471" width="13.33203125" style="19" customWidth="1"/>
    <col min="9472" max="9472" width="15.44140625" style="19" customWidth="1"/>
    <col min="9473" max="9473" width="48" style="19" customWidth="1"/>
    <col min="9474" max="9703" width="9.109375" style="19"/>
    <col min="9704" max="9704" width="9.109375" style="19" customWidth="1"/>
    <col min="9705" max="9707" width="19" style="19" customWidth="1"/>
    <col min="9708" max="9708" width="15" style="19" bestFit="1" customWidth="1"/>
    <col min="9709" max="9709" width="11.109375" style="19" bestFit="1" customWidth="1"/>
    <col min="9710" max="9710" width="28.88671875" style="19" customWidth="1"/>
    <col min="9711" max="9711" width="16.109375" style="19" customWidth="1"/>
    <col min="9712" max="9712" width="41.44140625" style="19" customWidth="1"/>
    <col min="9713" max="9713" width="14.88671875" style="19" customWidth="1"/>
    <col min="9714" max="9714" width="17.6640625" style="19" customWidth="1"/>
    <col min="9715" max="9719" width="17" style="19" customWidth="1"/>
    <col min="9720" max="9720" width="24" style="19" bestFit="1" customWidth="1"/>
    <col min="9721" max="9722" width="17.88671875" style="19" customWidth="1"/>
    <col min="9723" max="9723" width="16.33203125" style="19" customWidth="1"/>
    <col min="9724" max="9724" width="12.5546875" style="19" bestFit="1" customWidth="1"/>
    <col min="9725" max="9725" width="13.33203125" style="19" customWidth="1"/>
    <col min="9726" max="9726" width="11.33203125" style="19" customWidth="1"/>
    <col min="9727" max="9727" width="13.33203125" style="19" customWidth="1"/>
    <col min="9728" max="9728" width="15.44140625" style="19" customWidth="1"/>
    <col min="9729" max="9729" width="48" style="19" customWidth="1"/>
    <col min="9730" max="9959" width="9.109375" style="19"/>
    <col min="9960" max="9960" width="9.109375" style="19" customWidth="1"/>
    <col min="9961" max="9963" width="19" style="19" customWidth="1"/>
    <col min="9964" max="9964" width="15" style="19" bestFit="1" customWidth="1"/>
    <col min="9965" max="9965" width="11.109375" style="19" bestFit="1" customWidth="1"/>
    <col min="9966" max="9966" width="28.88671875" style="19" customWidth="1"/>
    <col min="9967" max="9967" width="16.109375" style="19" customWidth="1"/>
    <col min="9968" max="9968" width="41.44140625" style="19" customWidth="1"/>
    <col min="9969" max="9969" width="14.88671875" style="19" customWidth="1"/>
    <col min="9970" max="9970" width="17.6640625" style="19" customWidth="1"/>
    <col min="9971" max="9975" width="17" style="19" customWidth="1"/>
    <col min="9976" max="9976" width="24" style="19" bestFit="1" customWidth="1"/>
    <col min="9977" max="9978" width="17.88671875" style="19" customWidth="1"/>
    <col min="9979" max="9979" width="16.33203125" style="19" customWidth="1"/>
    <col min="9980" max="9980" width="12.5546875" style="19" bestFit="1" customWidth="1"/>
    <col min="9981" max="9981" width="13.33203125" style="19" customWidth="1"/>
    <col min="9982" max="9982" width="11.33203125" style="19" customWidth="1"/>
    <col min="9983" max="9983" width="13.33203125" style="19" customWidth="1"/>
    <col min="9984" max="9984" width="15.44140625" style="19" customWidth="1"/>
    <col min="9985" max="9985" width="48" style="19" customWidth="1"/>
    <col min="9986" max="10215" width="9.109375" style="19"/>
    <col min="10216" max="10216" width="9.109375" style="19" customWidth="1"/>
    <col min="10217" max="10219" width="19" style="19" customWidth="1"/>
    <col min="10220" max="10220" width="15" style="19" bestFit="1" customWidth="1"/>
    <col min="10221" max="10221" width="11.109375" style="19" bestFit="1" customWidth="1"/>
    <col min="10222" max="10222" width="28.88671875" style="19" customWidth="1"/>
    <col min="10223" max="10223" width="16.109375" style="19" customWidth="1"/>
    <col min="10224" max="10224" width="41.44140625" style="19" customWidth="1"/>
    <col min="10225" max="10225" width="14.88671875" style="19" customWidth="1"/>
    <col min="10226" max="10226" width="17.6640625" style="19" customWidth="1"/>
    <col min="10227" max="10231" width="17" style="19" customWidth="1"/>
    <col min="10232" max="10232" width="24" style="19" bestFit="1" customWidth="1"/>
    <col min="10233" max="10234" width="17.88671875" style="19" customWidth="1"/>
    <col min="10235" max="10235" width="16.33203125" style="19" customWidth="1"/>
    <col min="10236" max="10236" width="12.5546875" style="19" bestFit="1" customWidth="1"/>
    <col min="10237" max="10237" width="13.33203125" style="19" customWidth="1"/>
    <col min="10238" max="10238" width="11.33203125" style="19" customWidth="1"/>
    <col min="10239" max="10239" width="13.33203125" style="19" customWidth="1"/>
    <col min="10240" max="10240" width="15.44140625" style="19" customWidth="1"/>
    <col min="10241" max="10241" width="48" style="19" customWidth="1"/>
    <col min="10242" max="10471" width="9.109375" style="19"/>
    <col min="10472" max="10472" width="9.109375" style="19" customWidth="1"/>
    <col min="10473" max="10475" width="19" style="19" customWidth="1"/>
    <col min="10476" max="10476" width="15" style="19" bestFit="1" customWidth="1"/>
    <col min="10477" max="10477" width="11.109375" style="19" bestFit="1" customWidth="1"/>
    <col min="10478" max="10478" width="28.88671875" style="19" customWidth="1"/>
    <col min="10479" max="10479" width="16.109375" style="19" customWidth="1"/>
    <col min="10480" max="10480" width="41.44140625" style="19" customWidth="1"/>
    <col min="10481" max="10481" width="14.88671875" style="19" customWidth="1"/>
    <col min="10482" max="10482" width="17.6640625" style="19" customWidth="1"/>
    <col min="10483" max="10487" width="17" style="19" customWidth="1"/>
    <col min="10488" max="10488" width="24" style="19" bestFit="1" customWidth="1"/>
    <col min="10489" max="10490" width="17.88671875" style="19" customWidth="1"/>
    <col min="10491" max="10491" width="16.33203125" style="19" customWidth="1"/>
    <col min="10492" max="10492" width="12.5546875" style="19" bestFit="1" customWidth="1"/>
    <col min="10493" max="10493" width="13.33203125" style="19" customWidth="1"/>
    <col min="10494" max="10494" width="11.33203125" style="19" customWidth="1"/>
    <col min="10495" max="10495" width="13.33203125" style="19" customWidth="1"/>
    <col min="10496" max="10496" width="15.44140625" style="19" customWidth="1"/>
    <col min="10497" max="10497" width="48" style="19" customWidth="1"/>
    <col min="10498" max="10727" width="9.109375" style="19"/>
    <col min="10728" max="10728" width="9.109375" style="19" customWidth="1"/>
    <col min="10729" max="10731" width="19" style="19" customWidth="1"/>
    <col min="10732" max="10732" width="15" style="19" bestFit="1" customWidth="1"/>
    <col min="10733" max="10733" width="11.109375" style="19" bestFit="1" customWidth="1"/>
    <col min="10734" max="10734" width="28.88671875" style="19" customWidth="1"/>
    <col min="10735" max="10735" width="16.109375" style="19" customWidth="1"/>
    <col min="10736" max="10736" width="41.44140625" style="19" customWidth="1"/>
    <col min="10737" max="10737" width="14.88671875" style="19" customWidth="1"/>
    <col min="10738" max="10738" width="17.6640625" style="19" customWidth="1"/>
    <col min="10739" max="10743" width="17" style="19" customWidth="1"/>
    <col min="10744" max="10744" width="24" style="19" bestFit="1" customWidth="1"/>
    <col min="10745" max="10746" width="17.88671875" style="19" customWidth="1"/>
    <col min="10747" max="10747" width="16.33203125" style="19" customWidth="1"/>
    <col min="10748" max="10748" width="12.5546875" style="19" bestFit="1" customWidth="1"/>
    <col min="10749" max="10749" width="13.33203125" style="19" customWidth="1"/>
    <col min="10750" max="10750" width="11.33203125" style="19" customWidth="1"/>
    <col min="10751" max="10751" width="13.33203125" style="19" customWidth="1"/>
    <col min="10752" max="10752" width="15.44140625" style="19" customWidth="1"/>
    <col min="10753" max="10753" width="48" style="19" customWidth="1"/>
    <col min="10754" max="10983" width="9.109375" style="19"/>
    <col min="10984" max="10984" width="9.109375" style="19" customWidth="1"/>
    <col min="10985" max="10987" width="19" style="19" customWidth="1"/>
    <col min="10988" max="10988" width="15" style="19" bestFit="1" customWidth="1"/>
    <col min="10989" max="10989" width="11.109375" style="19" bestFit="1" customWidth="1"/>
    <col min="10990" max="10990" width="28.88671875" style="19" customWidth="1"/>
    <col min="10991" max="10991" width="16.109375" style="19" customWidth="1"/>
    <col min="10992" max="10992" width="41.44140625" style="19" customWidth="1"/>
    <col min="10993" max="10993" width="14.88671875" style="19" customWidth="1"/>
    <col min="10994" max="10994" width="17.6640625" style="19" customWidth="1"/>
    <col min="10995" max="10999" width="17" style="19" customWidth="1"/>
    <col min="11000" max="11000" width="24" style="19" bestFit="1" customWidth="1"/>
    <col min="11001" max="11002" width="17.88671875" style="19" customWidth="1"/>
    <col min="11003" max="11003" width="16.33203125" style="19" customWidth="1"/>
    <col min="11004" max="11004" width="12.5546875" style="19" bestFit="1" customWidth="1"/>
    <col min="11005" max="11005" width="13.33203125" style="19" customWidth="1"/>
    <col min="11006" max="11006" width="11.33203125" style="19" customWidth="1"/>
    <col min="11007" max="11007" width="13.33203125" style="19" customWidth="1"/>
    <col min="11008" max="11008" width="15.44140625" style="19" customWidth="1"/>
    <col min="11009" max="11009" width="48" style="19" customWidth="1"/>
    <col min="11010" max="11239" width="9.109375" style="19"/>
    <col min="11240" max="11240" width="9.109375" style="19" customWidth="1"/>
    <col min="11241" max="11243" width="19" style="19" customWidth="1"/>
    <col min="11244" max="11244" width="15" style="19" bestFit="1" customWidth="1"/>
    <col min="11245" max="11245" width="11.109375" style="19" bestFit="1" customWidth="1"/>
    <col min="11246" max="11246" width="28.88671875" style="19" customWidth="1"/>
    <col min="11247" max="11247" width="16.109375" style="19" customWidth="1"/>
    <col min="11248" max="11248" width="41.44140625" style="19" customWidth="1"/>
    <col min="11249" max="11249" width="14.88671875" style="19" customWidth="1"/>
    <col min="11250" max="11250" width="17.6640625" style="19" customWidth="1"/>
    <col min="11251" max="11255" width="17" style="19" customWidth="1"/>
    <col min="11256" max="11256" width="24" style="19" bestFit="1" customWidth="1"/>
    <col min="11257" max="11258" width="17.88671875" style="19" customWidth="1"/>
    <col min="11259" max="11259" width="16.33203125" style="19" customWidth="1"/>
    <col min="11260" max="11260" width="12.5546875" style="19" bestFit="1" customWidth="1"/>
    <col min="11261" max="11261" width="13.33203125" style="19" customWidth="1"/>
    <col min="11262" max="11262" width="11.33203125" style="19" customWidth="1"/>
    <col min="11263" max="11263" width="13.33203125" style="19" customWidth="1"/>
    <col min="11264" max="11264" width="15.44140625" style="19" customWidth="1"/>
    <col min="11265" max="11265" width="48" style="19" customWidth="1"/>
    <col min="11266" max="11495" width="9.109375" style="19"/>
    <col min="11496" max="11496" width="9.109375" style="19" customWidth="1"/>
    <col min="11497" max="11499" width="19" style="19" customWidth="1"/>
    <col min="11500" max="11500" width="15" style="19" bestFit="1" customWidth="1"/>
    <col min="11501" max="11501" width="11.109375" style="19" bestFit="1" customWidth="1"/>
    <col min="11502" max="11502" width="28.88671875" style="19" customWidth="1"/>
    <col min="11503" max="11503" width="16.109375" style="19" customWidth="1"/>
    <col min="11504" max="11504" width="41.44140625" style="19" customWidth="1"/>
    <col min="11505" max="11505" width="14.88671875" style="19" customWidth="1"/>
    <col min="11506" max="11506" width="17.6640625" style="19" customWidth="1"/>
    <col min="11507" max="11511" width="17" style="19" customWidth="1"/>
    <col min="11512" max="11512" width="24" style="19" bestFit="1" customWidth="1"/>
    <col min="11513" max="11514" width="17.88671875" style="19" customWidth="1"/>
    <col min="11515" max="11515" width="16.33203125" style="19" customWidth="1"/>
    <col min="11516" max="11516" width="12.5546875" style="19" bestFit="1" customWidth="1"/>
    <col min="11517" max="11517" width="13.33203125" style="19" customWidth="1"/>
    <col min="11518" max="11518" width="11.33203125" style="19" customWidth="1"/>
    <col min="11519" max="11519" width="13.33203125" style="19" customWidth="1"/>
    <col min="11520" max="11520" width="15.44140625" style="19" customWidth="1"/>
    <col min="11521" max="11521" width="48" style="19" customWidth="1"/>
    <col min="11522" max="11751" width="9.109375" style="19"/>
    <col min="11752" max="11752" width="9.109375" style="19" customWidth="1"/>
    <col min="11753" max="11755" width="19" style="19" customWidth="1"/>
    <col min="11756" max="11756" width="15" style="19" bestFit="1" customWidth="1"/>
    <col min="11757" max="11757" width="11.109375" style="19" bestFit="1" customWidth="1"/>
    <col min="11758" max="11758" width="28.88671875" style="19" customWidth="1"/>
    <col min="11759" max="11759" width="16.109375" style="19" customWidth="1"/>
    <col min="11760" max="11760" width="41.44140625" style="19" customWidth="1"/>
    <col min="11761" max="11761" width="14.88671875" style="19" customWidth="1"/>
    <col min="11762" max="11762" width="17.6640625" style="19" customWidth="1"/>
    <col min="11763" max="11767" width="17" style="19" customWidth="1"/>
    <col min="11768" max="11768" width="24" style="19" bestFit="1" customWidth="1"/>
    <col min="11769" max="11770" width="17.88671875" style="19" customWidth="1"/>
    <col min="11771" max="11771" width="16.33203125" style="19" customWidth="1"/>
    <col min="11772" max="11772" width="12.5546875" style="19" bestFit="1" customWidth="1"/>
    <col min="11773" max="11773" width="13.33203125" style="19" customWidth="1"/>
    <col min="11774" max="11774" width="11.33203125" style="19" customWidth="1"/>
    <col min="11775" max="11775" width="13.33203125" style="19" customWidth="1"/>
    <col min="11776" max="11776" width="15.44140625" style="19" customWidth="1"/>
    <col min="11777" max="11777" width="48" style="19" customWidth="1"/>
    <col min="11778" max="12007" width="9.109375" style="19"/>
    <col min="12008" max="12008" width="9.109375" style="19" customWidth="1"/>
    <col min="12009" max="12011" width="19" style="19" customWidth="1"/>
    <col min="12012" max="12012" width="15" style="19" bestFit="1" customWidth="1"/>
    <col min="12013" max="12013" width="11.109375" style="19" bestFit="1" customWidth="1"/>
    <col min="12014" max="12014" width="28.88671875" style="19" customWidth="1"/>
    <col min="12015" max="12015" width="16.109375" style="19" customWidth="1"/>
    <col min="12016" max="12016" width="41.44140625" style="19" customWidth="1"/>
    <col min="12017" max="12017" width="14.88671875" style="19" customWidth="1"/>
    <col min="12018" max="12018" width="17.6640625" style="19" customWidth="1"/>
    <col min="12019" max="12023" width="17" style="19" customWidth="1"/>
    <col min="12024" max="12024" width="24" style="19" bestFit="1" customWidth="1"/>
    <col min="12025" max="12026" width="17.88671875" style="19" customWidth="1"/>
    <col min="12027" max="12027" width="16.33203125" style="19" customWidth="1"/>
    <col min="12028" max="12028" width="12.5546875" style="19" bestFit="1" customWidth="1"/>
    <col min="12029" max="12029" width="13.33203125" style="19" customWidth="1"/>
    <col min="12030" max="12030" width="11.33203125" style="19" customWidth="1"/>
    <col min="12031" max="12031" width="13.33203125" style="19" customWidth="1"/>
    <col min="12032" max="12032" width="15.44140625" style="19" customWidth="1"/>
    <col min="12033" max="12033" width="48" style="19" customWidth="1"/>
    <col min="12034" max="12263" width="9.109375" style="19"/>
    <col min="12264" max="12264" width="9.109375" style="19" customWidth="1"/>
    <col min="12265" max="12267" width="19" style="19" customWidth="1"/>
    <col min="12268" max="12268" width="15" style="19" bestFit="1" customWidth="1"/>
    <col min="12269" max="12269" width="11.109375" style="19" bestFit="1" customWidth="1"/>
    <col min="12270" max="12270" width="28.88671875" style="19" customWidth="1"/>
    <col min="12271" max="12271" width="16.109375" style="19" customWidth="1"/>
    <col min="12272" max="12272" width="41.44140625" style="19" customWidth="1"/>
    <col min="12273" max="12273" width="14.88671875" style="19" customWidth="1"/>
    <col min="12274" max="12274" width="17.6640625" style="19" customWidth="1"/>
    <col min="12275" max="12279" width="17" style="19" customWidth="1"/>
    <col min="12280" max="12280" width="24" style="19" bestFit="1" customWidth="1"/>
    <col min="12281" max="12282" width="17.88671875" style="19" customWidth="1"/>
    <col min="12283" max="12283" width="16.33203125" style="19" customWidth="1"/>
    <col min="12284" max="12284" width="12.5546875" style="19" bestFit="1" customWidth="1"/>
    <col min="12285" max="12285" width="13.33203125" style="19" customWidth="1"/>
    <col min="12286" max="12286" width="11.33203125" style="19" customWidth="1"/>
    <col min="12287" max="12287" width="13.33203125" style="19" customWidth="1"/>
    <col min="12288" max="12288" width="15.44140625" style="19" customWidth="1"/>
    <col min="12289" max="12289" width="48" style="19" customWidth="1"/>
    <col min="12290" max="12519" width="9.109375" style="19"/>
    <col min="12520" max="12520" width="9.109375" style="19" customWidth="1"/>
    <col min="12521" max="12523" width="19" style="19" customWidth="1"/>
    <col min="12524" max="12524" width="15" style="19" bestFit="1" customWidth="1"/>
    <col min="12525" max="12525" width="11.109375" style="19" bestFit="1" customWidth="1"/>
    <col min="12526" max="12526" width="28.88671875" style="19" customWidth="1"/>
    <col min="12527" max="12527" width="16.109375" style="19" customWidth="1"/>
    <col min="12528" max="12528" width="41.44140625" style="19" customWidth="1"/>
    <col min="12529" max="12529" width="14.88671875" style="19" customWidth="1"/>
    <col min="12530" max="12530" width="17.6640625" style="19" customWidth="1"/>
    <col min="12531" max="12535" width="17" style="19" customWidth="1"/>
    <col min="12536" max="12536" width="24" style="19" bestFit="1" customWidth="1"/>
    <col min="12537" max="12538" width="17.88671875" style="19" customWidth="1"/>
    <col min="12539" max="12539" width="16.33203125" style="19" customWidth="1"/>
    <col min="12540" max="12540" width="12.5546875" style="19" bestFit="1" customWidth="1"/>
    <col min="12541" max="12541" width="13.33203125" style="19" customWidth="1"/>
    <col min="12542" max="12542" width="11.33203125" style="19" customWidth="1"/>
    <col min="12543" max="12543" width="13.33203125" style="19" customWidth="1"/>
    <col min="12544" max="12544" width="15.44140625" style="19" customWidth="1"/>
    <col min="12545" max="12545" width="48" style="19" customWidth="1"/>
    <col min="12546" max="12775" width="9.109375" style="19"/>
    <col min="12776" max="12776" width="9.109375" style="19" customWidth="1"/>
    <col min="12777" max="12779" width="19" style="19" customWidth="1"/>
    <col min="12780" max="12780" width="15" style="19" bestFit="1" customWidth="1"/>
    <col min="12781" max="12781" width="11.109375" style="19" bestFit="1" customWidth="1"/>
    <col min="12782" max="12782" width="28.88671875" style="19" customWidth="1"/>
    <col min="12783" max="12783" width="16.109375" style="19" customWidth="1"/>
    <col min="12784" max="12784" width="41.44140625" style="19" customWidth="1"/>
    <col min="12785" max="12785" width="14.88671875" style="19" customWidth="1"/>
    <col min="12786" max="12786" width="17.6640625" style="19" customWidth="1"/>
    <col min="12787" max="12791" width="17" style="19" customWidth="1"/>
    <col min="12792" max="12792" width="24" style="19" bestFit="1" customWidth="1"/>
    <col min="12793" max="12794" width="17.88671875" style="19" customWidth="1"/>
    <col min="12795" max="12795" width="16.33203125" style="19" customWidth="1"/>
    <col min="12796" max="12796" width="12.5546875" style="19" bestFit="1" customWidth="1"/>
    <col min="12797" max="12797" width="13.33203125" style="19" customWidth="1"/>
    <col min="12798" max="12798" width="11.33203125" style="19" customWidth="1"/>
    <col min="12799" max="12799" width="13.33203125" style="19" customWidth="1"/>
    <col min="12800" max="12800" width="15.44140625" style="19" customWidth="1"/>
    <col min="12801" max="12801" width="48" style="19" customWidth="1"/>
    <col min="12802" max="13031" width="9.109375" style="19"/>
    <col min="13032" max="13032" width="9.109375" style="19" customWidth="1"/>
    <col min="13033" max="13035" width="19" style="19" customWidth="1"/>
    <col min="13036" max="13036" width="15" style="19" bestFit="1" customWidth="1"/>
    <col min="13037" max="13037" width="11.109375" style="19" bestFit="1" customWidth="1"/>
    <col min="13038" max="13038" width="28.88671875" style="19" customWidth="1"/>
    <col min="13039" max="13039" width="16.109375" style="19" customWidth="1"/>
    <col min="13040" max="13040" width="41.44140625" style="19" customWidth="1"/>
    <col min="13041" max="13041" width="14.88671875" style="19" customWidth="1"/>
    <col min="13042" max="13042" width="17.6640625" style="19" customWidth="1"/>
    <col min="13043" max="13047" width="17" style="19" customWidth="1"/>
    <col min="13048" max="13048" width="24" style="19" bestFit="1" customWidth="1"/>
    <col min="13049" max="13050" width="17.88671875" style="19" customWidth="1"/>
    <col min="13051" max="13051" width="16.33203125" style="19" customWidth="1"/>
    <col min="13052" max="13052" width="12.5546875" style="19" bestFit="1" customWidth="1"/>
    <col min="13053" max="13053" width="13.33203125" style="19" customWidth="1"/>
    <col min="13054" max="13054" width="11.33203125" style="19" customWidth="1"/>
    <col min="13055" max="13055" width="13.33203125" style="19" customWidth="1"/>
    <col min="13056" max="13056" width="15.44140625" style="19" customWidth="1"/>
    <col min="13057" max="13057" width="48" style="19" customWidth="1"/>
    <col min="13058" max="13287" width="9.109375" style="19"/>
    <col min="13288" max="13288" width="9.109375" style="19" customWidth="1"/>
    <col min="13289" max="13291" width="19" style="19" customWidth="1"/>
    <col min="13292" max="13292" width="15" style="19" bestFit="1" customWidth="1"/>
    <col min="13293" max="13293" width="11.109375" style="19" bestFit="1" customWidth="1"/>
    <col min="13294" max="13294" width="28.88671875" style="19" customWidth="1"/>
    <col min="13295" max="13295" width="16.109375" style="19" customWidth="1"/>
    <col min="13296" max="13296" width="41.44140625" style="19" customWidth="1"/>
    <col min="13297" max="13297" width="14.88671875" style="19" customWidth="1"/>
    <col min="13298" max="13298" width="17.6640625" style="19" customWidth="1"/>
    <col min="13299" max="13303" width="17" style="19" customWidth="1"/>
    <col min="13304" max="13304" width="24" style="19" bestFit="1" customWidth="1"/>
    <col min="13305" max="13306" width="17.88671875" style="19" customWidth="1"/>
    <col min="13307" max="13307" width="16.33203125" style="19" customWidth="1"/>
    <col min="13308" max="13308" width="12.5546875" style="19" bestFit="1" customWidth="1"/>
    <col min="13309" max="13309" width="13.33203125" style="19" customWidth="1"/>
    <col min="13310" max="13310" width="11.33203125" style="19" customWidth="1"/>
    <col min="13311" max="13311" width="13.33203125" style="19" customWidth="1"/>
    <col min="13312" max="13312" width="15.44140625" style="19" customWidth="1"/>
    <col min="13313" max="13313" width="48" style="19" customWidth="1"/>
    <col min="13314" max="13543" width="9.109375" style="19"/>
    <col min="13544" max="13544" width="9.109375" style="19" customWidth="1"/>
    <col min="13545" max="13547" width="19" style="19" customWidth="1"/>
    <col min="13548" max="13548" width="15" style="19" bestFit="1" customWidth="1"/>
    <col min="13549" max="13549" width="11.109375" style="19" bestFit="1" customWidth="1"/>
    <col min="13550" max="13550" width="28.88671875" style="19" customWidth="1"/>
    <col min="13551" max="13551" width="16.109375" style="19" customWidth="1"/>
    <col min="13552" max="13552" width="41.44140625" style="19" customWidth="1"/>
    <col min="13553" max="13553" width="14.88671875" style="19" customWidth="1"/>
    <col min="13554" max="13554" width="17.6640625" style="19" customWidth="1"/>
    <col min="13555" max="13559" width="17" style="19" customWidth="1"/>
    <col min="13560" max="13560" width="24" style="19" bestFit="1" customWidth="1"/>
    <col min="13561" max="13562" width="17.88671875" style="19" customWidth="1"/>
    <col min="13563" max="13563" width="16.33203125" style="19" customWidth="1"/>
    <col min="13564" max="13564" width="12.5546875" style="19" bestFit="1" customWidth="1"/>
    <col min="13565" max="13565" width="13.33203125" style="19" customWidth="1"/>
    <col min="13566" max="13566" width="11.33203125" style="19" customWidth="1"/>
    <col min="13567" max="13567" width="13.33203125" style="19" customWidth="1"/>
    <col min="13568" max="13568" width="15.44140625" style="19" customWidth="1"/>
    <col min="13569" max="13569" width="48" style="19" customWidth="1"/>
    <col min="13570" max="13799" width="9.109375" style="19"/>
    <col min="13800" max="13800" width="9.109375" style="19" customWidth="1"/>
    <col min="13801" max="13803" width="19" style="19" customWidth="1"/>
    <col min="13804" max="13804" width="15" style="19" bestFit="1" customWidth="1"/>
    <col min="13805" max="13805" width="11.109375" style="19" bestFit="1" customWidth="1"/>
    <col min="13806" max="13806" width="28.88671875" style="19" customWidth="1"/>
    <col min="13807" max="13807" width="16.109375" style="19" customWidth="1"/>
    <col min="13808" max="13808" width="41.44140625" style="19" customWidth="1"/>
    <col min="13809" max="13809" width="14.88671875" style="19" customWidth="1"/>
    <col min="13810" max="13810" width="17.6640625" style="19" customWidth="1"/>
    <col min="13811" max="13815" width="17" style="19" customWidth="1"/>
    <col min="13816" max="13816" width="24" style="19" bestFit="1" customWidth="1"/>
    <col min="13817" max="13818" width="17.88671875" style="19" customWidth="1"/>
    <col min="13819" max="13819" width="16.33203125" style="19" customWidth="1"/>
    <col min="13820" max="13820" width="12.5546875" style="19" bestFit="1" customWidth="1"/>
    <col min="13821" max="13821" width="13.33203125" style="19" customWidth="1"/>
    <col min="13822" max="13822" width="11.33203125" style="19" customWidth="1"/>
    <col min="13823" max="13823" width="13.33203125" style="19" customWidth="1"/>
    <col min="13824" max="13824" width="15.44140625" style="19" customWidth="1"/>
    <col min="13825" max="13825" width="48" style="19" customWidth="1"/>
    <col min="13826" max="14055" width="9.109375" style="19"/>
    <col min="14056" max="14056" width="9.109375" style="19" customWidth="1"/>
    <col min="14057" max="14059" width="19" style="19" customWidth="1"/>
    <col min="14060" max="14060" width="15" style="19" bestFit="1" customWidth="1"/>
    <col min="14061" max="14061" width="11.109375" style="19" bestFit="1" customWidth="1"/>
    <col min="14062" max="14062" width="28.88671875" style="19" customWidth="1"/>
    <col min="14063" max="14063" width="16.109375" style="19" customWidth="1"/>
    <col min="14064" max="14064" width="41.44140625" style="19" customWidth="1"/>
    <col min="14065" max="14065" width="14.88671875" style="19" customWidth="1"/>
    <col min="14066" max="14066" width="17.6640625" style="19" customWidth="1"/>
    <col min="14067" max="14071" width="17" style="19" customWidth="1"/>
    <col min="14072" max="14072" width="24" style="19" bestFit="1" customWidth="1"/>
    <col min="14073" max="14074" width="17.88671875" style="19" customWidth="1"/>
    <col min="14075" max="14075" width="16.33203125" style="19" customWidth="1"/>
    <col min="14076" max="14076" width="12.5546875" style="19" bestFit="1" customWidth="1"/>
    <col min="14077" max="14077" width="13.33203125" style="19" customWidth="1"/>
    <col min="14078" max="14078" width="11.33203125" style="19" customWidth="1"/>
    <col min="14079" max="14079" width="13.33203125" style="19" customWidth="1"/>
    <col min="14080" max="14080" width="15.44140625" style="19" customWidth="1"/>
    <col min="14081" max="14081" width="48" style="19" customWidth="1"/>
    <col min="14082" max="14311" width="9.109375" style="19"/>
    <col min="14312" max="14312" width="9.109375" style="19" customWidth="1"/>
    <col min="14313" max="14315" width="19" style="19" customWidth="1"/>
    <col min="14316" max="14316" width="15" style="19" bestFit="1" customWidth="1"/>
    <col min="14317" max="14317" width="11.109375" style="19" bestFit="1" customWidth="1"/>
    <col min="14318" max="14318" width="28.88671875" style="19" customWidth="1"/>
    <col min="14319" max="14319" width="16.109375" style="19" customWidth="1"/>
    <col min="14320" max="14320" width="41.44140625" style="19" customWidth="1"/>
    <col min="14321" max="14321" width="14.88671875" style="19" customWidth="1"/>
    <col min="14322" max="14322" width="17.6640625" style="19" customWidth="1"/>
    <col min="14323" max="14327" width="17" style="19" customWidth="1"/>
    <col min="14328" max="14328" width="24" style="19" bestFit="1" customWidth="1"/>
    <col min="14329" max="14330" width="17.88671875" style="19" customWidth="1"/>
    <col min="14331" max="14331" width="16.33203125" style="19" customWidth="1"/>
    <col min="14332" max="14332" width="12.5546875" style="19" bestFit="1" customWidth="1"/>
    <col min="14333" max="14333" width="13.33203125" style="19" customWidth="1"/>
    <col min="14334" max="14334" width="11.33203125" style="19" customWidth="1"/>
    <col min="14335" max="14335" width="13.33203125" style="19" customWidth="1"/>
    <col min="14336" max="14336" width="15.44140625" style="19" customWidth="1"/>
    <col min="14337" max="14337" width="48" style="19" customWidth="1"/>
    <col min="14338" max="14567" width="9.109375" style="19"/>
    <col min="14568" max="14568" width="9.109375" style="19" customWidth="1"/>
    <col min="14569" max="14571" width="19" style="19" customWidth="1"/>
    <col min="14572" max="14572" width="15" style="19" bestFit="1" customWidth="1"/>
    <col min="14573" max="14573" width="11.109375" style="19" bestFit="1" customWidth="1"/>
    <col min="14574" max="14574" width="28.88671875" style="19" customWidth="1"/>
    <col min="14575" max="14575" width="16.109375" style="19" customWidth="1"/>
    <col min="14576" max="14576" width="41.44140625" style="19" customWidth="1"/>
    <col min="14577" max="14577" width="14.88671875" style="19" customWidth="1"/>
    <col min="14578" max="14578" width="17.6640625" style="19" customWidth="1"/>
    <col min="14579" max="14583" width="17" style="19" customWidth="1"/>
    <col min="14584" max="14584" width="24" style="19" bestFit="1" customWidth="1"/>
    <col min="14585" max="14586" width="17.88671875" style="19" customWidth="1"/>
    <col min="14587" max="14587" width="16.33203125" style="19" customWidth="1"/>
    <col min="14588" max="14588" width="12.5546875" style="19" bestFit="1" customWidth="1"/>
    <col min="14589" max="14589" width="13.33203125" style="19" customWidth="1"/>
    <col min="14590" max="14590" width="11.33203125" style="19" customWidth="1"/>
    <col min="14591" max="14591" width="13.33203125" style="19" customWidth="1"/>
    <col min="14592" max="14592" width="15.44140625" style="19" customWidth="1"/>
    <col min="14593" max="14593" width="48" style="19" customWidth="1"/>
    <col min="14594" max="14823" width="9.109375" style="19"/>
    <col min="14824" max="14824" width="9.109375" style="19" customWidth="1"/>
    <col min="14825" max="14827" width="19" style="19" customWidth="1"/>
    <col min="14828" max="14828" width="15" style="19" bestFit="1" customWidth="1"/>
    <col min="14829" max="14829" width="11.109375" style="19" bestFit="1" customWidth="1"/>
    <col min="14830" max="14830" width="28.88671875" style="19" customWidth="1"/>
    <col min="14831" max="14831" width="16.109375" style="19" customWidth="1"/>
    <col min="14832" max="14832" width="41.44140625" style="19" customWidth="1"/>
    <col min="14833" max="14833" width="14.88671875" style="19" customWidth="1"/>
    <col min="14834" max="14834" width="17.6640625" style="19" customWidth="1"/>
    <col min="14835" max="14839" width="17" style="19" customWidth="1"/>
    <col min="14840" max="14840" width="24" style="19" bestFit="1" customWidth="1"/>
    <col min="14841" max="14842" width="17.88671875" style="19" customWidth="1"/>
    <col min="14843" max="14843" width="16.33203125" style="19" customWidth="1"/>
    <col min="14844" max="14844" width="12.5546875" style="19" bestFit="1" customWidth="1"/>
    <col min="14845" max="14845" width="13.33203125" style="19" customWidth="1"/>
    <col min="14846" max="14846" width="11.33203125" style="19" customWidth="1"/>
    <col min="14847" max="14847" width="13.33203125" style="19" customWidth="1"/>
    <col min="14848" max="14848" width="15.44140625" style="19" customWidth="1"/>
    <col min="14849" max="14849" width="48" style="19" customWidth="1"/>
    <col min="14850" max="15079" width="9.109375" style="19"/>
    <col min="15080" max="15080" width="9.109375" style="19" customWidth="1"/>
    <col min="15081" max="15083" width="19" style="19" customWidth="1"/>
    <col min="15084" max="15084" width="15" style="19" bestFit="1" customWidth="1"/>
    <col min="15085" max="15085" width="11.109375" style="19" bestFit="1" customWidth="1"/>
    <col min="15086" max="15086" width="28.88671875" style="19" customWidth="1"/>
    <col min="15087" max="15087" width="16.109375" style="19" customWidth="1"/>
    <col min="15088" max="15088" width="41.44140625" style="19" customWidth="1"/>
    <col min="15089" max="15089" width="14.88671875" style="19" customWidth="1"/>
    <col min="15090" max="15090" width="17.6640625" style="19" customWidth="1"/>
    <col min="15091" max="15095" width="17" style="19" customWidth="1"/>
    <col min="15096" max="15096" width="24" style="19" bestFit="1" customWidth="1"/>
    <col min="15097" max="15098" width="17.88671875" style="19" customWidth="1"/>
    <col min="15099" max="15099" width="16.33203125" style="19" customWidth="1"/>
    <col min="15100" max="15100" width="12.5546875" style="19" bestFit="1" customWidth="1"/>
    <col min="15101" max="15101" width="13.33203125" style="19" customWidth="1"/>
    <col min="15102" max="15102" width="11.33203125" style="19" customWidth="1"/>
    <col min="15103" max="15103" width="13.33203125" style="19" customWidth="1"/>
    <col min="15104" max="15104" width="15.44140625" style="19" customWidth="1"/>
    <col min="15105" max="15105" width="48" style="19" customWidth="1"/>
    <col min="15106" max="15335" width="9.109375" style="19"/>
    <col min="15336" max="15336" width="9.109375" style="19" customWidth="1"/>
    <col min="15337" max="15339" width="19" style="19" customWidth="1"/>
    <col min="15340" max="15340" width="15" style="19" bestFit="1" customWidth="1"/>
    <col min="15341" max="15341" width="11.109375" style="19" bestFit="1" customWidth="1"/>
    <col min="15342" max="15342" width="28.88671875" style="19" customWidth="1"/>
    <col min="15343" max="15343" width="16.109375" style="19" customWidth="1"/>
    <col min="15344" max="15344" width="41.44140625" style="19" customWidth="1"/>
    <col min="15345" max="15345" width="14.88671875" style="19" customWidth="1"/>
    <col min="15346" max="15346" width="17.6640625" style="19" customWidth="1"/>
    <col min="15347" max="15351" width="17" style="19" customWidth="1"/>
    <col min="15352" max="15352" width="24" style="19" bestFit="1" customWidth="1"/>
    <col min="15353" max="15354" width="17.88671875" style="19" customWidth="1"/>
    <col min="15355" max="15355" width="16.33203125" style="19" customWidth="1"/>
    <col min="15356" max="15356" width="12.5546875" style="19" bestFit="1" customWidth="1"/>
    <col min="15357" max="15357" width="13.33203125" style="19" customWidth="1"/>
    <col min="15358" max="15358" width="11.33203125" style="19" customWidth="1"/>
    <col min="15359" max="15359" width="13.33203125" style="19" customWidth="1"/>
    <col min="15360" max="15360" width="15.44140625" style="19" customWidth="1"/>
    <col min="15361" max="15361" width="48" style="19" customWidth="1"/>
    <col min="15362" max="15591" width="9.109375" style="19"/>
    <col min="15592" max="15592" width="9.109375" style="19" customWidth="1"/>
    <col min="15593" max="15595" width="19" style="19" customWidth="1"/>
    <col min="15596" max="15596" width="15" style="19" bestFit="1" customWidth="1"/>
    <col min="15597" max="15597" width="11.109375" style="19" bestFit="1" customWidth="1"/>
    <col min="15598" max="15598" width="28.88671875" style="19" customWidth="1"/>
    <col min="15599" max="15599" width="16.109375" style="19" customWidth="1"/>
    <col min="15600" max="15600" width="41.44140625" style="19" customWidth="1"/>
    <col min="15601" max="15601" width="14.88671875" style="19" customWidth="1"/>
    <col min="15602" max="15602" width="17.6640625" style="19" customWidth="1"/>
    <col min="15603" max="15607" width="17" style="19" customWidth="1"/>
    <col min="15608" max="15608" width="24" style="19" bestFit="1" customWidth="1"/>
    <col min="15609" max="15610" width="17.88671875" style="19" customWidth="1"/>
    <col min="15611" max="15611" width="16.33203125" style="19" customWidth="1"/>
    <col min="15612" max="15612" width="12.5546875" style="19" bestFit="1" customWidth="1"/>
    <col min="15613" max="15613" width="13.33203125" style="19" customWidth="1"/>
    <col min="15614" max="15614" width="11.33203125" style="19" customWidth="1"/>
    <col min="15615" max="15615" width="13.33203125" style="19" customWidth="1"/>
    <col min="15616" max="15616" width="15.44140625" style="19" customWidth="1"/>
    <col min="15617" max="15617" width="48" style="19" customWidth="1"/>
    <col min="15618" max="15847" width="9.109375" style="19"/>
    <col min="15848" max="15848" width="9.109375" style="19" customWidth="1"/>
    <col min="15849" max="15851" width="19" style="19" customWidth="1"/>
    <col min="15852" max="15852" width="15" style="19" bestFit="1" customWidth="1"/>
    <col min="15853" max="15853" width="11.109375" style="19" bestFit="1" customWidth="1"/>
    <col min="15854" max="15854" width="28.88671875" style="19" customWidth="1"/>
    <col min="15855" max="15855" width="16.109375" style="19" customWidth="1"/>
    <col min="15856" max="15856" width="41.44140625" style="19" customWidth="1"/>
    <col min="15857" max="15857" width="14.88671875" style="19" customWidth="1"/>
    <col min="15858" max="15858" width="17.6640625" style="19" customWidth="1"/>
    <col min="15859" max="15863" width="17" style="19" customWidth="1"/>
    <col min="15864" max="15864" width="24" style="19" bestFit="1" customWidth="1"/>
    <col min="15865" max="15866" width="17.88671875" style="19" customWidth="1"/>
    <col min="15867" max="15867" width="16.33203125" style="19" customWidth="1"/>
    <col min="15868" max="15868" width="12.5546875" style="19" bestFit="1" customWidth="1"/>
    <col min="15869" max="15869" width="13.33203125" style="19" customWidth="1"/>
    <col min="15870" max="15870" width="11.33203125" style="19" customWidth="1"/>
    <col min="15871" max="15871" width="13.33203125" style="19" customWidth="1"/>
    <col min="15872" max="15872" width="15.44140625" style="19" customWidth="1"/>
    <col min="15873" max="15873" width="48" style="19" customWidth="1"/>
    <col min="15874" max="16103" width="9.109375" style="19"/>
    <col min="16104" max="16104" width="9.109375" style="19" customWidth="1"/>
    <col min="16105" max="16107" width="19" style="19" customWidth="1"/>
    <col min="16108" max="16108" width="15" style="19" bestFit="1" customWidth="1"/>
    <col min="16109" max="16109" width="11.109375" style="19" bestFit="1" customWidth="1"/>
    <col min="16110" max="16110" width="28.88671875" style="19" customWidth="1"/>
    <col min="16111" max="16111" width="16.109375" style="19" customWidth="1"/>
    <col min="16112" max="16112" width="41.44140625" style="19" customWidth="1"/>
    <col min="16113" max="16113" width="14.88671875" style="19" customWidth="1"/>
    <col min="16114" max="16114" width="17.6640625" style="19" customWidth="1"/>
    <col min="16115" max="16119" width="17" style="19" customWidth="1"/>
    <col min="16120" max="16120" width="24" style="19" bestFit="1" customWidth="1"/>
    <col min="16121" max="16122" width="17.88671875" style="19" customWidth="1"/>
    <col min="16123" max="16123" width="16.33203125" style="19" customWidth="1"/>
    <col min="16124" max="16124" width="12.5546875" style="19" bestFit="1" customWidth="1"/>
    <col min="16125" max="16125" width="13.33203125" style="19" customWidth="1"/>
    <col min="16126" max="16126" width="11.33203125" style="19" customWidth="1"/>
    <col min="16127" max="16127" width="13.33203125" style="19" customWidth="1"/>
    <col min="16128" max="16128" width="15.44140625" style="19" customWidth="1"/>
    <col min="16129" max="16129" width="48" style="19" customWidth="1"/>
    <col min="16130" max="16384" width="9.109375" style="19"/>
  </cols>
  <sheetData>
    <row r="1" spans="1:7" ht="21" customHeight="1">
      <c r="A1" s="18" t="s">
        <v>155</v>
      </c>
      <c r="B1" s="18"/>
    </row>
    <row r="2" spans="1:7" ht="16.2">
      <c r="A2" s="20"/>
      <c r="B2" s="20"/>
      <c r="C2" s="21"/>
      <c r="D2" s="21"/>
      <c r="E2" s="21"/>
      <c r="F2" s="21"/>
      <c r="G2" s="22" t="str">
        <f>'本紙 (記)'!AR6</f>
        <v>Ver.3.50</v>
      </c>
    </row>
    <row r="3" spans="1:7" ht="19.5" customHeight="1">
      <c r="A3" s="23"/>
      <c r="B3" s="881" t="s">
        <v>156</v>
      </c>
      <c r="C3" s="882"/>
      <c r="D3" s="24" t="s">
        <v>157</v>
      </c>
      <c r="E3" s="25" t="s">
        <v>158</v>
      </c>
      <c r="F3" s="25" t="s">
        <v>159</v>
      </c>
      <c r="G3" s="26"/>
    </row>
    <row r="4" spans="1:7" s="27" customFormat="1" ht="23.25" customHeight="1">
      <c r="A4" s="883" t="s">
        <v>0</v>
      </c>
      <c r="B4" s="884" t="s">
        <v>160</v>
      </c>
      <c r="C4" s="885"/>
      <c r="D4" s="890" t="s">
        <v>740</v>
      </c>
      <c r="E4" s="893" t="s">
        <v>161</v>
      </c>
      <c r="F4" s="894" t="s">
        <v>162</v>
      </c>
      <c r="G4" s="883" t="s">
        <v>163</v>
      </c>
    </row>
    <row r="5" spans="1:7" s="27" customFormat="1" ht="23.25" customHeight="1">
      <c r="A5" s="883"/>
      <c r="B5" s="886"/>
      <c r="C5" s="887"/>
      <c r="D5" s="891"/>
      <c r="E5" s="894"/>
      <c r="F5" s="894"/>
      <c r="G5" s="883"/>
    </row>
    <row r="6" spans="1:7" s="27" customFormat="1" ht="23.25" customHeight="1">
      <c r="A6" s="883"/>
      <c r="B6" s="886"/>
      <c r="C6" s="887"/>
      <c r="D6" s="891"/>
      <c r="E6" s="894"/>
      <c r="F6" s="894"/>
      <c r="G6" s="883"/>
    </row>
    <row r="7" spans="1:7" s="27" customFormat="1" ht="33.75" customHeight="1">
      <c r="A7" s="883"/>
      <c r="B7" s="888"/>
      <c r="C7" s="889"/>
      <c r="D7" s="892"/>
      <c r="E7" s="894"/>
      <c r="F7" s="894"/>
      <c r="G7" s="883"/>
    </row>
    <row r="8" spans="1:7" ht="16.5" customHeight="1">
      <c r="A8" s="28" t="s">
        <v>164</v>
      </c>
      <c r="B8" s="895" t="s">
        <v>401</v>
      </c>
      <c r="C8" s="896"/>
      <c r="D8" s="29" t="s">
        <v>165</v>
      </c>
      <c r="E8" s="29" t="s">
        <v>166</v>
      </c>
      <c r="F8" s="29"/>
      <c r="G8" s="30"/>
    </row>
    <row r="9" spans="1:7" ht="16.5" customHeight="1">
      <c r="A9" s="31">
        <v>1</v>
      </c>
      <c r="B9" s="879"/>
      <c r="C9" s="880"/>
      <c r="D9" s="281"/>
      <c r="E9" s="209"/>
      <c r="F9" s="209"/>
      <c r="G9" s="210"/>
    </row>
    <row r="10" spans="1:7" ht="17.25" customHeight="1">
      <c r="A10" s="31">
        <v>2</v>
      </c>
      <c r="B10" s="879"/>
      <c r="C10" s="880"/>
      <c r="D10" s="281"/>
      <c r="E10" s="209"/>
      <c r="F10" s="209"/>
      <c r="G10" s="210"/>
    </row>
    <row r="11" spans="1:7" ht="17.25" customHeight="1">
      <c r="A11" s="31">
        <v>3</v>
      </c>
      <c r="B11" s="879"/>
      <c r="C11" s="880"/>
      <c r="D11" s="281"/>
      <c r="E11" s="209"/>
      <c r="F11" s="209"/>
      <c r="G11" s="210"/>
    </row>
    <row r="12" spans="1:7" ht="17.25" customHeight="1">
      <c r="A12" s="31">
        <v>4</v>
      </c>
      <c r="B12" s="879"/>
      <c r="C12" s="880"/>
      <c r="D12" s="281"/>
      <c r="E12" s="209"/>
      <c r="F12" s="209"/>
      <c r="G12" s="210"/>
    </row>
    <row r="13" spans="1:7" ht="17.25" customHeight="1">
      <c r="A13" s="31">
        <v>5</v>
      </c>
      <c r="B13" s="879"/>
      <c r="C13" s="880"/>
      <c r="D13" s="281"/>
      <c r="E13" s="209"/>
      <c r="F13" s="209"/>
      <c r="G13" s="210"/>
    </row>
    <row r="14" spans="1:7" ht="17.25" customHeight="1">
      <c r="A14" s="31">
        <v>6</v>
      </c>
      <c r="B14" s="879"/>
      <c r="C14" s="880"/>
      <c r="D14" s="281"/>
      <c r="E14" s="209"/>
      <c r="F14" s="209"/>
      <c r="G14" s="210"/>
    </row>
    <row r="15" spans="1:7" ht="17.25" customHeight="1">
      <c r="A15" s="31">
        <v>7</v>
      </c>
      <c r="B15" s="879"/>
      <c r="C15" s="880"/>
      <c r="D15" s="281"/>
      <c r="E15" s="209"/>
      <c r="F15" s="209"/>
      <c r="G15" s="210"/>
    </row>
    <row r="16" spans="1:7" ht="16.5" customHeight="1">
      <c r="A16" s="31">
        <v>8</v>
      </c>
      <c r="B16" s="879"/>
      <c r="C16" s="880"/>
      <c r="D16" s="281"/>
      <c r="E16" s="209"/>
      <c r="F16" s="209"/>
      <c r="G16" s="210"/>
    </row>
    <row r="17" spans="1:7" ht="17.25" customHeight="1">
      <c r="A17" s="31">
        <v>9</v>
      </c>
      <c r="B17" s="879"/>
      <c r="C17" s="880"/>
      <c r="D17" s="281"/>
      <c r="E17" s="209"/>
      <c r="F17" s="209"/>
      <c r="G17" s="210"/>
    </row>
    <row r="18" spans="1:7" ht="17.25" customHeight="1">
      <c r="A18" s="31">
        <v>10</v>
      </c>
      <c r="B18" s="879"/>
      <c r="C18" s="880"/>
      <c r="D18" s="281"/>
      <c r="E18" s="209"/>
      <c r="F18" s="209"/>
      <c r="G18" s="210"/>
    </row>
    <row r="19" spans="1:7" ht="17.25" customHeight="1">
      <c r="A19" s="31">
        <v>11</v>
      </c>
      <c r="B19" s="879"/>
      <c r="C19" s="880"/>
      <c r="D19" s="281"/>
      <c r="E19" s="209"/>
      <c r="F19" s="209"/>
      <c r="G19" s="210"/>
    </row>
    <row r="20" spans="1:7" ht="17.25" customHeight="1">
      <c r="A20" s="31">
        <v>12</v>
      </c>
      <c r="B20" s="879"/>
      <c r="C20" s="880"/>
      <c r="D20" s="281"/>
      <c r="E20" s="209"/>
      <c r="F20" s="209"/>
      <c r="G20" s="210"/>
    </row>
    <row r="21" spans="1:7" ht="17.25" customHeight="1">
      <c r="A21" s="31">
        <v>13</v>
      </c>
      <c r="B21" s="879"/>
      <c r="C21" s="880"/>
      <c r="D21" s="281"/>
      <c r="E21" s="209"/>
      <c r="F21" s="209"/>
      <c r="G21" s="210"/>
    </row>
    <row r="22" spans="1:7" ht="17.25" customHeight="1">
      <c r="A22" s="31">
        <v>14</v>
      </c>
      <c r="B22" s="879"/>
      <c r="C22" s="880"/>
      <c r="D22" s="281"/>
      <c r="E22" s="209"/>
      <c r="F22" s="209"/>
      <c r="G22" s="210"/>
    </row>
    <row r="23" spans="1:7" ht="17.25" customHeight="1">
      <c r="A23" s="31">
        <v>15</v>
      </c>
      <c r="B23" s="879"/>
      <c r="C23" s="880"/>
      <c r="D23" s="281"/>
      <c r="E23" s="209"/>
      <c r="F23" s="209"/>
      <c r="G23" s="210"/>
    </row>
    <row r="24" spans="1:7" ht="17.25" customHeight="1">
      <c r="A24" s="31">
        <v>16</v>
      </c>
      <c r="B24" s="879"/>
      <c r="C24" s="880"/>
      <c r="D24" s="281"/>
      <c r="E24" s="209"/>
      <c r="F24" s="209"/>
      <c r="G24" s="210"/>
    </row>
    <row r="25" spans="1:7" ht="17.25" customHeight="1">
      <c r="A25" s="31">
        <v>17</v>
      </c>
      <c r="B25" s="879"/>
      <c r="C25" s="880"/>
      <c r="D25" s="281"/>
      <c r="E25" s="209"/>
      <c r="F25" s="209"/>
      <c r="G25" s="210"/>
    </row>
    <row r="26" spans="1:7" ht="17.25" customHeight="1">
      <c r="A26" s="31">
        <v>18</v>
      </c>
      <c r="B26" s="879"/>
      <c r="C26" s="880"/>
      <c r="D26" s="281"/>
      <c r="E26" s="209"/>
      <c r="F26" s="209"/>
      <c r="G26" s="210"/>
    </row>
    <row r="27" spans="1:7" ht="17.25" customHeight="1">
      <c r="A27" s="31">
        <v>19</v>
      </c>
      <c r="B27" s="879"/>
      <c r="C27" s="880"/>
      <c r="D27" s="281"/>
      <c r="E27" s="209"/>
      <c r="F27" s="209"/>
      <c r="G27" s="210"/>
    </row>
    <row r="28" spans="1:7" ht="17.25" customHeight="1">
      <c r="A28" s="31">
        <v>20</v>
      </c>
      <c r="B28" s="879"/>
      <c r="C28" s="880"/>
      <c r="D28" s="281"/>
      <c r="E28" s="209"/>
      <c r="F28" s="209"/>
      <c r="G28" s="210"/>
    </row>
    <row r="29" spans="1:7" ht="17.25" customHeight="1">
      <c r="A29" s="31">
        <v>21</v>
      </c>
      <c r="B29" s="879"/>
      <c r="C29" s="880"/>
      <c r="D29" s="281"/>
      <c r="E29" s="209"/>
      <c r="F29" s="209"/>
      <c r="G29" s="210"/>
    </row>
    <row r="30" spans="1:7" ht="17.25" customHeight="1">
      <c r="A30" s="31">
        <v>22</v>
      </c>
      <c r="B30" s="879"/>
      <c r="C30" s="880"/>
      <c r="D30" s="281"/>
      <c r="E30" s="209"/>
      <c r="F30" s="209"/>
      <c r="G30" s="210"/>
    </row>
    <row r="31" spans="1:7" ht="17.25" customHeight="1">
      <c r="A31" s="31">
        <v>23</v>
      </c>
      <c r="B31" s="879"/>
      <c r="C31" s="880"/>
      <c r="D31" s="281"/>
      <c r="E31" s="209"/>
      <c r="F31" s="209"/>
      <c r="G31" s="210"/>
    </row>
    <row r="32" spans="1:7" ht="17.25" customHeight="1">
      <c r="A32" s="31">
        <v>24</v>
      </c>
      <c r="B32" s="879"/>
      <c r="C32" s="880"/>
      <c r="D32" s="281"/>
      <c r="E32" s="209"/>
      <c r="F32" s="209"/>
      <c r="G32" s="210"/>
    </row>
    <row r="33" spans="1:45" ht="17.25" customHeight="1">
      <c r="A33" s="31">
        <v>25</v>
      </c>
      <c r="B33" s="879"/>
      <c r="C33" s="880"/>
      <c r="D33" s="281"/>
      <c r="E33" s="209"/>
      <c r="F33" s="209"/>
      <c r="G33" s="210"/>
    </row>
    <row r="34" spans="1:45" ht="17.25" customHeight="1">
      <c r="A34" s="31">
        <v>26</v>
      </c>
      <c r="B34" s="879"/>
      <c r="C34" s="880"/>
      <c r="D34" s="281"/>
      <c r="E34" s="209"/>
      <c r="F34" s="209"/>
      <c r="G34" s="210"/>
    </row>
    <row r="35" spans="1:45" ht="16.5" customHeight="1">
      <c r="A35" s="31">
        <v>27</v>
      </c>
      <c r="B35" s="879"/>
      <c r="C35" s="880"/>
      <c r="D35" s="281"/>
      <c r="E35" s="209"/>
      <c r="F35" s="209"/>
      <c r="G35" s="210"/>
    </row>
    <row r="36" spans="1:45" ht="17.25" customHeight="1">
      <c r="A36" s="31">
        <v>28</v>
      </c>
      <c r="B36" s="879"/>
      <c r="C36" s="880"/>
      <c r="D36" s="281"/>
      <c r="E36" s="209"/>
      <c r="F36" s="209"/>
      <c r="G36" s="210"/>
    </row>
    <row r="37" spans="1:45" ht="17.25" customHeight="1">
      <c r="A37" s="31">
        <v>29</v>
      </c>
      <c r="B37" s="879"/>
      <c r="C37" s="880"/>
      <c r="D37" s="281"/>
      <c r="E37" s="209"/>
      <c r="F37" s="209"/>
      <c r="G37" s="210"/>
      <c r="S37" s="32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</row>
    <row r="38" spans="1:45" ht="17.25" customHeight="1">
      <c r="A38" s="31">
        <v>30</v>
      </c>
      <c r="B38" s="879"/>
      <c r="C38" s="880"/>
      <c r="D38" s="281"/>
      <c r="E38" s="209"/>
      <c r="F38" s="209"/>
      <c r="G38" s="210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</row>
    <row r="39" spans="1:45" ht="17.25" hidden="1" customHeight="1" outlineLevel="1">
      <c r="A39" s="31">
        <v>31</v>
      </c>
      <c r="B39" s="879"/>
      <c r="C39" s="880"/>
      <c r="D39" s="281"/>
      <c r="E39" s="209"/>
      <c r="F39" s="209"/>
      <c r="G39" s="210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</row>
    <row r="40" spans="1:45" ht="17.25" hidden="1" customHeight="1" outlineLevel="1">
      <c r="A40" s="31">
        <v>32</v>
      </c>
      <c r="B40" s="879"/>
      <c r="C40" s="880"/>
      <c r="D40" s="281"/>
      <c r="E40" s="209"/>
      <c r="F40" s="209"/>
      <c r="G40" s="210"/>
      <c r="K40" s="103"/>
      <c r="L40" s="104"/>
    </row>
    <row r="41" spans="1:45" ht="17.25" hidden="1" customHeight="1" outlineLevel="1">
      <c r="A41" s="31">
        <v>33</v>
      </c>
      <c r="B41" s="879"/>
      <c r="C41" s="880"/>
      <c r="D41" s="281"/>
      <c r="E41" s="209"/>
      <c r="F41" s="209"/>
      <c r="G41" s="210"/>
    </row>
    <row r="42" spans="1:45" ht="17.25" hidden="1" customHeight="1" outlineLevel="1">
      <c r="A42" s="31">
        <v>34</v>
      </c>
      <c r="B42" s="879"/>
      <c r="C42" s="880"/>
      <c r="D42" s="281"/>
      <c r="E42" s="209"/>
      <c r="F42" s="209"/>
      <c r="G42" s="210"/>
    </row>
    <row r="43" spans="1:45" ht="17.25" hidden="1" customHeight="1" outlineLevel="1">
      <c r="A43" s="31">
        <v>35</v>
      </c>
      <c r="B43" s="879"/>
      <c r="C43" s="880"/>
      <c r="D43" s="281"/>
      <c r="E43" s="209"/>
      <c r="F43" s="209"/>
      <c r="G43" s="210"/>
    </row>
    <row r="44" spans="1:45" ht="17.25" hidden="1" customHeight="1" outlineLevel="1">
      <c r="A44" s="31">
        <v>36</v>
      </c>
      <c r="B44" s="879"/>
      <c r="C44" s="880"/>
      <c r="D44" s="281"/>
      <c r="E44" s="209"/>
      <c r="F44" s="209"/>
      <c r="G44" s="210"/>
    </row>
    <row r="45" spans="1:45" ht="17.25" hidden="1" customHeight="1" outlineLevel="1">
      <c r="A45" s="31">
        <v>37</v>
      </c>
      <c r="B45" s="879"/>
      <c r="C45" s="880"/>
      <c r="D45" s="281"/>
      <c r="E45" s="209"/>
      <c r="F45" s="209"/>
      <c r="G45" s="210"/>
    </row>
    <row r="46" spans="1:45" ht="17.25" hidden="1" customHeight="1" outlineLevel="1">
      <c r="A46" s="31">
        <v>38</v>
      </c>
      <c r="B46" s="879"/>
      <c r="C46" s="880"/>
      <c r="D46" s="281"/>
      <c r="E46" s="209"/>
      <c r="F46" s="209"/>
      <c r="G46" s="210"/>
    </row>
    <row r="47" spans="1:45" ht="17.25" hidden="1" customHeight="1" outlineLevel="1">
      <c r="A47" s="31">
        <v>39</v>
      </c>
      <c r="B47" s="879"/>
      <c r="C47" s="880"/>
      <c r="D47" s="281"/>
      <c r="E47" s="209"/>
      <c r="F47" s="209"/>
      <c r="G47" s="210"/>
    </row>
    <row r="48" spans="1:45" ht="17.25" hidden="1" customHeight="1" outlineLevel="1">
      <c r="A48" s="31">
        <v>40</v>
      </c>
      <c r="B48" s="879"/>
      <c r="C48" s="880"/>
      <c r="D48" s="281"/>
      <c r="E48" s="209"/>
      <c r="F48" s="209"/>
      <c r="G48" s="210"/>
    </row>
    <row r="49" spans="1:7" ht="17.25" hidden="1" customHeight="1" outlineLevel="1">
      <c r="A49" s="31">
        <v>41</v>
      </c>
      <c r="B49" s="879"/>
      <c r="C49" s="880"/>
      <c r="D49" s="281"/>
      <c r="E49" s="209"/>
      <c r="F49" s="209"/>
      <c r="G49" s="210"/>
    </row>
    <row r="50" spans="1:7" ht="17.25" hidden="1" customHeight="1" outlineLevel="1">
      <c r="A50" s="31">
        <v>42</v>
      </c>
      <c r="B50" s="879"/>
      <c r="C50" s="880"/>
      <c r="D50" s="281"/>
      <c r="E50" s="209"/>
      <c r="F50" s="209"/>
      <c r="G50" s="210"/>
    </row>
    <row r="51" spans="1:7" ht="17.25" hidden="1" customHeight="1" outlineLevel="1">
      <c r="A51" s="31">
        <v>43</v>
      </c>
      <c r="B51" s="879"/>
      <c r="C51" s="880"/>
      <c r="D51" s="281"/>
      <c r="E51" s="209"/>
      <c r="F51" s="209"/>
      <c r="G51" s="210"/>
    </row>
    <row r="52" spans="1:7" ht="17.25" hidden="1" customHeight="1" outlineLevel="1">
      <c r="A52" s="31">
        <v>44</v>
      </c>
      <c r="B52" s="879"/>
      <c r="C52" s="880"/>
      <c r="D52" s="281"/>
      <c r="E52" s="209"/>
      <c r="F52" s="209"/>
      <c r="G52" s="210"/>
    </row>
    <row r="53" spans="1:7" ht="17.25" hidden="1" customHeight="1" outlineLevel="1">
      <c r="A53" s="31">
        <v>45</v>
      </c>
      <c r="B53" s="879"/>
      <c r="C53" s="880"/>
      <c r="D53" s="281"/>
      <c r="E53" s="209"/>
      <c r="F53" s="209"/>
      <c r="G53" s="210"/>
    </row>
    <row r="54" spans="1:7" ht="17.25" hidden="1" customHeight="1" outlineLevel="1">
      <c r="A54" s="31">
        <v>46</v>
      </c>
      <c r="B54" s="879"/>
      <c r="C54" s="880"/>
      <c r="D54" s="281"/>
      <c r="E54" s="209"/>
      <c r="F54" s="209"/>
      <c r="G54" s="210"/>
    </row>
    <row r="55" spans="1:7" ht="17.25" hidden="1" customHeight="1" outlineLevel="1">
      <c r="A55" s="31">
        <v>47</v>
      </c>
      <c r="B55" s="879"/>
      <c r="C55" s="880"/>
      <c r="D55" s="281"/>
      <c r="E55" s="209"/>
      <c r="F55" s="209"/>
      <c r="G55" s="210"/>
    </row>
    <row r="56" spans="1:7" ht="17.25" hidden="1" customHeight="1" outlineLevel="1">
      <c r="A56" s="31">
        <v>48</v>
      </c>
      <c r="B56" s="879"/>
      <c r="C56" s="880"/>
      <c r="D56" s="281"/>
      <c r="E56" s="209"/>
      <c r="F56" s="209"/>
      <c r="G56" s="210"/>
    </row>
    <row r="57" spans="1:7" ht="17.25" hidden="1" customHeight="1" outlineLevel="1">
      <c r="A57" s="31">
        <v>49</v>
      </c>
      <c r="B57" s="879"/>
      <c r="C57" s="880"/>
      <c r="D57" s="281"/>
      <c r="E57" s="209"/>
      <c r="F57" s="209"/>
      <c r="G57" s="210"/>
    </row>
    <row r="58" spans="1:7" ht="17.25" hidden="1" customHeight="1" outlineLevel="1">
      <c r="A58" s="31">
        <v>50</v>
      </c>
      <c r="B58" s="879"/>
      <c r="C58" s="880"/>
      <c r="D58" s="281"/>
      <c r="E58" s="209"/>
      <c r="F58" s="209"/>
      <c r="G58" s="210"/>
    </row>
    <row r="59" spans="1:7" ht="17.25" hidden="1" customHeight="1" outlineLevel="1">
      <c r="A59" s="31">
        <v>51</v>
      </c>
      <c r="B59" s="879"/>
      <c r="C59" s="880"/>
      <c r="D59" s="281"/>
      <c r="E59" s="209"/>
      <c r="F59" s="209"/>
      <c r="G59" s="210"/>
    </row>
    <row r="60" spans="1:7" ht="17.25" hidden="1" customHeight="1" outlineLevel="1">
      <c r="A60" s="31">
        <v>52</v>
      </c>
      <c r="B60" s="879"/>
      <c r="C60" s="880"/>
      <c r="D60" s="281"/>
      <c r="E60" s="209"/>
      <c r="F60" s="209"/>
      <c r="G60" s="210"/>
    </row>
    <row r="61" spans="1:7" ht="17.25" hidden="1" customHeight="1" outlineLevel="1">
      <c r="A61" s="31">
        <v>53</v>
      </c>
      <c r="B61" s="879"/>
      <c r="C61" s="880"/>
      <c r="D61" s="281"/>
      <c r="E61" s="209"/>
      <c r="F61" s="209"/>
      <c r="G61" s="210"/>
    </row>
    <row r="62" spans="1:7" ht="17.25" hidden="1" customHeight="1" outlineLevel="1">
      <c r="A62" s="31">
        <v>54</v>
      </c>
      <c r="B62" s="879"/>
      <c r="C62" s="880"/>
      <c r="D62" s="281"/>
      <c r="E62" s="209"/>
      <c r="F62" s="209"/>
      <c r="G62" s="210"/>
    </row>
    <row r="63" spans="1:7" ht="17.25" hidden="1" customHeight="1" outlineLevel="1">
      <c r="A63" s="31">
        <v>55</v>
      </c>
      <c r="B63" s="879"/>
      <c r="C63" s="880"/>
      <c r="D63" s="281"/>
      <c r="E63" s="209"/>
      <c r="F63" s="209"/>
      <c r="G63" s="210"/>
    </row>
    <row r="64" spans="1:7" ht="17.25" hidden="1" customHeight="1" outlineLevel="1">
      <c r="A64" s="31">
        <v>56</v>
      </c>
      <c r="B64" s="879"/>
      <c r="C64" s="880"/>
      <c r="D64" s="281"/>
      <c r="E64" s="209"/>
      <c r="F64" s="209"/>
      <c r="G64" s="210"/>
    </row>
    <row r="65" spans="1:7" ht="17.25" hidden="1" customHeight="1" outlineLevel="1">
      <c r="A65" s="31">
        <v>57</v>
      </c>
      <c r="B65" s="879"/>
      <c r="C65" s="880"/>
      <c r="D65" s="281"/>
      <c r="E65" s="209"/>
      <c r="F65" s="209"/>
      <c r="G65" s="210"/>
    </row>
    <row r="66" spans="1:7" ht="17.25" hidden="1" customHeight="1" outlineLevel="1">
      <c r="A66" s="31">
        <v>58</v>
      </c>
      <c r="B66" s="879"/>
      <c r="C66" s="880"/>
      <c r="D66" s="281"/>
      <c r="E66" s="209"/>
      <c r="F66" s="209"/>
      <c r="G66" s="210"/>
    </row>
    <row r="67" spans="1:7" ht="17.25" hidden="1" customHeight="1" outlineLevel="1">
      <c r="A67" s="31">
        <v>59</v>
      </c>
      <c r="B67" s="879"/>
      <c r="C67" s="880"/>
      <c r="D67" s="281"/>
      <c r="E67" s="209"/>
      <c r="F67" s="209"/>
      <c r="G67" s="210"/>
    </row>
    <row r="68" spans="1:7" ht="17.25" hidden="1" customHeight="1" outlineLevel="1">
      <c r="A68" s="31">
        <v>60</v>
      </c>
      <c r="B68" s="879"/>
      <c r="C68" s="880"/>
      <c r="D68" s="281"/>
      <c r="E68" s="209"/>
      <c r="F68" s="209"/>
      <c r="G68" s="210"/>
    </row>
    <row r="69" spans="1:7" ht="17.25" hidden="1" customHeight="1" outlineLevel="1">
      <c r="A69" s="31">
        <v>61</v>
      </c>
      <c r="B69" s="879"/>
      <c r="C69" s="880"/>
      <c r="D69" s="281"/>
      <c r="E69" s="209"/>
      <c r="F69" s="209"/>
      <c r="G69" s="210"/>
    </row>
    <row r="70" spans="1:7" ht="17.25" hidden="1" customHeight="1" outlineLevel="1">
      <c r="A70" s="31">
        <v>62</v>
      </c>
      <c r="B70" s="879"/>
      <c r="C70" s="880"/>
      <c r="D70" s="281"/>
      <c r="E70" s="209"/>
      <c r="F70" s="209"/>
      <c r="G70" s="210"/>
    </row>
    <row r="71" spans="1:7" ht="17.25" hidden="1" customHeight="1" outlineLevel="1">
      <c r="A71" s="31">
        <v>63</v>
      </c>
      <c r="B71" s="879"/>
      <c r="C71" s="880"/>
      <c r="D71" s="281"/>
      <c r="E71" s="209"/>
      <c r="F71" s="209"/>
      <c r="G71" s="210"/>
    </row>
    <row r="72" spans="1:7" ht="17.25" hidden="1" customHeight="1" outlineLevel="1">
      <c r="A72" s="31">
        <v>64</v>
      </c>
      <c r="B72" s="879"/>
      <c r="C72" s="880"/>
      <c r="D72" s="281"/>
      <c r="E72" s="209"/>
      <c r="F72" s="209"/>
      <c r="G72" s="210"/>
    </row>
    <row r="73" spans="1:7" ht="17.25" hidden="1" customHeight="1" outlineLevel="1">
      <c r="A73" s="31">
        <v>65</v>
      </c>
      <c r="B73" s="879"/>
      <c r="C73" s="880"/>
      <c r="D73" s="281"/>
      <c r="E73" s="209"/>
      <c r="F73" s="209"/>
      <c r="G73" s="210"/>
    </row>
    <row r="74" spans="1:7" ht="17.25" hidden="1" customHeight="1" outlineLevel="1">
      <c r="A74" s="31">
        <v>66</v>
      </c>
      <c r="B74" s="879"/>
      <c r="C74" s="880"/>
      <c r="D74" s="281"/>
      <c r="E74" s="209"/>
      <c r="F74" s="209"/>
      <c r="G74" s="210"/>
    </row>
    <row r="75" spans="1:7" ht="17.25" hidden="1" customHeight="1" outlineLevel="1">
      <c r="A75" s="31">
        <v>67</v>
      </c>
      <c r="B75" s="879"/>
      <c r="C75" s="880"/>
      <c r="D75" s="281"/>
      <c r="E75" s="209"/>
      <c r="F75" s="209"/>
      <c r="G75" s="210"/>
    </row>
    <row r="76" spans="1:7" ht="17.25" hidden="1" customHeight="1" outlineLevel="1">
      <c r="A76" s="31">
        <v>68</v>
      </c>
      <c r="B76" s="879"/>
      <c r="C76" s="880"/>
      <c r="D76" s="281"/>
      <c r="E76" s="209"/>
      <c r="F76" s="209"/>
      <c r="G76" s="210"/>
    </row>
    <row r="77" spans="1:7" ht="17.25" hidden="1" customHeight="1" outlineLevel="1">
      <c r="A77" s="31">
        <v>69</v>
      </c>
      <c r="B77" s="879"/>
      <c r="C77" s="880"/>
      <c r="D77" s="281"/>
      <c r="E77" s="209"/>
      <c r="F77" s="209"/>
      <c r="G77" s="210"/>
    </row>
    <row r="78" spans="1:7" ht="17.25" hidden="1" customHeight="1" outlineLevel="1">
      <c r="A78" s="31">
        <v>70</v>
      </c>
      <c r="B78" s="879"/>
      <c r="C78" s="880"/>
      <c r="D78" s="281"/>
      <c r="E78" s="209"/>
      <c r="F78" s="209"/>
      <c r="G78" s="210"/>
    </row>
    <row r="79" spans="1:7" ht="17.25" hidden="1" customHeight="1" outlineLevel="1">
      <c r="A79" s="31">
        <v>71</v>
      </c>
      <c r="B79" s="879"/>
      <c r="C79" s="880"/>
      <c r="D79" s="281"/>
      <c r="E79" s="209"/>
      <c r="F79" s="209"/>
      <c r="G79" s="210"/>
    </row>
    <row r="80" spans="1:7" ht="17.25" hidden="1" customHeight="1" outlineLevel="1">
      <c r="A80" s="31">
        <v>72</v>
      </c>
      <c r="B80" s="879"/>
      <c r="C80" s="880"/>
      <c r="D80" s="281"/>
      <c r="E80" s="209"/>
      <c r="F80" s="209"/>
      <c r="G80" s="210"/>
    </row>
    <row r="81" spans="1:7" ht="17.25" hidden="1" customHeight="1" outlineLevel="1">
      <c r="A81" s="31">
        <v>73</v>
      </c>
      <c r="B81" s="879"/>
      <c r="C81" s="880"/>
      <c r="D81" s="281"/>
      <c r="E81" s="209"/>
      <c r="F81" s="209"/>
      <c r="G81" s="210"/>
    </row>
    <row r="82" spans="1:7" ht="17.25" hidden="1" customHeight="1" outlineLevel="1">
      <c r="A82" s="31">
        <v>74</v>
      </c>
      <c r="B82" s="879"/>
      <c r="C82" s="880"/>
      <c r="D82" s="281"/>
      <c r="E82" s="209"/>
      <c r="F82" s="209"/>
      <c r="G82" s="210"/>
    </row>
    <row r="83" spans="1:7" ht="17.25" hidden="1" customHeight="1" outlineLevel="1">
      <c r="A83" s="31">
        <v>75</v>
      </c>
      <c r="B83" s="879"/>
      <c r="C83" s="880"/>
      <c r="D83" s="281"/>
      <c r="E83" s="209"/>
      <c r="F83" s="209"/>
      <c r="G83" s="210"/>
    </row>
    <row r="84" spans="1:7" ht="17.25" hidden="1" customHeight="1" outlineLevel="1">
      <c r="A84" s="31">
        <v>76</v>
      </c>
      <c r="B84" s="879"/>
      <c r="C84" s="880"/>
      <c r="D84" s="281"/>
      <c r="E84" s="209"/>
      <c r="F84" s="209"/>
      <c r="G84" s="210"/>
    </row>
    <row r="85" spans="1:7" ht="17.25" hidden="1" customHeight="1" outlineLevel="1">
      <c r="A85" s="31">
        <v>77</v>
      </c>
      <c r="B85" s="879"/>
      <c r="C85" s="880"/>
      <c r="D85" s="281"/>
      <c r="E85" s="209"/>
      <c r="F85" s="209"/>
      <c r="G85" s="210"/>
    </row>
    <row r="86" spans="1:7" ht="17.25" hidden="1" customHeight="1" outlineLevel="1">
      <c r="A86" s="31">
        <v>78</v>
      </c>
      <c r="B86" s="879"/>
      <c r="C86" s="880"/>
      <c r="D86" s="281"/>
      <c r="E86" s="209"/>
      <c r="F86" s="209"/>
      <c r="G86" s="210"/>
    </row>
    <row r="87" spans="1:7" ht="17.25" hidden="1" customHeight="1" outlineLevel="1">
      <c r="A87" s="31">
        <v>79</v>
      </c>
      <c r="B87" s="879"/>
      <c r="C87" s="880"/>
      <c r="D87" s="281"/>
      <c r="E87" s="209"/>
      <c r="F87" s="209"/>
      <c r="G87" s="210"/>
    </row>
    <row r="88" spans="1:7" ht="17.25" hidden="1" customHeight="1" outlineLevel="1">
      <c r="A88" s="31">
        <v>80</v>
      </c>
      <c r="B88" s="879"/>
      <c r="C88" s="880"/>
      <c r="D88" s="281"/>
      <c r="E88" s="209"/>
      <c r="F88" s="209"/>
      <c r="G88" s="210"/>
    </row>
    <row r="89" spans="1:7" ht="17.25" hidden="1" customHeight="1" outlineLevel="1">
      <c r="A89" s="31">
        <v>81</v>
      </c>
      <c r="B89" s="879"/>
      <c r="C89" s="880"/>
      <c r="D89" s="281"/>
      <c r="E89" s="201"/>
      <c r="F89" s="201"/>
      <c r="G89" s="202"/>
    </row>
    <row r="90" spans="1:7" ht="17.25" hidden="1" customHeight="1" outlineLevel="1">
      <c r="A90" s="31">
        <v>82</v>
      </c>
      <c r="B90" s="879"/>
      <c r="C90" s="880"/>
      <c r="D90" s="281"/>
      <c r="E90" s="201"/>
      <c r="F90" s="201"/>
      <c r="G90" s="202"/>
    </row>
    <row r="91" spans="1:7" ht="17.25" hidden="1" customHeight="1" outlineLevel="1">
      <c r="A91" s="31">
        <v>83</v>
      </c>
      <c r="B91" s="879"/>
      <c r="C91" s="880"/>
      <c r="D91" s="281"/>
      <c r="E91" s="201"/>
      <c r="F91" s="201"/>
      <c r="G91" s="202"/>
    </row>
    <row r="92" spans="1:7" ht="17.25" hidden="1" customHeight="1" outlineLevel="1">
      <c r="A92" s="31">
        <v>84</v>
      </c>
      <c r="B92" s="879"/>
      <c r="C92" s="880"/>
      <c r="D92" s="281"/>
      <c r="E92" s="201"/>
      <c r="F92" s="201"/>
      <c r="G92" s="202"/>
    </row>
    <row r="93" spans="1:7" ht="17.25" hidden="1" customHeight="1" outlineLevel="1">
      <c r="A93" s="31">
        <v>85</v>
      </c>
      <c r="B93" s="879"/>
      <c r="C93" s="880"/>
      <c r="D93" s="281"/>
      <c r="E93" s="201"/>
      <c r="F93" s="201"/>
      <c r="G93" s="202"/>
    </row>
    <row r="94" spans="1:7" ht="17.25" hidden="1" customHeight="1" outlineLevel="1">
      <c r="A94" s="31">
        <v>86</v>
      </c>
      <c r="B94" s="879"/>
      <c r="C94" s="880"/>
      <c r="D94" s="281"/>
      <c r="E94" s="201"/>
      <c r="F94" s="201"/>
      <c r="G94" s="202"/>
    </row>
    <row r="95" spans="1:7" ht="17.25" hidden="1" customHeight="1" outlineLevel="1">
      <c r="A95" s="31">
        <v>87</v>
      </c>
      <c r="B95" s="879"/>
      <c r="C95" s="880"/>
      <c r="D95" s="281"/>
      <c r="E95" s="201"/>
      <c r="F95" s="201"/>
      <c r="G95" s="202"/>
    </row>
    <row r="96" spans="1:7" ht="17.25" hidden="1" customHeight="1" outlineLevel="1">
      <c r="A96" s="31">
        <v>88</v>
      </c>
      <c r="B96" s="879"/>
      <c r="C96" s="880"/>
      <c r="D96" s="281"/>
      <c r="E96" s="201"/>
      <c r="F96" s="201"/>
      <c r="G96" s="202"/>
    </row>
    <row r="97" spans="1:7" ht="17.25" hidden="1" customHeight="1" outlineLevel="1">
      <c r="A97" s="31">
        <v>89</v>
      </c>
      <c r="B97" s="879"/>
      <c r="C97" s="880"/>
      <c r="D97" s="281"/>
      <c r="E97" s="201"/>
      <c r="F97" s="201"/>
      <c r="G97" s="202"/>
    </row>
    <row r="98" spans="1:7" ht="17.25" hidden="1" customHeight="1" outlineLevel="1">
      <c r="A98" s="31">
        <v>90</v>
      </c>
      <c r="B98" s="879"/>
      <c r="C98" s="880"/>
      <c r="D98" s="281"/>
      <c r="E98" s="201"/>
      <c r="F98" s="201"/>
      <c r="G98" s="202"/>
    </row>
    <row r="99" spans="1:7" ht="17.25" hidden="1" customHeight="1" outlineLevel="1">
      <c r="A99" s="31">
        <v>91</v>
      </c>
      <c r="B99" s="879"/>
      <c r="C99" s="880"/>
      <c r="D99" s="281"/>
      <c r="E99" s="201"/>
      <c r="F99" s="201"/>
      <c r="G99" s="202"/>
    </row>
    <row r="100" spans="1:7" ht="17.25" hidden="1" customHeight="1" outlineLevel="1">
      <c r="A100" s="31">
        <v>92</v>
      </c>
      <c r="B100" s="879"/>
      <c r="C100" s="880"/>
      <c r="D100" s="281"/>
      <c r="E100" s="201"/>
      <c r="F100" s="201"/>
      <c r="G100" s="202"/>
    </row>
    <row r="101" spans="1:7" ht="17.25" hidden="1" customHeight="1" outlineLevel="1">
      <c r="A101" s="31">
        <v>93</v>
      </c>
      <c r="B101" s="879"/>
      <c r="C101" s="880"/>
      <c r="D101" s="281"/>
      <c r="E101" s="201"/>
      <c r="F101" s="201"/>
      <c r="G101" s="202"/>
    </row>
    <row r="102" spans="1:7" ht="17.25" hidden="1" customHeight="1" outlineLevel="1">
      <c r="A102" s="31">
        <v>94</v>
      </c>
      <c r="B102" s="879"/>
      <c r="C102" s="880"/>
      <c r="D102" s="281"/>
      <c r="E102" s="201"/>
      <c r="F102" s="201"/>
      <c r="G102" s="202"/>
    </row>
    <row r="103" spans="1:7" ht="17.25" hidden="1" customHeight="1" outlineLevel="1">
      <c r="A103" s="31">
        <v>95</v>
      </c>
      <c r="B103" s="879"/>
      <c r="C103" s="880"/>
      <c r="D103" s="281"/>
      <c r="E103" s="201"/>
      <c r="F103" s="201"/>
      <c r="G103" s="202"/>
    </row>
    <row r="104" spans="1:7" ht="17.25" hidden="1" customHeight="1" outlineLevel="1">
      <c r="A104" s="31">
        <v>96</v>
      </c>
      <c r="B104" s="879"/>
      <c r="C104" s="880"/>
      <c r="D104" s="281"/>
      <c r="E104" s="201"/>
      <c r="F104" s="201"/>
      <c r="G104" s="202"/>
    </row>
    <row r="105" spans="1:7" ht="17.25" hidden="1" customHeight="1" outlineLevel="1">
      <c r="A105" s="31">
        <v>97</v>
      </c>
      <c r="B105" s="879"/>
      <c r="C105" s="880"/>
      <c r="D105" s="281"/>
      <c r="E105" s="201"/>
      <c r="F105" s="201"/>
      <c r="G105" s="202"/>
    </row>
    <row r="106" spans="1:7" ht="17.25" hidden="1" customHeight="1" outlineLevel="1">
      <c r="A106" s="31">
        <v>98</v>
      </c>
      <c r="B106" s="879"/>
      <c r="C106" s="880"/>
      <c r="D106" s="281"/>
      <c r="E106" s="201"/>
      <c r="F106" s="201"/>
      <c r="G106" s="202"/>
    </row>
    <row r="107" spans="1:7" ht="17.25" hidden="1" customHeight="1" outlineLevel="1">
      <c r="A107" s="31">
        <v>99</v>
      </c>
      <c r="B107" s="879"/>
      <c r="C107" s="880"/>
      <c r="D107" s="281"/>
      <c r="E107" s="203"/>
      <c r="F107" s="203"/>
      <c r="G107" s="204"/>
    </row>
    <row r="108" spans="1:7" collapsed="1">
      <c r="A108" s="105" t="s">
        <v>566</v>
      </c>
      <c r="D108" s="279"/>
    </row>
  </sheetData>
  <sheetProtection algorithmName="SHA-512" hashValue="qnmLn3+hhwaDBkDkArIyw2eGexO9z33vgSrrAtN2Ee+METw9mHba/5dE89OH5eKZ2HzJQglw3H1sBJMttPvAMQ==" saltValue="+aIO31Jwycw3axwUbGlSMg==" spinCount="100000" sheet="1"/>
  <mergeCells count="107">
    <mergeCell ref="G4:G7"/>
    <mergeCell ref="B8:C8"/>
    <mergeCell ref="B9:C9"/>
    <mergeCell ref="B10:C10"/>
    <mergeCell ref="B11:C11"/>
    <mergeCell ref="B12:C12"/>
    <mergeCell ref="B3:C3"/>
    <mergeCell ref="A4:A7"/>
    <mergeCell ref="B4:C7"/>
    <mergeCell ref="D4:D7"/>
    <mergeCell ref="E4:E7"/>
    <mergeCell ref="F4:F7"/>
    <mergeCell ref="B19:C19"/>
    <mergeCell ref="B20:C20"/>
    <mergeCell ref="B21:C21"/>
    <mergeCell ref="B22:C22"/>
    <mergeCell ref="B23:C23"/>
    <mergeCell ref="B24:C24"/>
    <mergeCell ref="B13:C13"/>
    <mergeCell ref="B14:C14"/>
    <mergeCell ref="B15:C15"/>
    <mergeCell ref="B16:C16"/>
    <mergeCell ref="B17:C17"/>
    <mergeCell ref="B18:C18"/>
    <mergeCell ref="B31:C31"/>
    <mergeCell ref="B32:C32"/>
    <mergeCell ref="B33:C33"/>
    <mergeCell ref="B34:C34"/>
    <mergeCell ref="B35:C35"/>
    <mergeCell ref="B36:C36"/>
    <mergeCell ref="B25:C25"/>
    <mergeCell ref="B26:C26"/>
    <mergeCell ref="B27:C27"/>
    <mergeCell ref="B28:C28"/>
    <mergeCell ref="B29:C29"/>
    <mergeCell ref="B30:C30"/>
    <mergeCell ref="B43:C43"/>
    <mergeCell ref="B44:C44"/>
    <mergeCell ref="B45:C45"/>
    <mergeCell ref="B46:C46"/>
    <mergeCell ref="B47:C47"/>
    <mergeCell ref="B48:C48"/>
    <mergeCell ref="B37:C37"/>
    <mergeCell ref="B38:C38"/>
    <mergeCell ref="B39:C39"/>
    <mergeCell ref="B40:C40"/>
    <mergeCell ref="B41:C41"/>
    <mergeCell ref="B42:C42"/>
    <mergeCell ref="B55:C55"/>
    <mergeCell ref="B56:C56"/>
    <mergeCell ref="B57:C57"/>
    <mergeCell ref="B58:C58"/>
    <mergeCell ref="B59:C59"/>
    <mergeCell ref="B60:C60"/>
    <mergeCell ref="B49:C49"/>
    <mergeCell ref="B50:C50"/>
    <mergeCell ref="B51:C51"/>
    <mergeCell ref="B52:C52"/>
    <mergeCell ref="B53:C53"/>
    <mergeCell ref="B54:C54"/>
    <mergeCell ref="B67:C67"/>
    <mergeCell ref="B68:C68"/>
    <mergeCell ref="B69:C69"/>
    <mergeCell ref="B70:C70"/>
    <mergeCell ref="B71:C71"/>
    <mergeCell ref="B72:C72"/>
    <mergeCell ref="B61:C61"/>
    <mergeCell ref="B62:C62"/>
    <mergeCell ref="B63:C63"/>
    <mergeCell ref="B64:C64"/>
    <mergeCell ref="B65:C65"/>
    <mergeCell ref="B66:C66"/>
    <mergeCell ref="B79:C79"/>
    <mergeCell ref="B80:C80"/>
    <mergeCell ref="B81:C81"/>
    <mergeCell ref="B82:C82"/>
    <mergeCell ref="B83:C83"/>
    <mergeCell ref="B84:C84"/>
    <mergeCell ref="B73:C73"/>
    <mergeCell ref="B74:C74"/>
    <mergeCell ref="B75:C75"/>
    <mergeCell ref="B76:C76"/>
    <mergeCell ref="B77:C77"/>
    <mergeCell ref="B78:C78"/>
    <mergeCell ref="B91:C91"/>
    <mergeCell ref="B92:C92"/>
    <mergeCell ref="B93:C93"/>
    <mergeCell ref="B94:C94"/>
    <mergeCell ref="B95:C95"/>
    <mergeCell ref="B96:C96"/>
    <mergeCell ref="B85:C85"/>
    <mergeCell ref="B86:C86"/>
    <mergeCell ref="B87:C87"/>
    <mergeCell ref="B88:C88"/>
    <mergeCell ref="B89:C89"/>
    <mergeCell ref="B90:C90"/>
    <mergeCell ref="B103:C103"/>
    <mergeCell ref="B104:C104"/>
    <mergeCell ref="B105:C105"/>
    <mergeCell ref="B106:C106"/>
    <mergeCell ref="B107:C107"/>
    <mergeCell ref="B97:C97"/>
    <mergeCell ref="B98:C98"/>
    <mergeCell ref="B99:C99"/>
    <mergeCell ref="B100:C100"/>
    <mergeCell ref="B101:C101"/>
    <mergeCell ref="B102:C102"/>
  </mergeCells>
  <phoneticPr fontId="18"/>
  <dataValidations count="3">
    <dataValidation type="list" allowBlank="1" showInputMessage="1" showErrorMessage="1" sqref="WUL982769:WUM982812 RV36:RW43 ABR36:ABS43 ALN36:ALO43 AVJ36:AVK43 BFF36:BFG43 BPB36:BPC43 BYX36:BYY43 CIT36:CIU43 CSP36:CSQ43 DCL36:DCM43 DMH36:DMI43 DWD36:DWE43 EFZ36:EGA43 EPV36:EPW43 EZR36:EZS43 FJN36:FJO43 FTJ36:FTK43 GDF36:GDG43 GNB36:GNC43 GWX36:GWY43 HGT36:HGU43 HQP36:HQQ43 IAL36:IAM43 IKH36:IKI43 IUD36:IUE43 JDZ36:JEA43 JNV36:JNW43 JXR36:JXS43 KHN36:KHO43 KRJ36:KRK43 LBF36:LBG43 LLB36:LLC43 LUX36:LUY43 MET36:MEU43 MOP36:MOQ43 MYL36:MYM43 NIH36:NII43 NSD36:NSE43 OBZ36:OCA43 OLV36:OLW43 OVR36:OVS43 PFN36:PFO43 PPJ36:PPK43 PZF36:PZG43 QJB36:QJC43 QSX36:QSY43 RCT36:RCU43 RMP36:RMQ43 RWL36:RWM43 SGH36:SGI43 SQD36:SQE43 SZZ36:TAA43 TJV36:TJW43 TTR36:TTS43 UDN36:UDO43 UNJ36:UNK43 UXF36:UXG43 VHB36:VHC43 VQX36:VQY43 WAT36:WAU43 WKP36:WKQ43 WUL36:WUM43 HZ10:IA15 RV10:RW15 ABR10:ABS15 ALN10:ALO15 AVJ10:AVK15 BFF10:BFG15 BPB10:BPC15 BYX10:BYY15 CIT10:CIU15 CSP10:CSQ15 DCL10:DCM15 DMH10:DMI15 DWD10:DWE15 EFZ10:EGA15 EPV10:EPW15 EZR10:EZS15 FJN10:FJO15 FTJ10:FTK15 GDF10:GDG15 GNB10:GNC15 GWX10:GWY15 HGT10:HGU15 HQP10:HQQ15 IAL10:IAM15 IKH10:IKI15 IUD10:IUE15 JDZ10:JEA15 JNV10:JNW15 JXR10:JXS15 KHN10:KHO15 KRJ10:KRK15 LBF10:LBG15 LLB10:LLC15 LUX10:LUY15 MET10:MEU15 MOP10:MOQ15 MYL10:MYM15 NIH10:NII15 NSD10:NSE15 OBZ10:OCA15 OLV10:OLW15 OVR10:OVS15 PFN10:PFO15 PPJ10:PPK15 PZF10:PZG15 QJB10:QJC15 QSX10:QSY15 RCT10:RCU15 RMP10:RMQ15 RWL10:RWM15 SGH10:SGI15 SQD10:SQE15 SZZ10:TAA15 TJV10:TJW15 TTR10:TTS15 UDN10:UDO15 UNJ10:UNK15 UXF10:UXG15 VHB10:VHC15 VQX10:VQY15 WAT10:WAU15 WKP10:WKQ15 WUL10:WUM15 WKP982769:WKQ982812 WAT982769:WAU982812 VQX982769:VQY982812 VHB982769:VHC982812 UXF982769:UXG982812 UNJ982769:UNK982812 UDN982769:UDO982812 TTR982769:TTS982812 TJV982769:TJW982812 SZZ982769:TAA982812 SQD982769:SQE982812 SGH982769:SGI982812 RWL982769:RWM982812 RMP982769:RMQ982812 RCT982769:RCU982812 QSX982769:QSY982812 QJB982769:QJC982812 PZF982769:PZG982812 PPJ982769:PPK982812 PFN982769:PFO982812 OVR982769:OVS982812 OLV982769:OLW982812 OBZ982769:OCA982812 NSD982769:NSE982812 NIH982769:NII982812 MYL982769:MYM982812 MOP982769:MOQ982812 MET982769:MEU982812 LUX982769:LUY982812 LLB982769:LLC982812 LBF982769:LBG982812 KRJ982769:KRK982812 KHN982769:KHO982812 JXR982769:JXS982812 JNV982769:JNW982812 JDZ982769:JEA982812 IUD982769:IUE982812 IKH982769:IKI982812 IAL982769:IAM982812 HQP982769:HQQ982812 HGT982769:HGU982812 GWX982769:GWY982812 GNB982769:GNC982812 GDF982769:GDG982812 FTJ982769:FTK982812 FJN982769:FJO982812 EZR982769:EZS982812 EPV982769:EPW982812 EFZ982769:EGA982812 DWD982769:DWE982812 DMH982769:DMI982812 DCL982769:DCM982812 CSP982769:CSQ982812 CIT982769:CIU982812 BYX982769:BYY982812 BPB982769:BPC982812 BFF982769:BFG982812 AVJ982769:AVK982812 ALN982769:ALO982812 ABR982769:ABS982812 RV982769:RW982812 HZ982769:IA982812 WUL917233:WUM917276 WKP917233:WKQ917276 WAT917233:WAU917276 VQX917233:VQY917276 VHB917233:VHC917276 UXF917233:UXG917276 UNJ917233:UNK917276 UDN917233:UDO917276 TTR917233:TTS917276 TJV917233:TJW917276 SZZ917233:TAA917276 SQD917233:SQE917276 SGH917233:SGI917276 RWL917233:RWM917276 RMP917233:RMQ917276 RCT917233:RCU917276 QSX917233:QSY917276 QJB917233:QJC917276 PZF917233:PZG917276 PPJ917233:PPK917276 PFN917233:PFO917276 OVR917233:OVS917276 OLV917233:OLW917276 OBZ917233:OCA917276 NSD917233:NSE917276 NIH917233:NII917276 MYL917233:MYM917276 MOP917233:MOQ917276 MET917233:MEU917276 LUX917233:LUY917276 LLB917233:LLC917276 LBF917233:LBG917276 KRJ917233:KRK917276 KHN917233:KHO917276 JXR917233:JXS917276 JNV917233:JNW917276 JDZ917233:JEA917276 IUD917233:IUE917276 IKH917233:IKI917276 IAL917233:IAM917276 HQP917233:HQQ917276 HGT917233:HGU917276 GWX917233:GWY917276 GNB917233:GNC917276 GDF917233:GDG917276 FTJ917233:FTK917276 FJN917233:FJO917276 EZR917233:EZS917276 EPV917233:EPW917276 EFZ917233:EGA917276 DWD917233:DWE917276 DMH917233:DMI917276 DCL917233:DCM917276 CSP917233:CSQ917276 CIT917233:CIU917276 BYX917233:BYY917276 BPB917233:BPC917276 BFF917233:BFG917276 AVJ917233:AVK917276 ALN917233:ALO917276 ABR917233:ABS917276 RV917233:RW917276 HZ917233:IA917276 WUL851697:WUM851740 WKP851697:WKQ851740 WAT851697:WAU851740 VQX851697:VQY851740 VHB851697:VHC851740 UXF851697:UXG851740 UNJ851697:UNK851740 UDN851697:UDO851740 TTR851697:TTS851740 TJV851697:TJW851740 SZZ851697:TAA851740 SQD851697:SQE851740 SGH851697:SGI851740 RWL851697:RWM851740 RMP851697:RMQ851740 RCT851697:RCU851740 QSX851697:QSY851740 QJB851697:QJC851740 PZF851697:PZG851740 PPJ851697:PPK851740 PFN851697:PFO851740 OVR851697:OVS851740 OLV851697:OLW851740 OBZ851697:OCA851740 NSD851697:NSE851740 NIH851697:NII851740 MYL851697:MYM851740 MOP851697:MOQ851740 MET851697:MEU851740 LUX851697:LUY851740 LLB851697:LLC851740 LBF851697:LBG851740 KRJ851697:KRK851740 KHN851697:KHO851740 JXR851697:JXS851740 JNV851697:JNW851740 JDZ851697:JEA851740 IUD851697:IUE851740 IKH851697:IKI851740 IAL851697:IAM851740 HQP851697:HQQ851740 HGT851697:HGU851740 GWX851697:GWY851740 GNB851697:GNC851740 GDF851697:GDG851740 FTJ851697:FTK851740 FJN851697:FJO851740 EZR851697:EZS851740 EPV851697:EPW851740 EFZ851697:EGA851740 DWD851697:DWE851740 DMH851697:DMI851740 DCL851697:DCM851740 CSP851697:CSQ851740 CIT851697:CIU851740 BYX851697:BYY851740 BPB851697:BPC851740 BFF851697:BFG851740 AVJ851697:AVK851740 ALN851697:ALO851740 ABR851697:ABS851740 RV851697:RW851740 HZ851697:IA851740 WUL786161:WUM786204 WKP786161:WKQ786204 WAT786161:WAU786204 VQX786161:VQY786204 VHB786161:VHC786204 UXF786161:UXG786204 UNJ786161:UNK786204 UDN786161:UDO786204 TTR786161:TTS786204 TJV786161:TJW786204 SZZ786161:TAA786204 SQD786161:SQE786204 SGH786161:SGI786204 RWL786161:RWM786204 RMP786161:RMQ786204 RCT786161:RCU786204 QSX786161:QSY786204 QJB786161:QJC786204 PZF786161:PZG786204 PPJ786161:PPK786204 PFN786161:PFO786204 OVR786161:OVS786204 OLV786161:OLW786204 OBZ786161:OCA786204 NSD786161:NSE786204 NIH786161:NII786204 MYL786161:MYM786204 MOP786161:MOQ786204 MET786161:MEU786204 LUX786161:LUY786204 LLB786161:LLC786204 LBF786161:LBG786204 KRJ786161:KRK786204 KHN786161:KHO786204 JXR786161:JXS786204 JNV786161:JNW786204 JDZ786161:JEA786204 IUD786161:IUE786204 IKH786161:IKI786204 IAL786161:IAM786204 HQP786161:HQQ786204 HGT786161:HGU786204 GWX786161:GWY786204 GNB786161:GNC786204 GDF786161:GDG786204 FTJ786161:FTK786204 FJN786161:FJO786204 EZR786161:EZS786204 EPV786161:EPW786204 EFZ786161:EGA786204 DWD786161:DWE786204 DMH786161:DMI786204 DCL786161:DCM786204 CSP786161:CSQ786204 CIT786161:CIU786204 BYX786161:BYY786204 BPB786161:BPC786204 BFF786161:BFG786204 AVJ786161:AVK786204 ALN786161:ALO786204 ABR786161:ABS786204 RV786161:RW786204 HZ786161:IA786204 WUL720625:WUM720668 WKP720625:WKQ720668 WAT720625:WAU720668 VQX720625:VQY720668 VHB720625:VHC720668 UXF720625:UXG720668 UNJ720625:UNK720668 UDN720625:UDO720668 TTR720625:TTS720668 TJV720625:TJW720668 SZZ720625:TAA720668 SQD720625:SQE720668 SGH720625:SGI720668 RWL720625:RWM720668 RMP720625:RMQ720668 RCT720625:RCU720668 QSX720625:QSY720668 QJB720625:QJC720668 PZF720625:PZG720668 PPJ720625:PPK720668 PFN720625:PFO720668 OVR720625:OVS720668 OLV720625:OLW720668 OBZ720625:OCA720668 NSD720625:NSE720668 NIH720625:NII720668 MYL720625:MYM720668 MOP720625:MOQ720668 MET720625:MEU720668 LUX720625:LUY720668 LLB720625:LLC720668 LBF720625:LBG720668 KRJ720625:KRK720668 KHN720625:KHO720668 JXR720625:JXS720668 JNV720625:JNW720668 JDZ720625:JEA720668 IUD720625:IUE720668 IKH720625:IKI720668 IAL720625:IAM720668 HQP720625:HQQ720668 HGT720625:HGU720668 GWX720625:GWY720668 GNB720625:GNC720668 GDF720625:GDG720668 FTJ720625:FTK720668 FJN720625:FJO720668 EZR720625:EZS720668 EPV720625:EPW720668 EFZ720625:EGA720668 DWD720625:DWE720668 DMH720625:DMI720668 DCL720625:DCM720668 CSP720625:CSQ720668 CIT720625:CIU720668 BYX720625:BYY720668 BPB720625:BPC720668 BFF720625:BFG720668 AVJ720625:AVK720668 ALN720625:ALO720668 ABR720625:ABS720668 RV720625:RW720668 HZ720625:IA720668 WUL655089:WUM655132 WKP655089:WKQ655132 WAT655089:WAU655132 VQX655089:VQY655132 VHB655089:VHC655132 UXF655089:UXG655132 UNJ655089:UNK655132 UDN655089:UDO655132 TTR655089:TTS655132 TJV655089:TJW655132 SZZ655089:TAA655132 SQD655089:SQE655132 SGH655089:SGI655132 RWL655089:RWM655132 RMP655089:RMQ655132 RCT655089:RCU655132 QSX655089:QSY655132 QJB655089:QJC655132 PZF655089:PZG655132 PPJ655089:PPK655132 PFN655089:PFO655132 OVR655089:OVS655132 OLV655089:OLW655132 OBZ655089:OCA655132 NSD655089:NSE655132 NIH655089:NII655132 MYL655089:MYM655132 MOP655089:MOQ655132 MET655089:MEU655132 LUX655089:LUY655132 LLB655089:LLC655132 LBF655089:LBG655132 KRJ655089:KRK655132 KHN655089:KHO655132 JXR655089:JXS655132 JNV655089:JNW655132 JDZ655089:JEA655132 IUD655089:IUE655132 IKH655089:IKI655132 IAL655089:IAM655132 HQP655089:HQQ655132 HGT655089:HGU655132 GWX655089:GWY655132 GNB655089:GNC655132 GDF655089:GDG655132 FTJ655089:FTK655132 FJN655089:FJO655132 EZR655089:EZS655132 EPV655089:EPW655132 EFZ655089:EGA655132 DWD655089:DWE655132 DMH655089:DMI655132 DCL655089:DCM655132 CSP655089:CSQ655132 CIT655089:CIU655132 BYX655089:BYY655132 BPB655089:BPC655132 BFF655089:BFG655132 AVJ655089:AVK655132 ALN655089:ALO655132 ABR655089:ABS655132 RV655089:RW655132 HZ655089:IA655132 WUL589553:WUM589596 WKP589553:WKQ589596 WAT589553:WAU589596 VQX589553:VQY589596 VHB589553:VHC589596 UXF589553:UXG589596 UNJ589553:UNK589596 UDN589553:UDO589596 TTR589553:TTS589596 TJV589553:TJW589596 SZZ589553:TAA589596 SQD589553:SQE589596 SGH589553:SGI589596 RWL589553:RWM589596 RMP589553:RMQ589596 RCT589553:RCU589596 QSX589553:QSY589596 QJB589553:QJC589596 PZF589553:PZG589596 PPJ589553:PPK589596 PFN589553:PFO589596 OVR589553:OVS589596 OLV589553:OLW589596 OBZ589553:OCA589596 NSD589553:NSE589596 NIH589553:NII589596 MYL589553:MYM589596 MOP589553:MOQ589596 MET589553:MEU589596 LUX589553:LUY589596 LLB589553:LLC589596 LBF589553:LBG589596 KRJ589553:KRK589596 KHN589553:KHO589596 JXR589553:JXS589596 JNV589553:JNW589596 JDZ589553:JEA589596 IUD589553:IUE589596 IKH589553:IKI589596 IAL589553:IAM589596 HQP589553:HQQ589596 HGT589553:HGU589596 GWX589553:GWY589596 GNB589553:GNC589596 GDF589553:GDG589596 FTJ589553:FTK589596 FJN589553:FJO589596 EZR589553:EZS589596 EPV589553:EPW589596 EFZ589553:EGA589596 DWD589553:DWE589596 DMH589553:DMI589596 DCL589553:DCM589596 CSP589553:CSQ589596 CIT589553:CIU589596 BYX589553:BYY589596 BPB589553:BPC589596 BFF589553:BFG589596 AVJ589553:AVK589596 ALN589553:ALO589596 ABR589553:ABS589596 RV589553:RW589596 HZ589553:IA589596 WUL524017:WUM524060 WKP524017:WKQ524060 WAT524017:WAU524060 VQX524017:VQY524060 VHB524017:VHC524060 UXF524017:UXG524060 UNJ524017:UNK524060 UDN524017:UDO524060 TTR524017:TTS524060 TJV524017:TJW524060 SZZ524017:TAA524060 SQD524017:SQE524060 SGH524017:SGI524060 RWL524017:RWM524060 RMP524017:RMQ524060 RCT524017:RCU524060 QSX524017:QSY524060 QJB524017:QJC524060 PZF524017:PZG524060 PPJ524017:PPK524060 PFN524017:PFO524060 OVR524017:OVS524060 OLV524017:OLW524060 OBZ524017:OCA524060 NSD524017:NSE524060 NIH524017:NII524060 MYL524017:MYM524060 MOP524017:MOQ524060 MET524017:MEU524060 LUX524017:LUY524060 LLB524017:LLC524060 LBF524017:LBG524060 KRJ524017:KRK524060 KHN524017:KHO524060 JXR524017:JXS524060 JNV524017:JNW524060 JDZ524017:JEA524060 IUD524017:IUE524060 IKH524017:IKI524060 IAL524017:IAM524060 HQP524017:HQQ524060 HGT524017:HGU524060 GWX524017:GWY524060 GNB524017:GNC524060 GDF524017:GDG524060 FTJ524017:FTK524060 FJN524017:FJO524060 EZR524017:EZS524060 EPV524017:EPW524060 EFZ524017:EGA524060 DWD524017:DWE524060 DMH524017:DMI524060 DCL524017:DCM524060 CSP524017:CSQ524060 CIT524017:CIU524060 BYX524017:BYY524060 BPB524017:BPC524060 BFF524017:BFG524060 AVJ524017:AVK524060 ALN524017:ALO524060 ABR524017:ABS524060 RV524017:RW524060 HZ524017:IA524060 WUL458481:WUM458524 WKP458481:WKQ458524 WAT458481:WAU458524 VQX458481:VQY458524 VHB458481:VHC458524 UXF458481:UXG458524 UNJ458481:UNK458524 UDN458481:UDO458524 TTR458481:TTS458524 TJV458481:TJW458524 SZZ458481:TAA458524 SQD458481:SQE458524 SGH458481:SGI458524 RWL458481:RWM458524 RMP458481:RMQ458524 RCT458481:RCU458524 QSX458481:QSY458524 QJB458481:QJC458524 PZF458481:PZG458524 PPJ458481:PPK458524 PFN458481:PFO458524 OVR458481:OVS458524 OLV458481:OLW458524 OBZ458481:OCA458524 NSD458481:NSE458524 NIH458481:NII458524 MYL458481:MYM458524 MOP458481:MOQ458524 MET458481:MEU458524 LUX458481:LUY458524 LLB458481:LLC458524 LBF458481:LBG458524 KRJ458481:KRK458524 KHN458481:KHO458524 JXR458481:JXS458524 JNV458481:JNW458524 JDZ458481:JEA458524 IUD458481:IUE458524 IKH458481:IKI458524 IAL458481:IAM458524 HQP458481:HQQ458524 HGT458481:HGU458524 GWX458481:GWY458524 GNB458481:GNC458524 GDF458481:GDG458524 FTJ458481:FTK458524 FJN458481:FJO458524 EZR458481:EZS458524 EPV458481:EPW458524 EFZ458481:EGA458524 DWD458481:DWE458524 DMH458481:DMI458524 DCL458481:DCM458524 CSP458481:CSQ458524 CIT458481:CIU458524 BYX458481:BYY458524 BPB458481:BPC458524 BFF458481:BFG458524 AVJ458481:AVK458524 ALN458481:ALO458524 ABR458481:ABS458524 RV458481:RW458524 HZ458481:IA458524 WUL392945:WUM392988 WKP392945:WKQ392988 WAT392945:WAU392988 VQX392945:VQY392988 VHB392945:VHC392988 UXF392945:UXG392988 UNJ392945:UNK392988 UDN392945:UDO392988 TTR392945:TTS392988 TJV392945:TJW392988 SZZ392945:TAA392988 SQD392945:SQE392988 SGH392945:SGI392988 RWL392945:RWM392988 RMP392945:RMQ392988 RCT392945:RCU392988 QSX392945:QSY392988 QJB392945:QJC392988 PZF392945:PZG392988 PPJ392945:PPK392988 PFN392945:PFO392988 OVR392945:OVS392988 OLV392945:OLW392988 OBZ392945:OCA392988 NSD392945:NSE392988 NIH392945:NII392988 MYL392945:MYM392988 MOP392945:MOQ392988 MET392945:MEU392988 LUX392945:LUY392988 LLB392945:LLC392988 LBF392945:LBG392988 KRJ392945:KRK392988 KHN392945:KHO392988 JXR392945:JXS392988 JNV392945:JNW392988 JDZ392945:JEA392988 IUD392945:IUE392988 IKH392945:IKI392988 IAL392945:IAM392988 HQP392945:HQQ392988 HGT392945:HGU392988 GWX392945:GWY392988 GNB392945:GNC392988 GDF392945:GDG392988 FTJ392945:FTK392988 FJN392945:FJO392988 EZR392945:EZS392988 EPV392945:EPW392988 EFZ392945:EGA392988 DWD392945:DWE392988 DMH392945:DMI392988 DCL392945:DCM392988 CSP392945:CSQ392988 CIT392945:CIU392988 BYX392945:BYY392988 BPB392945:BPC392988 BFF392945:BFG392988 AVJ392945:AVK392988 ALN392945:ALO392988 ABR392945:ABS392988 RV392945:RW392988 HZ392945:IA392988 WUL327409:WUM327452 WKP327409:WKQ327452 WAT327409:WAU327452 VQX327409:VQY327452 VHB327409:VHC327452 UXF327409:UXG327452 UNJ327409:UNK327452 UDN327409:UDO327452 TTR327409:TTS327452 TJV327409:TJW327452 SZZ327409:TAA327452 SQD327409:SQE327452 SGH327409:SGI327452 RWL327409:RWM327452 RMP327409:RMQ327452 RCT327409:RCU327452 QSX327409:QSY327452 QJB327409:QJC327452 PZF327409:PZG327452 PPJ327409:PPK327452 PFN327409:PFO327452 OVR327409:OVS327452 OLV327409:OLW327452 OBZ327409:OCA327452 NSD327409:NSE327452 NIH327409:NII327452 MYL327409:MYM327452 MOP327409:MOQ327452 MET327409:MEU327452 LUX327409:LUY327452 LLB327409:LLC327452 LBF327409:LBG327452 KRJ327409:KRK327452 KHN327409:KHO327452 JXR327409:JXS327452 JNV327409:JNW327452 JDZ327409:JEA327452 IUD327409:IUE327452 IKH327409:IKI327452 IAL327409:IAM327452 HQP327409:HQQ327452 HGT327409:HGU327452 GWX327409:GWY327452 GNB327409:GNC327452 GDF327409:GDG327452 FTJ327409:FTK327452 FJN327409:FJO327452 EZR327409:EZS327452 EPV327409:EPW327452 EFZ327409:EGA327452 DWD327409:DWE327452 DMH327409:DMI327452 DCL327409:DCM327452 CSP327409:CSQ327452 CIT327409:CIU327452 BYX327409:BYY327452 BPB327409:BPC327452 BFF327409:BFG327452 AVJ327409:AVK327452 ALN327409:ALO327452 ABR327409:ABS327452 RV327409:RW327452 HZ327409:IA327452 WUL261873:WUM261916 WKP261873:WKQ261916 WAT261873:WAU261916 VQX261873:VQY261916 VHB261873:VHC261916 UXF261873:UXG261916 UNJ261873:UNK261916 UDN261873:UDO261916 TTR261873:TTS261916 TJV261873:TJW261916 SZZ261873:TAA261916 SQD261873:SQE261916 SGH261873:SGI261916 RWL261873:RWM261916 RMP261873:RMQ261916 RCT261873:RCU261916 QSX261873:QSY261916 QJB261873:QJC261916 PZF261873:PZG261916 PPJ261873:PPK261916 PFN261873:PFO261916 OVR261873:OVS261916 OLV261873:OLW261916 OBZ261873:OCA261916 NSD261873:NSE261916 NIH261873:NII261916 MYL261873:MYM261916 MOP261873:MOQ261916 MET261873:MEU261916 LUX261873:LUY261916 LLB261873:LLC261916 LBF261873:LBG261916 KRJ261873:KRK261916 KHN261873:KHO261916 JXR261873:JXS261916 JNV261873:JNW261916 JDZ261873:JEA261916 IUD261873:IUE261916 IKH261873:IKI261916 IAL261873:IAM261916 HQP261873:HQQ261916 HGT261873:HGU261916 GWX261873:GWY261916 GNB261873:GNC261916 GDF261873:GDG261916 FTJ261873:FTK261916 FJN261873:FJO261916 EZR261873:EZS261916 EPV261873:EPW261916 EFZ261873:EGA261916 DWD261873:DWE261916 DMH261873:DMI261916 DCL261873:DCM261916 CSP261873:CSQ261916 CIT261873:CIU261916 BYX261873:BYY261916 BPB261873:BPC261916 BFF261873:BFG261916 AVJ261873:AVK261916 ALN261873:ALO261916 ABR261873:ABS261916 RV261873:RW261916 HZ261873:IA261916 WUL196337:WUM196380 WKP196337:WKQ196380 WAT196337:WAU196380 VQX196337:VQY196380 VHB196337:VHC196380 UXF196337:UXG196380 UNJ196337:UNK196380 UDN196337:UDO196380 TTR196337:TTS196380 TJV196337:TJW196380 SZZ196337:TAA196380 SQD196337:SQE196380 SGH196337:SGI196380 RWL196337:RWM196380 RMP196337:RMQ196380 RCT196337:RCU196380 QSX196337:QSY196380 QJB196337:QJC196380 PZF196337:PZG196380 PPJ196337:PPK196380 PFN196337:PFO196380 OVR196337:OVS196380 OLV196337:OLW196380 OBZ196337:OCA196380 NSD196337:NSE196380 NIH196337:NII196380 MYL196337:MYM196380 MOP196337:MOQ196380 MET196337:MEU196380 LUX196337:LUY196380 LLB196337:LLC196380 LBF196337:LBG196380 KRJ196337:KRK196380 KHN196337:KHO196380 JXR196337:JXS196380 JNV196337:JNW196380 JDZ196337:JEA196380 IUD196337:IUE196380 IKH196337:IKI196380 IAL196337:IAM196380 HQP196337:HQQ196380 HGT196337:HGU196380 GWX196337:GWY196380 GNB196337:GNC196380 GDF196337:GDG196380 FTJ196337:FTK196380 FJN196337:FJO196380 EZR196337:EZS196380 EPV196337:EPW196380 EFZ196337:EGA196380 DWD196337:DWE196380 DMH196337:DMI196380 DCL196337:DCM196380 CSP196337:CSQ196380 CIT196337:CIU196380 BYX196337:BYY196380 BPB196337:BPC196380 BFF196337:BFG196380 AVJ196337:AVK196380 ALN196337:ALO196380 ABR196337:ABS196380 RV196337:RW196380 HZ196337:IA196380 WUL130801:WUM130844 WKP130801:WKQ130844 WAT130801:WAU130844 VQX130801:VQY130844 VHB130801:VHC130844 UXF130801:UXG130844 UNJ130801:UNK130844 UDN130801:UDO130844 TTR130801:TTS130844 TJV130801:TJW130844 SZZ130801:TAA130844 SQD130801:SQE130844 SGH130801:SGI130844 RWL130801:RWM130844 RMP130801:RMQ130844 RCT130801:RCU130844 QSX130801:QSY130844 QJB130801:QJC130844 PZF130801:PZG130844 PPJ130801:PPK130844 PFN130801:PFO130844 OVR130801:OVS130844 OLV130801:OLW130844 OBZ130801:OCA130844 NSD130801:NSE130844 NIH130801:NII130844 MYL130801:MYM130844 MOP130801:MOQ130844 MET130801:MEU130844 LUX130801:LUY130844 LLB130801:LLC130844 LBF130801:LBG130844 KRJ130801:KRK130844 KHN130801:KHO130844 JXR130801:JXS130844 JNV130801:JNW130844 JDZ130801:JEA130844 IUD130801:IUE130844 IKH130801:IKI130844 IAL130801:IAM130844 HQP130801:HQQ130844 HGT130801:HGU130844 GWX130801:GWY130844 GNB130801:GNC130844 GDF130801:GDG130844 FTJ130801:FTK130844 FJN130801:FJO130844 EZR130801:EZS130844 EPV130801:EPW130844 EFZ130801:EGA130844 DWD130801:DWE130844 DMH130801:DMI130844 DCL130801:DCM130844 CSP130801:CSQ130844 CIT130801:CIU130844 BYX130801:BYY130844 BPB130801:BPC130844 BFF130801:BFG130844 AVJ130801:AVK130844 ALN130801:ALO130844 ABR130801:ABS130844 RV130801:RW130844 HZ130801:IA130844 WUL65265:WUM65308 WKP65265:WKQ65308 WAT65265:WAU65308 VQX65265:VQY65308 VHB65265:VHC65308 UXF65265:UXG65308 UNJ65265:UNK65308 UDN65265:UDO65308 TTR65265:TTS65308 TJV65265:TJW65308 SZZ65265:TAA65308 SQD65265:SQE65308 SGH65265:SGI65308 RWL65265:RWM65308 RMP65265:RMQ65308 RCT65265:RCU65308 QSX65265:QSY65308 QJB65265:QJC65308 PZF65265:PZG65308 PPJ65265:PPK65308 PFN65265:PFO65308 OVR65265:OVS65308 OLV65265:OLW65308 OBZ65265:OCA65308 NSD65265:NSE65308 NIH65265:NII65308 MYL65265:MYM65308 MOP65265:MOQ65308 MET65265:MEU65308 LUX65265:LUY65308 LLB65265:LLC65308 LBF65265:LBG65308 KRJ65265:KRK65308 KHN65265:KHO65308 JXR65265:JXS65308 JNV65265:JNW65308 JDZ65265:JEA65308 IUD65265:IUE65308 IKH65265:IKI65308 IAL65265:IAM65308 HQP65265:HQQ65308 HGT65265:HGU65308 GWX65265:GWY65308 GNB65265:GNC65308 GDF65265:GDG65308 FTJ65265:FTK65308 FJN65265:FJO65308 EZR65265:EZS65308 EPV65265:EPW65308 EFZ65265:EGA65308 DWD65265:DWE65308 DMH65265:DMI65308 DCL65265:DCM65308 CSP65265:CSQ65308 CIT65265:CIU65308 BYX65265:BYY65308 BPB65265:BPC65308 BFF65265:BFG65308 AVJ65265:AVK65308 ALN65265:ALO65308 ABR65265:ABS65308 RV65265:RW65308 HZ65265:IA65308 HZ17:IA34 WUL17:WUM34 WKP17:WKQ34 WAT17:WAU34 VQX17:VQY34 VHB17:VHC34 UXF17:UXG34 UNJ17:UNK34 UDN17:UDO34 TTR17:TTS34 TJV17:TJW34 SZZ17:TAA34 SQD17:SQE34 SGH17:SGI34 RWL17:RWM34 RMP17:RMQ34 RCT17:RCU34 QSX17:QSY34 QJB17:QJC34 PZF17:PZG34 PPJ17:PPK34 PFN17:PFO34 OVR17:OVS34 OLV17:OLW34 OBZ17:OCA34 NSD17:NSE34 NIH17:NII34 MYL17:MYM34 MOP17:MOQ34 MET17:MEU34 LUX17:LUY34 LLB17:LLC34 LBF17:LBG34 KRJ17:KRK34 KHN17:KHO34 JXR17:JXS34 JNV17:JNW34 JDZ17:JEA34 IUD17:IUE34 IKH17:IKI34 IAL17:IAM34 HQP17:HQQ34 HGT17:HGU34 GWX17:GWY34 GNB17:GNC34 GDF17:GDG34 FTJ17:FTK34 FJN17:FJO34 EZR17:EZS34 EPV17:EPW34 EFZ17:EGA34 DWD17:DWE34 DMH17:DMI34 DCL17:DCM34 CSP17:CSQ34 CIT17:CIU34 BYX17:BYY34 BPB17:BPC34 BFF17:BFG34 AVJ17:AVK34 ALN17:ALO34 ABR17:ABS34 RV17:RW34 HZ36:IA43 C65265:F65308 C130801:F130844 C196337:F196380 C261873:F261916 C327409:F327452 C392945:F392988 C458481:F458524 C524017:F524060 C589553:F589596 C655089:F655132 C720625:F720668 C786161:F786204 C851697:F851740 C917233:F917276 C982769:F982812" xr:uid="{00000000-0002-0000-0A00-000000000000}">
      <formula1>#REF!</formula1>
    </dataValidation>
    <dataValidation type="list" allowBlank="1" showDropDown="1" showInputMessage="1" showErrorMessage="1" sqref="IL65265:IL65308 SH65265:SH65308 ACD65265:ACD65308 ALZ65265:ALZ65308 AVV65265:AVV65308 BFR65265:BFR65308 BPN65265:BPN65308 BZJ65265:BZJ65308 CJF65265:CJF65308 CTB65265:CTB65308 DCX65265:DCX65308 DMT65265:DMT65308 DWP65265:DWP65308 EGL65265:EGL65308 EQH65265:EQH65308 FAD65265:FAD65308 FJZ65265:FJZ65308 FTV65265:FTV65308 GDR65265:GDR65308 GNN65265:GNN65308 GXJ65265:GXJ65308 HHF65265:HHF65308 HRB65265:HRB65308 IAX65265:IAX65308 IKT65265:IKT65308 IUP65265:IUP65308 JEL65265:JEL65308 JOH65265:JOH65308 JYD65265:JYD65308 KHZ65265:KHZ65308 KRV65265:KRV65308 LBR65265:LBR65308 LLN65265:LLN65308 LVJ65265:LVJ65308 MFF65265:MFF65308 MPB65265:MPB65308 MYX65265:MYX65308 NIT65265:NIT65308 NSP65265:NSP65308 OCL65265:OCL65308 OMH65265:OMH65308 OWD65265:OWD65308 PFZ65265:PFZ65308 PPV65265:PPV65308 PZR65265:PZR65308 QJN65265:QJN65308 QTJ65265:QTJ65308 RDF65265:RDF65308 RNB65265:RNB65308 RWX65265:RWX65308 SGT65265:SGT65308 SQP65265:SQP65308 TAL65265:TAL65308 TKH65265:TKH65308 TUD65265:TUD65308 UDZ65265:UDZ65308 UNV65265:UNV65308 UXR65265:UXR65308 VHN65265:VHN65308 VRJ65265:VRJ65308 WBF65265:WBF65308 WLB65265:WLB65308 WUX65265:WUX65308 IL130801:IL130844 SH130801:SH130844 ACD130801:ACD130844 ALZ130801:ALZ130844 AVV130801:AVV130844 BFR130801:BFR130844 BPN130801:BPN130844 BZJ130801:BZJ130844 CJF130801:CJF130844 CTB130801:CTB130844 DCX130801:DCX130844 DMT130801:DMT130844 DWP130801:DWP130844 EGL130801:EGL130844 EQH130801:EQH130844 FAD130801:FAD130844 FJZ130801:FJZ130844 FTV130801:FTV130844 GDR130801:GDR130844 GNN130801:GNN130844 GXJ130801:GXJ130844 HHF130801:HHF130844 HRB130801:HRB130844 IAX130801:IAX130844 IKT130801:IKT130844 IUP130801:IUP130844 JEL130801:JEL130844 JOH130801:JOH130844 JYD130801:JYD130844 KHZ130801:KHZ130844 KRV130801:KRV130844 LBR130801:LBR130844 LLN130801:LLN130844 LVJ130801:LVJ130844 MFF130801:MFF130844 MPB130801:MPB130844 MYX130801:MYX130844 NIT130801:NIT130844 NSP130801:NSP130844 OCL130801:OCL130844 OMH130801:OMH130844 OWD130801:OWD130844 PFZ130801:PFZ130844 PPV130801:PPV130844 PZR130801:PZR130844 QJN130801:QJN130844 QTJ130801:QTJ130844 RDF130801:RDF130844 RNB130801:RNB130844 RWX130801:RWX130844 SGT130801:SGT130844 SQP130801:SQP130844 TAL130801:TAL130844 TKH130801:TKH130844 TUD130801:TUD130844 UDZ130801:UDZ130844 UNV130801:UNV130844 UXR130801:UXR130844 VHN130801:VHN130844 VRJ130801:VRJ130844 WBF130801:WBF130844 WLB130801:WLB130844 WUX130801:WUX130844 IL196337:IL196380 SH196337:SH196380 ACD196337:ACD196380 ALZ196337:ALZ196380 AVV196337:AVV196380 BFR196337:BFR196380 BPN196337:BPN196380 BZJ196337:BZJ196380 CJF196337:CJF196380 CTB196337:CTB196380 DCX196337:DCX196380 DMT196337:DMT196380 DWP196337:DWP196380 EGL196337:EGL196380 EQH196337:EQH196380 FAD196337:FAD196380 FJZ196337:FJZ196380 FTV196337:FTV196380 GDR196337:GDR196380 GNN196337:GNN196380 GXJ196337:GXJ196380 HHF196337:HHF196380 HRB196337:HRB196380 IAX196337:IAX196380 IKT196337:IKT196380 IUP196337:IUP196380 JEL196337:JEL196380 JOH196337:JOH196380 JYD196337:JYD196380 KHZ196337:KHZ196380 KRV196337:KRV196380 LBR196337:LBR196380 LLN196337:LLN196380 LVJ196337:LVJ196380 MFF196337:MFF196380 MPB196337:MPB196380 MYX196337:MYX196380 NIT196337:NIT196380 NSP196337:NSP196380 OCL196337:OCL196380 OMH196337:OMH196380 OWD196337:OWD196380 PFZ196337:PFZ196380 PPV196337:PPV196380 PZR196337:PZR196380 QJN196337:QJN196380 QTJ196337:QTJ196380 RDF196337:RDF196380 RNB196337:RNB196380 RWX196337:RWX196380 SGT196337:SGT196380 SQP196337:SQP196380 TAL196337:TAL196380 TKH196337:TKH196380 TUD196337:TUD196380 UDZ196337:UDZ196380 UNV196337:UNV196380 UXR196337:UXR196380 VHN196337:VHN196380 VRJ196337:VRJ196380 WBF196337:WBF196380 WLB196337:WLB196380 WUX196337:WUX196380 IL261873:IL261916 SH261873:SH261916 ACD261873:ACD261916 ALZ261873:ALZ261916 AVV261873:AVV261916 BFR261873:BFR261916 BPN261873:BPN261916 BZJ261873:BZJ261916 CJF261873:CJF261916 CTB261873:CTB261916 DCX261873:DCX261916 DMT261873:DMT261916 DWP261873:DWP261916 EGL261873:EGL261916 EQH261873:EQH261916 FAD261873:FAD261916 FJZ261873:FJZ261916 FTV261873:FTV261916 GDR261873:GDR261916 GNN261873:GNN261916 GXJ261873:GXJ261916 HHF261873:HHF261916 HRB261873:HRB261916 IAX261873:IAX261916 IKT261873:IKT261916 IUP261873:IUP261916 JEL261873:JEL261916 JOH261873:JOH261916 JYD261873:JYD261916 KHZ261873:KHZ261916 KRV261873:KRV261916 LBR261873:LBR261916 LLN261873:LLN261916 LVJ261873:LVJ261916 MFF261873:MFF261916 MPB261873:MPB261916 MYX261873:MYX261916 NIT261873:NIT261916 NSP261873:NSP261916 OCL261873:OCL261916 OMH261873:OMH261916 OWD261873:OWD261916 PFZ261873:PFZ261916 PPV261873:PPV261916 PZR261873:PZR261916 QJN261873:QJN261916 QTJ261873:QTJ261916 RDF261873:RDF261916 RNB261873:RNB261916 RWX261873:RWX261916 SGT261873:SGT261916 SQP261873:SQP261916 TAL261873:TAL261916 TKH261873:TKH261916 TUD261873:TUD261916 UDZ261873:UDZ261916 UNV261873:UNV261916 UXR261873:UXR261916 VHN261873:VHN261916 VRJ261873:VRJ261916 WBF261873:WBF261916 WLB261873:WLB261916 WUX261873:WUX261916 IL327409:IL327452 SH327409:SH327452 ACD327409:ACD327452 ALZ327409:ALZ327452 AVV327409:AVV327452 BFR327409:BFR327452 BPN327409:BPN327452 BZJ327409:BZJ327452 CJF327409:CJF327452 CTB327409:CTB327452 DCX327409:DCX327452 DMT327409:DMT327452 DWP327409:DWP327452 EGL327409:EGL327452 EQH327409:EQH327452 FAD327409:FAD327452 FJZ327409:FJZ327452 FTV327409:FTV327452 GDR327409:GDR327452 GNN327409:GNN327452 GXJ327409:GXJ327452 HHF327409:HHF327452 HRB327409:HRB327452 IAX327409:IAX327452 IKT327409:IKT327452 IUP327409:IUP327452 JEL327409:JEL327452 JOH327409:JOH327452 JYD327409:JYD327452 KHZ327409:KHZ327452 KRV327409:KRV327452 LBR327409:LBR327452 LLN327409:LLN327452 LVJ327409:LVJ327452 MFF327409:MFF327452 MPB327409:MPB327452 MYX327409:MYX327452 NIT327409:NIT327452 NSP327409:NSP327452 OCL327409:OCL327452 OMH327409:OMH327452 OWD327409:OWD327452 PFZ327409:PFZ327452 PPV327409:PPV327452 PZR327409:PZR327452 QJN327409:QJN327452 QTJ327409:QTJ327452 RDF327409:RDF327452 RNB327409:RNB327452 RWX327409:RWX327452 SGT327409:SGT327452 SQP327409:SQP327452 TAL327409:TAL327452 TKH327409:TKH327452 TUD327409:TUD327452 UDZ327409:UDZ327452 UNV327409:UNV327452 UXR327409:UXR327452 VHN327409:VHN327452 VRJ327409:VRJ327452 WBF327409:WBF327452 WLB327409:WLB327452 WUX327409:WUX327452 IL392945:IL392988 SH392945:SH392988 ACD392945:ACD392988 ALZ392945:ALZ392988 AVV392945:AVV392988 BFR392945:BFR392988 BPN392945:BPN392988 BZJ392945:BZJ392988 CJF392945:CJF392988 CTB392945:CTB392988 DCX392945:DCX392988 DMT392945:DMT392988 DWP392945:DWP392988 EGL392945:EGL392988 EQH392945:EQH392988 FAD392945:FAD392988 FJZ392945:FJZ392988 FTV392945:FTV392988 GDR392945:GDR392988 GNN392945:GNN392988 GXJ392945:GXJ392988 HHF392945:HHF392988 HRB392945:HRB392988 IAX392945:IAX392988 IKT392945:IKT392988 IUP392945:IUP392988 JEL392945:JEL392988 JOH392945:JOH392988 JYD392945:JYD392988 KHZ392945:KHZ392988 KRV392945:KRV392988 LBR392945:LBR392988 LLN392945:LLN392988 LVJ392945:LVJ392988 MFF392945:MFF392988 MPB392945:MPB392988 MYX392945:MYX392988 NIT392945:NIT392988 NSP392945:NSP392988 OCL392945:OCL392988 OMH392945:OMH392988 OWD392945:OWD392988 PFZ392945:PFZ392988 PPV392945:PPV392988 PZR392945:PZR392988 QJN392945:QJN392988 QTJ392945:QTJ392988 RDF392945:RDF392988 RNB392945:RNB392988 RWX392945:RWX392988 SGT392945:SGT392988 SQP392945:SQP392988 TAL392945:TAL392988 TKH392945:TKH392988 TUD392945:TUD392988 UDZ392945:UDZ392988 UNV392945:UNV392988 UXR392945:UXR392988 VHN392945:VHN392988 VRJ392945:VRJ392988 WBF392945:WBF392988 WLB392945:WLB392988 WUX392945:WUX392988 IL458481:IL458524 SH458481:SH458524 ACD458481:ACD458524 ALZ458481:ALZ458524 AVV458481:AVV458524 BFR458481:BFR458524 BPN458481:BPN458524 BZJ458481:BZJ458524 CJF458481:CJF458524 CTB458481:CTB458524 DCX458481:DCX458524 DMT458481:DMT458524 DWP458481:DWP458524 EGL458481:EGL458524 EQH458481:EQH458524 FAD458481:FAD458524 FJZ458481:FJZ458524 FTV458481:FTV458524 GDR458481:GDR458524 GNN458481:GNN458524 GXJ458481:GXJ458524 HHF458481:HHF458524 HRB458481:HRB458524 IAX458481:IAX458524 IKT458481:IKT458524 IUP458481:IUP458524 JEL458481:JEL458524 JOH458481:JOH458524 JYD458481:JYD458524 KHZ458481:KHZ458524 KRV458481:KRV458524 LBR458481:LBR458524 LLN458481:LLN458524 LVJ458481:LVJ458524 MFF458481:MFF458524 MPB458481:MPB458524 MYX458481:MYX458524 NIT458481:NIT458524 NSP458481:NSP458524 OCL458481:OCL458524 OMH458481:OMH458524 OWD458481:OWD458524 PFZ458481:PFZ458524 PPV458481:PPV458524 PZR458481:PZR458524 QJN458481:QJN458524 QTJ458481:QTJ458524 RDF458481:RDF458524 RNB458481:RNB458524 RWX458481:RWX458524 SGT458481:SGT458524 SQP458481:SQP458524 TAL458481:TAL458524 TKH458481:TKH458524 TUD458481:TUD458524 UDZ458481:UDZ458524 UNV458481:UNV458524 UXR458481:UXR458524 VHN458481:VHN458524 VRJ458481:VRJ458524 WBF458481:WBF458524 WLB458481:WLB458524 WUX458481:WUX458524 IL524017:IL524060 SH524017:SH524060 ACD524017:ACD524060 ALZ524017:ALZ524060 AVV524017:AVV524060 BFR524017:BFR524060 BPN524017:BPN524060 BZJ524017:BZJ524060 CJF524017:CJF524060 CTB524017:CTB524060 DCX524017:DCX524060 DMT524017:DMT524060 DWP524017:DWP524060 EGL524017:EGL524060 EQH524017:EQH524060 FAD524017:FAD524060 FJZ524017:FJZ524060 FTV524017:FTV524060 GDR524017:GDR524060 GNN524017:GNN524060 GXJ524017:GXJ524060 HHF524017:HHF524060 HRB524017:HRB524060 IAX524017:IAX524060 IKT524017:IKT524060 IUP524017:IUP524060 JEL524017:JEL524060 JOH524017:JOH524060 JYD524017:JYD524060 KHZ524017:KHZ524060 KRV524017:KRV524060 LBR524017:LBR524060 LLN524017:LLN524060 LVJ524017:LVJ524060 MFF524017:MFF524060 MPB524017:MPB524060 MYX524017:MYX524060 NIT524017:NIT524060 NSP524017:NSP524060 OCL524017:OCL524060 OMH524017:OMH524060 OWD524017:OWD524060 PFZ524017:PFZ524060 PPV524017:PPV524060 PZR524017:PZR524060 QJN524017:QJN524060 QTJ524017:QTJ524060 RDF524017:RDF524060 RNB524017:RNB524060 RWX524017:RWX524060 SGT524017:SGT524060 SQP524017:SQP524060 TAL524017:TAL524060 TKH524017:TKH524060 TUD524017:TUD524060 UDZ524017:UDZ524060 UNV524017:UNV524060 UXR524017:UXR524060 VHN524017:VHN524060 VRJ524017:VRJ524060 WBF524017:WBF524060 WLB524017:WLB524060 WUX524017:WUX524060 IL589553:IL589596 SH589553:SH589596 ACD589553:ACD589596 ALZ589553:ALZ589596 AVV589553:AVV589596 BFR589553:BFR589596 BPN589553:BPN589596 BZJ589553:BZJ589596 CJF589553:CJF589596 CTB589553:CTB589596 DCX589553:DCX589596 DMT589553:DMT589596 DWP589553:DWP589596 EGL589553:EGL589596 EQH589553:EQH589596 FAD589553:FAD589596 FJZ589553:FJZ589596 FTV589553:FTV589596 GDR589553:GDR589596 GNN589553:GNN589596 GXJ589553:GXJ589596 HHF589553:HHF589596 HRB589553:HRB589596 IAX589553:IAX589596 IKT589553:IKT589596 IUP589553:IUP589596 JEL589553:JEL589596 JOH589553:JOH589596 JYD589553:JYD589596 KHZ589553:KHZ589596 KRV589553:KRV589596 LBR589553:LBR589596 LLN589553:LLN589596 LVJ589553:LVJ589596 MFF589553:MFF589596 MPB589553:MPB589596 MYX589553:MYX589596 NIT589553:NIT589596 NSP589553:NSP589596 OCL589553:OCL589596 OMH589553:OMH589596 OWD589553:OWD589596 PFZ589553:PFZ589596 PPV589553:PPV589596 PZR589553:PZR589596 QJN589553:QJN589596 QTJ589553:QTJ589596 RDF589553:RDF589596 RNB589553:RNB589596 RWX589553:RWX589596 SGT589553:SGT589596 SQP589553:SQP589596 TAL589553:TAL589596 TKH589553:TKH589596 TUD589553:TUD589596 UDZ589553:UDZ589596 UNV589553:UNV589596 UXR589553:UXR589596 VHN589553:VHN589596 VRJ589553:VRJ589596 WBF589553:WBF589596 WLB589553:WLB589596 WUX589553:WUX589596 IL655089:IL655132 SH655089:SH655132 ACD655089:ACD655132 ALZ655089:ALZ655132 AVV655089:AVV655132 BFR655089:BFR655132 BPN655089:BPN655132 BZJ655089:BZJ655132 CJF655089:CJF655132 CTB655089:CTB655132 DCX655089:DCX655132 DMT655089:DMT655132 DWP655089:DWP655132 EGL655089:EGL655132 EQH655089:EQH655132 FAD655089:FAD655132 FJZ655089:FJZ655132 FTV655089:FTV655132 GDR655089:GDR655132 GNN655089:GNN655132 GXJ655089:GXJ655132 HHF655089:HHF655132 HRB655089:HRB655132 IAX655089:IAX655132 IKT655089:IKT655132 IUP655089:IUP655132 JEL655089:JEL655132 JOH655089:JOH655132 JYD655089:JYD655132 KHZ655089:KHZ655132 KRV655089:KRV655132 LBR655089:LBR655132 LLN655089:LLN655132 LVJ655089:LVJ655132 MFF655089:MFF655132 MPB655089:MPB655132 MYX655089:MYX655132 NIT655089:NIT655132 NSP655089:NSP655132 OCL655089:OCL655132 OMH655089:OMH655132 OWD655089:OWD655132 PFZ655089:PFZ655132 PPV655089:PPV655132 PZR655089:PZR655132 QJN655089:QJN655132 QTJ655089:QTJ655132 RDF655089:RDF655132 RNB655089:RNB655132 RWX655089:RWX655132 SGT655089:SGT655132 SQP655089:SQP655132 TAL655089:TAL655132 TKH655089:TKH655132 TUD655089:TUD655132 UDZ655089:UDZ655132 UNV655089:UNV655132 UXR655089:UXR655132 VHN655089:VHN655132 VRJ655089:VRJ655132 WBF655089:WBF655132 WLB655089:WLB655132 WUX655089:WUX655132 IL720625:IL720668 SH720625:SH720668 ACD720625:ACD720668 ALZ720625:ALZ720668 AVV720625:AVV720668 BFR720625:BFR720668 BPN720625:BPN720668 BZJ720625:BZJ720668 CJF720625:CJF720668 CTB720625:CTB720668 DCX720625:DCX720668 DMT720625:DMT720668 DWP720625:DWP720668 EGL720625:EGL720668 EQH720625:EQH720668 FAD720625:FAD720668 FJZ720625:FJZ720668 FTV720625:FTV720668 GDR720625:GDR720668 GNN720625:GNN720668 GXJ720625:GXJ720668 HHF720625:HHF720668 HRB720625:HRB720668 IAX720625:IAX720668 IKT720625:IKT720668 IUP720625:IUP720668 JEL720625:JEL720668 JOH720625:JOH720668 JYD720625:JYD720668 KHZ720625:KHZ720668 KRV720625:KRV720668 LBR720625:LBR720668 LLN720625:LLN720668 LVJ720625:LVJ720668 MFF720625:MFF720668 MPB720625:MPB720668 MYX720625:MYX720668 NIT720625:NIT720668 NSP720625:NSP720668 OCL720625:OCL720668 OMH720625:OMH720668 OWD720625:OWD720668 PFZ720625:PFZ720668 PPV720625:PPV720668 PZR720625:PZR720668 QJN720625:QJN720668 QTJ720625:QTJ720668 RDF720625:RDF720668 RNB720625:RNB720668 RWX720625:RWX720668 SGT720625:SGT720668 SQP720625:SQP720668 TAL720625:TAL720668 TKH720625:TKH720668 TUD720625:TUD720668 UDZ720625:UDZ720668 UNV720625:UNV720668 UXR720625:UXR720668 VHN720625:VHN720668 VRJ720625:VRJ720668 WBF720625:WBF720668 WLB720625:WLB720668 WUX720625:WUX720668 IL786161:IL786204 SH786161:SH786204 ACD786161:ACD786204 ALZ786161:ALZ786204 AVV786161:AVV786204 BFR786161:BFR786204 BPN786161:BPN786204 BZJ786161:BZJ786204 CJF786161:CJF786204 CTB786161:CTB786204 DCX786161:DCX786204 DMT786161:DMT786204 DWP786161:DWP786204 EGL786161:EGL786204 EQH786161:EQH786204 FAD786161:FAD786204 FJZ786161:FJZ786204 FTV786161:FTV786204 GDR786161:GDR786204 GNN786161:GNN786204 GXJ786161:GXJ786204 HHF786161:HHF786204 HRB786161:HRB786204 IAX786161:IAX786204 IKT786161:IKT786204 IUP786161:IUP786204 JEL786161:JEL786204 JOH786161:JOH786204 JYD786161:JYD786204 KHZ786161:KHZ786204 KRV786161:KRV786204 LBR786161:LBR786204 LLN786161:LLN786204 LVJ786161:LVJ786204 MFF786161:MFF786204 MPB786161:MPB786204 MYX786161:MYX786204 NIT786161:NIT786204 NSP786161:NSP786204 OCL786161:OCL786204 OMH786161:OMH786204 OWD786161:OWD786204 PFZ786161:PFZ786204 PPV786161:PPV786204 PZR786161:PZR786204 QJN786161:QJN786204 QTJ786161:QTJ786204 RDF786161:RDF786204 RNB786161:RNB786204 RWX786161:RWX786204 SGT786161:SGT786204 SQP786161:SQP786204 TAL786161:TAL786204 TKH786161:TKH786204 TUD786161:TUD786204 UDZ786161:UDZ786204 UNV786161:UNV786204 UXR786161:UXR786204 VHN786161:VHN786204 VRJ786161:VRJ786204 WBF786161:WBF786204 WLB786161:WLB786204 WUX786161:WUX786204 IL851697:IL851740 SH851697:SH851740 ACD851697:ACD851740 ALZ851697:ALZ851740 AVV851697:AVV851740 BFR851697:BFR851740 BPN851697:BPN851740 BZJ851697:BZJ851740 CJF851697:CJF851740 CTB851697:CTB851740 DCX851697:DCX851740 DMT851697:DMT851740 DWP851697:DWP851740 EGL851697:EGL851740 EQH851697:EQH851740 FAD851697:FAD851740 FJZ851697:FJZ851740 FTV851697:FTV851740 GDR851697:GDR851740 GNN851697:GNN851740 GXJ851697:GXJ851740 HHF851697:HHF851740 HRB851697:HRB851740 IAX851697:IAX851740 IKT851697:IKT851740 IUP851697:IUP851740 JEL851697:JEL851740 JOH851697:JOH851740 JYD851697:JYD851740 KHZ851697:KHZ851740 KRV851697:KRV851740 LBR851697:LBR851740 LLN851697:LLN851740 LVJ851697:LVJ851740 MFF851697:MFF851740 MPB851697:MPB851740 MYX851697:MYX851740 NIT851697:NIT851740 NSP851697:NSP851740 OCL851697:OCL851740 OMH851697:OMH851740 OWD851697:OWD851740 PFZ851697:PFZ851740 PPV851697:PPV851740 PZR851697:PZR851740 QJN851697:QJN851740 QTJ851697:QTJ851740 RDF851697:RDF851740 RNB851697:RNB851740 RWX851697:RWX851740 SGT851697:SGT851740 SQP851697:SQP851740 TAL851697:TAL851740 TKH851697:TKH851740 TUD851697:TUD851740 UDZ851697:UDZ851740 UNV851697:UNV851740 UXR851697:UXR851740 VHN851697:VHN851740 VRJ851697:VRJ851740 WBF851697:WBF851740 WLB851697:WLB851740 WUX851697:WUX851740 IL917233:IL917276 SH917233:SH917276 ACD917233:ACD917276 ALZ917233:ALZ917276 AVV917233:AVV917276 BFR917233:BFR917276 BPN917233:BPN917276 BZJ917233:BZJ917276 CJF917233:CJF917276 CTB917233:CTB917276 DCX917233:DCX917276 DMT917233:DMT917276 DWP917233:DWP917276 EGL917233:EGL917276 EQH917233:EQH917276 FAD917233:FAD917276 FJZ917233:FJZ917276 FTV917233:FTV917276 GDR917233:GDR917276 GNN917233:GNN917276 GXJ917233:GXJ917276 HHF917233:HHF917276 HRB917233:HRB917276 IAX917233:IAX917276 IKT917233:IKT917276 IUP917233:IUP917276 JEL917233:JEL917276 JOH917233:JOH917276 JYD917233:JYD917276 KHZ917233:KHZ917276 KRV917233:KRV917276 LBR917233:LBR917276 LLN917233:LLN917276 LVJ917233:LVJ917276 MFF917233:MFF917276 MPB917233:MPB917276 MYX917233:MYX917276 NIT917233:NIT917276 NSP917233:NSP917276 OCL917233:OCL917276 OMH917233:OMH917276 OWD917233:OWD917276 PFZ917233:PFZ917276 PPV917233:PPV917276 PZR917233:PZR917276 QJN917233:QJN917276 QTJ917233:QTJ917276 RDF917233:RDF917276 RNB917233:RNB917276 RWX917233:RWX917276 SGT917233:SGT917276 SQP917233:SQP917276 TAL917233:TAL917276 TKH917233:TKH917276 TUD917233:TUD917276 UDZ917233:UDZ917276 UNV917233:UNV917276 UXR917233:UXR917276 VHN917233:VHN917276 VRJ917233:VRJ917276 WBF917233:WBF917276 WLB917233:WLB917276 WUX917233:WUX917276 IL982769:IL982812 SH982769:SH982812 ACD982769:ACD982812 ALZ982769:ALZ982812 AVV982769:AVV982812 BFR982769:BFR982812 BPN982769:BPN982812 BZJ982769:BZJ982812 CJF982769:CJF982812 CTB982769:CTB982812 DCX982769:DCX982812 DMT982769:DMT982812 DWP982769:DWP982812 EGL982769:EGL982812 EQH982769:EQH982812 FAD982769:FAD982812 FJZ982769:FJZ982812 FTV982769:FTV982812 GDR982769:GDR982812 GNN982769:GNN982812 GXJ982769:GXJ982812 HHF982769:HHF982812 HRB982769:HRB982812 IAX982769:IAX982812 IKT982769:IKT982812 IUP982769:IUP982812 JEL982769:JEL982812 JOH982769:JOH982812 JYD982769:JYD982812 KHZ982769:KHZ982812 KRV982769:KRV982812 LBR982769:LBR982812 LLN982769:LLN982812 LVJ982769:LVJ982812 MFF982769:MFF982812 MPB982769:MPB982812 MYX982769:MYX982812 NIT982769:NIT982812 NSP982769:NSP982812 OCL982769:OCL982812 OMH982769:OMH982812 OWD982769:OWD982812 PFZ982769:PFZ982812 PPV982769:PPV982812 PZR982769:PZR982812 QJN982769:QJN982812 QTJ982769:QTJ982812 RDF982769:RDF982812 RNB982769:RNB982812 RWX982769:RWX982812 SGT982769:SGT982812 SQP982769:SQP982812 TAL982769:TAL982812 TKH982769:TKH982812 TUD982769:TUD982812 UDZ982769:UDZ982812 UNV982769:UNV982812 UXR982769:UXR982812 VHN982769:VHN982812 VRJ982769:VRJ982812 WBF982769:WBF982812 WLB982769:WLB982812 WUX982769:WUX982812 WUX10:WUX15 WLB10:WLB15 WBF10:WBF15 VRJ10:VRJ15 VHN10:VHN15 UXR10:UXR15 UNV10:UNV15 UDZ10:UDZ15 TUD10:TUD15 TKH10:TKH15 TAL10:TAL15 SQP10:SQP15 SGT10:SGT15 RWX10:RWX15 RNB10:RNB15 RDF10:RDF15 QTJ10:QTJ15 QJN10:QJN15 PZR10:PZR15 PPV10:PPV15 PFZ10:PFZ15 OWD10:OWD15 OMH10:OMH15 OCL10:OCL15 NSP10:NSP15 NIT10:NIT15 MYX10:MYX15 MPB10:MPB15 MFF10:MFF15 LVJ10:LVJ15 LLN10:LLN15 LBR10:LBR15 KRV10:KRV15 KHZ10:KHZ15 JYD10:JYD15 JOH10:JOH15 JEL10:JEL15 IUP10:IUP15 IKT10:IKT15 IAX10:IAX15 HRB10:HRB15 HHF10:HHF15 GXJ10:GXJ15 GNN10:GNN15 GDR10:GDR15 FTV10:FTV15 FJZ10:FJZ15 FAD10:FAD15 EQH10:EQH15 EGL10:EGL15 DWP10:DWP15 DMT10:DMT15 DCX10:DCX15 CTB10:CTB15 CJF10:CJF15 BZJ10:BZJ15 BPN10:BPN15 BFR10:BFR15 AVV10:AVV15 ALZ10:ALZ15 ACD10:ACD15 SH10:SH15 IL10:IL15 IL17:IL34 WUX17:WUX34 WLB17:WLB34 WBF17:WBF34 VRJ17:VRJ34 VHN17:VHN34 UXR17:UXR34 UNV17:UNV34 UDZ17:UDZ34 TUD17:TUD34 TKH17:TKH34 TAL17:TAL34 SQP17:SQP34 SGT17:SGT34 RWX17:RWX34 RNB17:RNB34 RDF17:RDF34 QTJ17:QTJ34 QJN17:QJN34 PZR17:PZR34 PPV17:PPV34 PFZ17:PFZ34 OWD17:OWD34 OMH17:OMH34 OCL17:OCL34 NSP17:NSP34 NIT17:NIT34 MYX17:MYX34 MPB17:MPB34 MFF17:MFF34 LVJ17:LVJ34 LLN17:LLN34 LBR17:LBR34 KRV17:KRV34 KHZ17:KHZ34 JYD17:JYD34 JOH17:JOH34 JEL17:JEL34 IUP17:IUP34 IKT17:IKT34 IAX17:IAX34 HRB17:HRB34 HHF17:HHF34 GXJ17:GXJ34 GNN17:GNN34 GDR17:GDR34 FTV17:FTV34 FJZ17:FJZ34 FAD17:FAD34 EQH17:EQH34 EGL17:EGL34 DWP17:DWP34 DMT17:DMT34 DCX17:DCX34 CTB17:CTB34 CJF17:CJF34 BZJ17:BZJ34 BPN17:BPN34 BFR17:BFR34 AVV17:AVV34 ALZ17:ALZ34 ACD17:ACD34 SH17:SH34 BFR36:BFR43 BPN36:BPN43 BZJ36:BZJ43 CJF36:CJF43 CTB36:CTB43 DCX36:DCX43 DMT36:DMT43 DWP36:DWP43 EGL36:EGL43 EQH36:EQH43 FAD36:FAD43 FJZ36:FJZ43 FTV36:FTV43 GDR36:GDR43 GNN36:GNN43 GXJ36:GXJ43 HHF36:HHF43 HRB36:HRB43 IAX36:IAX43 IKT36:IKT43 IUP36:IUP43 JEL36:JEL43 JOH36:JOH43 JYD36:JYD43 KHZ36:KHZ43 KRV36:KRV43 LBR36:LBR43 LLN36:LLN43 LVJ36:LVJ43 MFF36:MFF43 MPB36:MPB43 MYX36:MYX43 NIT36:NIT43 NSP36:NSP43 OCL36:OCL43 OMH36:OMH43 OWD36:OWD43 PFZ36:PFZ43 PPV36:PPV43 PZR36:PZR43 QJN36:QJN43 QTJ36:QTJ43 RDF36:RDF43 RNB36:RNB43 RWX36:RWX43 SGT36:SGT43 SQP36:SQP43 TAL36:TAL43 TKH36:TKH43 TUD36:TUD43 UDZ36:UDZ43 UNV36:UNV43 UXR36:UXR43 VHN36:VHN43 VRJ36:VRJ43 WBF36:WBF43 WLB36:WLB43 WUX36:WUX43 IL36:IL43 SH36:SH43 ACD36:ACD43 ALZ36:ALZ43 AVV36:AVV43" xr:uid="{00000000-0002-0000-0A00-000001000000}">
      <formula1>#REF!</formula1>
    </dataValidation>
    <dataValidation type="list" allowBlank="1" showInputMessage="1" showErrorMessage="1" sqref="WKS982769:WKS982812 WAW982769:WAW982812 VRA982769:VRA982812 VHE982769:VHE982812 UXI982769:UXI982812 UNM982769:UNM982812 UDQ982769:UDQ982812 TTU982769:TTU982812 TJY982769:TJY982812 TAC982769:TAC982812 SQG982769:SQG982812 SGK982769:SGK982812 RWO982769:RWO982812 RMS982769:RMS982812 RCW982769:RCW982812 QTA982769:QTA982812 QJE982769:QJE982812 PZI982769:PZI982812 PPM982769:PPM982812 PFQ982769:PFQ982812 OVU982769:OVU982812 OLY982769:OLY982812 OCC982769:OCC982812 NSG982769:NSG982812 NIK982769:NIK982812 MYO982769:MYO982812 MOS982769:MOS982812 MEW982769:MEW982812 LVA982769:LVA982812 LLE982769:LLE982812 LBI982769:LBI982812 KRM982769:KRM982812 KHQ982769:KHQ982812 JXU982769:JXU982812 JNY982769:JNY982812 JEC982769:JEC982812 IUG982769:IUG982812 IKK982769:IKK982812 IAO982769:IAO982812 HQS982769:HQS982812 HGW982769:HGW982812 GXA982769:GXA982812 GNE982769:GNE982812 GDI982769:GDI982812 FTM982769:FTM982812 FJQ982769:FJQ982812 EZU982769:EZU982812 EPY982769:EPY982812 EGC982769:EGC982812 DWG982769:DWG982812 DMK982769:DMK982812 DCO982769:DCO982812 CSS982769:CSS982812 CIW982769:CIW982812 BZA982769:BZA982812 BPE982769:BPE982812 BFI982769:BFI982812 AVM982769:AVM982812 ALQ982769:ALQ982812 ABU982769:ABU982812 RY982769:RY982812 IC982769:IC982812 WUO917233:WUO917276 WKS917233:WKS917276 WAW917233:WAW917276 VRA917233:VRA917276 VHE917233:VHE917276 UXI917233:UXI917276 UNM917233:UNM917276 UDQ917233:UDQ917276 TTU917233:TTU917276 TJY917233:TJY917276 TAC917233:TAC917276 SQG917233:SQG917276 SGK917233:SGK917276 RWO917233:RWO917276 RMS917233:RMS917276 RCW917233:RCW917276 QTA917233:QTA917276 QJE917233:QJE917276 PZI917233:PZI917276 PPM917233:PPM917276 PFQ917233:PFQ917276 OVU917233:OVU917276 OLY917233:OLY917276 OCC917233:OCC917276 NSG917233:NSG917276 NIK917233:NIK917276 MYO917233:MYO917276 MOS917233:MOS917276 MEW917233:MEW917276 LVA917233:LVA917276 LLE917233:LLE917276 LBI917233:LBI917276 KRM917233:KRM917276 KHQ917233:KHQ917276 JXU917233:JXU917276 JNY917233:JNY917276 JEC917233:JEC917276 IUG917233:IUG917276 IKK917233:IKK917276 IAO917233:IAO917276 HQS917233:HQS917276 HGW917233:HGW917276 GXA917233:GXA917276 GNE917233:GNE917276 GDI917233:GDI917276 FTM917233:FTM917276 FJQ917233:FJQ917276 EZU917233:EZU917276 EPY917233:EPY917276 EGC917233:EGC917276 DWG917233:DWG917276 DMK917233:DMK917276 DCO917233:DCO917276 CSS917233:CSS917276 CIW917233:CIW917276 BZA917233:BZA917276 BPE917233:BPE917276 BFI917233:BFI917276 AVM917233:AVM917276 ALQ917233:ALQ917276 ABU917233:ABU917276 RY917233:RY917276 IC917233:IC917276 WUO851697:WUO851740 WKS851697:WKS851740 WAW851697:WAW851740 VRA851697:VRA851740 VHE851697:VHE851740 UXI851697:UXI851740 UNM851697:UNM851740 UDQ851697:UDQ851740 TTU851697:TTU851740 TJY851697:TJY851740 TAC851697:TAC851740 SQG851697:SQG851740 SGK851697:SGK851740 RWO851697:RWO851740 RMS851697:RMS851740 RCW851697:RCW851740 QTA851697:QTA851740 QJE851697:QJE851740 PZI851697:PZI851740 PPM851697:PPM851740 PFQ851697:PFQ851740 OVU851697:OVU851740 OLY851697:OLY851740 OCC851697:OCC851740 NSG851697:NSG851740 NIK851697:NIK851740 MYO851697:MYO851740 MOS851697:MOS851740 MEW851697:MEW851740 LVA851697:LVA851740 LLE851697:LLE851740 LBI851697:LBI851740 KRM851697:KRM851740 KHQ851697:KHQ851740 JXU851697:JXU851740 JNY851697:JNY851740 JEC851697:JEC851740 IUG851697:IUG851740 IKK851697:IKK851740 IAO851697:IAO851740 HQS851697:HQS851740 HGW851697:HGW851740 GXA851697:GXA851740 GNE851697:GNE851740 GDI851697:GDI851740 FTM851697:FTM851740 FJQ851697:FJQ851740 EZU851697:EZU851740 EPY851697:EPY851740 EGC851697:EGC851740 DWG851697:DWG851740 DMK851697:DMK851740 DCO851697:DCO851740 CSS851697:CSS851740 CIW851697:CIW851740 BZA851697:BZA851740 BPE851697:BPE851740 BFI851697:BFI851740 AVM851697:AVM851740 ALQ851697:ALQ851740 ABU851697:ABU851740 RY851697:RY851740 IC851697:IC851740 WUO786161:WUO786204 WKS786161:WKS786204 WAW786161:WAW786204 VRA786161:VRA786204 VHE786161:VHE786204 UXI786161:UXI786204 UNM786161:UNM786204 UDQ786161:UDQ786204 TTU786161:TTU786204 TJY786161:TJY786204 TAC786161:TAC786204 SQG786161:SQG786204 SGK786161:SGK786204 RWO786161:RWO786204 RMS786161:RMS786204 RCW786161:RCW786204 QTA786161:QTA786204 QJE786161:QJE786204 PZI786161:PZI786204 PPM786161:PPM786204 PFQ786161:PFQ786204 OVU786161:OVU786204 OLY786161:OLY786204 OCC786161:OCC786204 NSG786161:NSG786204 NIK786161:NIK786204 MYO786161:MYO786204 MOS786161:MOS786204 MEW786161:MEW786204 LVA786161:LVA786204 LLE786161:LLE786204 LBI786161:LBI786204 KRM786161:KRM786204 KHQ786161:KHQ786204 JXU786161:JXU786204 JNY786161:JNY786204 JEC786161:JEC786204 IUG786161:IUG786204 IKK786161:IKK786204 IAO786161:IAO786204 HQS786161:HQS786204 HGW786161:HGW786204 GXA786161:GXA786204 GNE786161:GNE786204 GDI786161:GDI786204 FTM786161:FTM786204 FJQ786161:FJQ786204 EZU786161:EZU786204 EPY786161:EPY786204 EGC786161:EGC786204 DWG786161:DWG786204 DMK786161:DMK786204 DCO786161:DCO786204 CSS786161:CSS786204 CIW786161:CIW786204 BZA786161:BZA786204 BPE786161:BPE786204 BFI786161:BFI786204 AVM786161:AVM786204 ALQ786161:ALQ786204 ABU786161:ABU786204 RY786161:RY786204 IC786161:IC786204 WUO720625:WUO720668 WKS720625:WKS720668 WAW720625:WAW720668 VRA720625:VRA720668 VHE720625:VHE720668 UXI720625:UXI720668 UNM720625:UNM720668 UDQ720625:UDQ720668 TTU720625:TTU720668 TJY720625:TJY720668 TAC720625:TAC720668 SQG720625:SQG720668 SGK720625:SGK720668 RWO720625:RWO720668 RMS720625:RMS720668 RCW720625:RCW720668 QTA720625:QTA720668 QJE720625:QJE720668 PZI720625:PZI720668 PPM720625:PPM720668 PFQ720625:PFQ720668 OVU720625:OVU720668 OLY720625:OLY720668 OCC720625:OCC720668 NSG720625:NSG720668 NIK720625:NIK720668 MYO720625:MYO720668 MOS720625:MOS720668 MEW720625:MEW720668 LVA720625:LVA720668 LLE720625:LLE720668 LBI720625:LBI720668 KRM720625:KRM720668 KHQ720625:KHQ720668 JXU720625:JXU720668 JNY720625:JNY720668 JEC720625:JEC720668 IUG720625:IUG720668 IKK720625:IKK720668 IAO720625:IAO720668 HQS720625:HQS720668 HGW720625:HGW720668 GXA720625:GXA720668 GNE720625:GNE720668 GDI720625:GDI720668 FTM720625:FTM720668 FJQ720625:FJQ720668 EZU720625:EZU720668 EPY720625:EPY720668 EGC720625:EGC720668 DWG720625:DWG720668 DMK720625:DMK720668 DCO720625:DCO720668 CSS720625:CSS720668 CIW720625:CIW720668 BZA720625:BZA720668 BPE720625:BPE720668 BFI720625:BFI720668 AVM720625:AVM720668 ALQ720625:ALQ720668 ABU720625:ABU720668 RY720625:RY720668 IC720625:IC720668 WUO655089:WUO655132 WKS655089:WKS655132 WAW655089:WAW655132 VRA655089:VRA655132 VHE655089:VHE655132 UXI655089:UXI655132 UNM655089:UNM655132 UDQ655089:UDQ655132 TTU655089:TTU655132 TJY655089:TJY655132 TAC655089:TAC655132 SQG655089:SQG655132 SGK655089:SGK655132 RWO655089:RWO655132 RMS655089:RMS655132 RCW655089:RCW655132 QTA655089:QTA655132 QJE655089:QJE655132 PZI655089:PZI655132 PPM655089:PPM655132 PFQ655089:PFQ655132 OVU655089:OVU655132 OLY655089:OLY655132 OCC655089:OCC655132 NSG655089:NSG655132 NIK655089:NIK655132 MYO655089:MYO655132 MOS655089:MOS655132 MEW655089:MEW655132 LVA655089:LVA655132 LLE655089:LLE655132 LBI655089:LBI655132 KRM655089:KRM655132 KHQ655089:KHQ655132 JXU655089:JXU655132 JNY655089:JNY655132 JEC655089:JEC655132 IUG655089:IUG655132 IKK655089:IKK655132 IAO655089:IAO655132 HQS655089:HQS655132 HGW655089:HGW655132 GXA655089:GXA655132 GNE655089:GNE655132 GDI655089:GDI655132 FTM655089:FTM655132 FJQ655089:FJQ655132 EZU655089:EZU655132 EPY655089:EPY655132 EGC655089:EGC655132 DWG655089:DWG655132 DMK655089:DMK655132 DCO655089:DCO655132 CSS655089:CSS655132 CIW655089:CIW655132 BZA655089:BZA655132 BPE655089:BPE655132 BFI655089:BFI655132 AVM655089:AVM655132 ALQ655089:ALQ655132 ABU655089:ABU655132 RY655089:RY655132 IC655089:IC655132 WUO589553:WUO589596 WKS589553:WKS589596 WAW589553:WAW589596 VRA589553:VRA589596 VHE589553:VHE589596 UXI589553:UXI589596 UNM589553:UNM589596 UDQ589553:UDQ589596 TTU589553:TTU589596 TJY589553:TJY589596 TAC589553:TAC589596 SQG589553:SQG589596 SGK589553:SGK589596 RWO589553:RWO589596 RMS589553:RMS589596 RCW589553:RCW589596 QTA589553:QTA589596 QJE589553:QJE589596 PZI589553:PZI589596 PPM589553:PPM589596 PFQ589553:PFQ589596 OVU589553:OVU589596 OLY589553:OLY589596 OCC589553:OCC589596 NSG589553:NSG589596 NIK589553:NIK589596 MYO589553:MYO589596 MOS589553:MOS589596 MEW589553:MEW589596 LVA589553:LVA589596 LLE589553:LLE589596 LBI589553:LBI589596 KRM589553:KRM589596 KHQ589553:KHQ589596 JXU589553:JXU589596 JNY589553:JNY589596 JEC589553:JEC589596 IUG589553:IUG589596 IKK589553:IKK589596 IAO589553:IAO589596 HQS589553:HQS589596 HGW589553:HGW589596 GXA589553:GXA589596 GNE589553:GNE589596 GDI589553:GDI589596 FTM589553:FTM589596 FJQ589553:FJQ589596 EZU589553:EZU589596 EPY589553:EPY589596 EGC589553:EGC589596 DWG589553:DWG589596 DMK589553:DMK589596 DCO589553:DCO589596 CSS589553:CSS589596 CIW589553:CIW589596 BZA589553:BZA589596 BPE589553:BPE589596 BFI589553:BFI589596 AVM589553:AVM589596 ALQ589553:ALQ589596 ABU589553:ABU589596 RY589553:RY589596 IC589553:IC589596 WUO524017:WUO524060 WKS524017:WKS524060 WAW524017:WAW524060 VRA524017:VRA524060 VHE524017:VHE524060 UXI524017:UXI524060 UNM524017:UNM524060 UDQ524017:UDQ524060 TTU524017:TTU524060 TJY524017:TJY524060 TAC524017:TAC524060 SQG524017:SQG524060 SGK524017:SGK524060 RWO524017:RWO524060 RMS524017:RMS524060 RCW524017:RCW524060 QTA524017:QTA524060 QJE524017:QJE524060 PZI524017:PZI524060 PPM524017:PPM524060 PFQ524017:PFQ524060 OVU524017:OVU524060 OLY524017:OLY524060 OCC524017:OCC524060 NSG524017:NSG524060 NIK524017:NIK524060 MYO524017:MYO524060 MOS524017:MOS524060 MEW524017:MEW524060 LVA524017:LVA524060 LLE524017:LLE524060 LBI524017:LBI524060 KRM524017:KRM524060 KHQ524017:KHQ524060 JXU524017:JXU524060 JNY524017:JNY524060 JEC524017:JEC524060 IUG524017:IUG524060 IKK524017:IKK524060 IAO524017:IAO524060 HQS524017:HQS524060 HGW524017:HGW524060 GXA524017:GXA524060 GNE524017:GNE524060 GDI524017:GDI524060 FTM524017:FTM524060 FJQ524017:FJQ524060 EZU524017:EZU524060 EPY524017:EPY524060 EGC524017:EGC524060 DWG524017:DWG524060 DMK524017:DMK524060 DCO524017:DCO524060 CSS524017:CSS524060 CIW524017:CIW524060 BZA524017:BZA524060 BPE524017:BPE524060 BFI524017:BFI524060 AVM524017:AVM524060 ALQ524017:ALQ524060 ABU524017:ABU524060 RY524017:RY524060 IC524017:IC524060 WUO458481:WUO458524 WKS458481:WKS458524 WAW458481:WAW458524 VRA458481:VRA458524 VHE458481:VHE458524 UXI458481:UXI458524 UNM458481:UNM458524 UDQ458481:UDQ458524 TTU458481:TTU458524 TJY458481:TJY458524 TAC458481:TAC458524 SQG458481:SQG458524 SGK458481:SGK458524 RWO458481:RWO458524 RMS458481:RMS458524 RCW458481:RCW458524 QTA458481:QTA458524 QJE458481:QJE458524 PZI458481:PZI458524 PPM458481:PPM458524 PFQ458481:PFQ458524 OVU458481:OVU458524 OLY458481:OLY458524 OCC458481:OCC458524 NSG458481:NSG458524 NIK458481:NIK458524 MYO458481:MYO458524 MOS458481:MOS458524 MEW458481:MEW458524 LVA458481:LVA458524 LLE458481:LLE458524 LBI458481:LBI458524 KRM458481:KRM458524 KHQ458481:KHQ458524 JXU458481:JXU458524 JNY458481:JNY458524 JEC458481:JEC458524 IUG458481:IUG458524 IKK458481:IKK458524 IAO458481:IAO458524 HQS458481:HQS458524 HGW458481:HGW458524 GXA458481:GXA458524 GNE458481:GNE458524 GDI458481:GDI458524 FTM458481:FTM458524 FJQ458481:FJQ458524 EZU458481:EZU458524 EPY458481:EPY458524 EGC458481:EGC458524 DWG458481:DWG458524 DMK458481:DMK458524 DCO458481:DCO458524 CSS458481:CSS458524 CIW458481:CIW458524 BZA458481:BZA458524 BPE458481:BPE458524 BFI458481:BFI458524 AVM458481:AVM458524 ALQ458481:ALQ458524 ABU458481:ABU458524 RY458481:RY458524 IC458481:IC458524 WUO392945:WUO392988 WKS392945:WKS392988 WAW392945:WAW392988 VRA392945:VRA392988 VHE392945:VHE392988 UXI392945:UXI392988 UNM392945:UNM392988 UDQ392945:UDQ392988 TTU392945:TTU392988 TJY392945:TJY392988 TAC392945:TAC392988 SQG392945:SQG392988 SGK392945:SGK392988 RWO392945:RWO392988 RMS392945:RMS392988 RCW392945:RCW392988 QTA392945:QTA392988 QJE392945:QJE392988 PZI392945:PZI392988 PPM392945:PPM392988 PFQ392945:PFQ392988 OVU392945:OVU392988 OLY392945:OLY392988 OCC392945:OCC392988 NSG392945:NSG392988 NIK392945:NIK392988 MYO392945:MYO392988 MOS392945:MOS392988 MEW392945:MEW392988 LVA392945:LVA392988 LLE392945:LLE392988 LBI392945:LBI392988 KRM392945:KRM392988 KHQ392945:KHQ392988 JXU392945:JXU392988 JNY392945:JNY392988 JEC392945:JEC392988 IUG392945:IUG392988 IKK392945:IKK392988 IAO392945:IAO392988 HQS392945:HQS392988 HGW392945:HGW392988 GXA392945:GXA392988 GNE392945:GNE392988 GDI392945:GDI392988 FTM392945:FTM392988 FJQ392945:FJQ392988 EZU392945:EZU392988 EPY392945:EPY392988 EGC392945:EGC392988 DWG392945:DWG392988 DMK392945:DMK392988 DCO392945:DCO392988 CSS392945:CSS392988 CIW392945:CIW392988 BZA392945:BZA392988 BPE392945:BPE392988 BFI392945:BFI392988 AVM392945:AVM392988 ALQ392945:ALQ392988 ABU392945:ABU392988 RY392945:RY392988 IC392945:IC392988 WUO327409:WUO327452 WKS327409:WKS327452 WAW327409:WAW327452 VRA327409:VRA327452 VHE327409:VHE327452 UXI327409:UXI327452 UNM327409:UNM327452 UDQ327409:UDQ327452 TTU327409:TTU327452 TJY327409:TJY327452 TAC327409:TAC327452 SQG327409:SQG327452 SGK327409:SGK327452 RWO327409:RWO327452 RMS327409:RMS327452 RCW327409:RCW327452 QTA327409:QTA327452 QJE327409:QJE327452 PZI327409:PZI327452 PPM327409:PPM327452 PFQ327409:PFQ327452 OVU327409:OVU327452 OLY327409:OLY327452 OCC327409:OCC327452 NSG327409:NSG327452 NIK327409:NIK327452 MYO327409:MYO327452 MOS327409:MOS327452 MEW327409:MEW327452 LVA327409:LVA327452 LLE327409:LLE327452 LBI327409:LBI327452 KRM327409:KRM327452 KHQ327409:KHQ327452 JXU327409:JXU327452 JNY327409:JNY327452 JEC327409:JEC327452 IUG327409:IUG327452 IKK327409:IKK327452 IAO327409:IAO327452 HQS327409:HQS327452 HGW327409:HGW327452 GXA327409:GXA327452 GNE327409:GNE327452 GDI327409:GDI327452 FTM327409:FTM327452 FJQ327409:FJQ327452 EZU327409:EZU327452 EPY327409:EPY327452 EGC327409:EGC327452 DWG327409:DWG327452 DMK327409:DMK327452 DCO327409:DCO327452 CSS327409:CSS327452 CIW327409:CIW327452 BZA327409:BZA327452 BPE327409:BPE327452 BFI327409:BFI327452 AVM327409:AVM327452 ALQ327409:ALQ327452 ABU327409:ABU327452 RY327409:RY327452 IC327409:IC327452 WUO261873:WUO261916 WKS261873:WKS261916 WAW261873:WAW261916 VRA261873:VRA261916 VHE261873:VHE261916 UXI261873:UXI261916 UNM261873:UNM261916 UDQ261873:UDQ261916 TTU261873:TTU261916 TJY261873:TJY261916 TAC261873:TAC261916 SQG261873:SQG261916 SGK261873:SGK261916 RWO261873:RWO261916 RMS261873:RMS261916 RCW261873:RCW261916 QTA261873:QTA261916 QJE261873:QJE261916 PZI261873:PZI261916 PPM261873:PPM261916 PFQ261873:PFQ261916 OVU261873:OVU261916 OLY261873:OLY261916 OCC261873:OCC261916 NSG261873:NSG261916 NIK261873:NIK261916 MYO261873:MYO261916 MOS261873:MOS261916 MEW261873:MEW261916 LVA261873:LVA261916 LLE261873:LLE261916 LBI261873:LBI261916 KRM261873:KRM261916 KHQ261873:KHQ261916 JXU261873:JXU261916 JNY261873:JNY261916 JEC261873:JEC261916 IUG261873:IUG261916 IKK261873:IKK261916 IAO261873:IAO261916 HQS261873:HQS261916 HGW261873:HGW261916 GXA261873:GXA261916 GNE261873:GNE261916 GDI261873:GDI261916 FTM261873:FTM261916 FJQ261873:FJQ261916 EZU261873:EZU261916 EPY261873:EPY261916 EGC261873:EGC261916 DWG261873:DWG261916 DMK261873:DMK261916 DCO261873:DCO261916 CSS261873:CSS261916 CIW261873:CIW261916 BZA261873:BZA261916 BPE261873:BPE261916 BFI261873:BFI261916 AVM261873:AVM261916 ALQ261873:ALQ261916 ABU261873:ABU261916 RY261873:RY261916 IC261873:IC261916 WUO196337:WUO196380 WKS196337:WKS196380 WAW196337:WAW196380 VRA196337:VRA196380 VHE196337:VHE196380 UXI196337:UXI196380 UNM196337:UNM196380 UDQ196337:UDQ196380 TTU196337:TTU196380 TJY196337:TJY196380 TAC196337:TAC196380 SQG196337:SQG196380 SGK196337:SGK196380 RWO196337:RWO196380 RMS196337:RMS196380 RCW196337:RCW196380 QTA196337:QTA196380 QJE196337:QJE196380 PZI196337:PZI196380 PPM196337:PPM196380 PFQ196337:PFQ196380 OVU196337:OVU196380 OLY196337:OLY196380 OCC196337:OCC196380 NSG196337:NSG196380 NIK196337:NIK196380 MYO196337:MYO196380 MOS196337:MOS196380 MEW196337:MEW196380 LVA196337:LVA196380 LLE196337:LLE196380 LBI196337:LBI196380 KRM196337:KRM196380 KHQ196337:KHQ196380 JXU196337:JXU196380 JNY196337:JNY196380 JEC196337:JEC196380 IUG196337:IUG196380 IKK196337:IKK196380 IAO196337:IAO196380 HQS196337:HQS196380 HGW196337:HGW196380 GXA196337:GXA196380 GNE196337:GNE196380 GDI196337:GDI196380 FTM196337:FTM196380 FJQ196337:FJQ196380 EZU196337:EZU196380 EPY196337:EPY196380 EGC196337:EGC196380 DWG196337:DWG196380 DMK196337:DMK196380 DCO196337:DCO196380 CSS196337:CSS196380 CIW196337:CIW196380 BZA196337:BZA196380 BPE196337:BPE196380 BFI196337:BFI196380 AVM196337:AVM196380 ALQ196337:ALQ196380 ABU196337:ABU196380 RY196337:RY196380 IC196337:IC196380 WUO130801:WUO130844 WKS130801:WKS130844 WAW130801:WAW130844 VRA130801:VRA130844 VHE130801:VHE130844 UXI130801:UXI130844 UNM130801:UNM130844 UDQ130801:UDQ130844 TTU130801:TTU130844 TJY130801:TJY130844 TAC130801:TAC130844 SQG130801:SQG130844 SGK130801:SGK130844 RWO130801:RWO130844 RMS130801:RMS130844 RCW130801:RCW130844 QTA130801:QTA130844 QJE130801:QJE130844 PZI130801:PZI130844 PPM130801:PPM130844 PFQ130801:PFQ130844 OVU130801:OVU130844 OLY130801:OLY130844 OCC130801:OCC130844 NSG130801:NSG130844 NIK130801:NIK130844 MYO130801:MYO130844 MOS130801:MOS130844 MEW130801:MEW130844 LVA130801:LVA130844 LLE130801:LLE130844 LBI130801:LBI130844 KRM130801:KRM130844 KHQ130801:KHQ130844 JXU130801:JXU130844 JNY130801:JNY130844 JEC130801:JEC130844 IUG130801:IUG130844 IKK130801:IKK130844 IAO130801:IAO130844 HQS130801:HQS130844 HGW130801:HGW130844 GXA130801:GXA130844 GNE130801:GNE130844 GDI130801:GDI130844 FTM130801:FTM130844 FJQ130801:FJQ130844 EZU130801:EZU130844 EPY130801:EPY130844 EGC130801:EGC130844 DWG130801:DWG130844 DMK130801:DMK130844 DCO130801:DCO130844 CSS130801:CSS130844 CIW130801:CIW130844 BZA130801:BZA130844 BPE130801:BPE130844 BFI130801:BFI130844 AVM130801:AVM130844 ALQ130801:ALQ130844 ABU130801:ABU130844 RY130801:RY130844 IC130801:IC130844 WUO65265:WUO65308 WKS65265:WKS65308 WAW65265:WAW65308 VRA65265:VRA65308 VHE65265:VHE65308 UXI65265:UXI65308 UNM65265:UNM65308 UDQ65265:UDQ65308 TTU65265:TTU65308 TJY65265:TJY65308 TAC65265:TAC65308 SQG65265:SQG65308 SGK65265:SGK65308 RWO65265:RWO65308 RMS65265:RMS65308 RCW65265:RCW65308 QTA65265:QTA65308 QJE65265:QJE65308 PZI65265:PZI65308 PPM65265:PPM65308 PFQ65265:PFQ65308 OVU65265:OVU65308 OLY65265:OLY65308 OCC65265:OCC65308 NSG65265:NSG65308 NIK65265:NIK65308 MYO65265:MYO65308 MOS65265:MOS65308 MEW65265:MEW65308 LVA65265:LVA65308 LLE65265:LLE65308 LBI65265:LBI65308 KRM65265:KRM65308 KHQ65265:KHQ65308 JXU65265:JXU65308 JNY65265:JNY65308 JEC65265:JEC65308 IUG65265:IUG65308 IKK65265:IKK65308 IAO65265:IAO65308 HQS65265:HQS65308 HGW65265:HGW65308 GXA65265:GXA65308 GNE65265:GNE65308 GDI65265:GDI65308 FTM65265:FTM65308 FJQ65265:FJQ65308 EZU65265:EZU65308 EPY65265:EPY65308 EGC65265:EGC65308 DWG65265:DWG65308 DMK65265:DMK65308 DCO65265:DCO65308 CSS65265:CSS65308 CIW65265:CIW65308 BZA65265:BZA65308 BPE65265:BPE65308 BFI65265:BFI65308 AVM65265:AVM65308 ALQ65265:ALQ65308 ABU65265:ABU65308 RY65265:RY65308 IC65265:IC65308 WUO982769:WUO982812 WUO10:WUO15 IC10:IC15 RY10:RY15 ABU10:ABU15 ALQ10:ALQ15 AVM10:AVM15 BFI10:BFI15 BPE10:BPE15 BZA10:BZA15 CIW10:CIW15 CSS10:CSS15 DCO10:DCO15 DMK10:DMK15 DWG10:DWG15 EGC10:EGC15 EPY10:EPY15 EZU10:EZU15 FJQ10:FJQ15 FTM10:FTM15 GDI10:GDI15 GNE10:GNE15 GXA10:GXA15 HGW10:HGW15 HQS10:HQS15 IAO10:IAO15 IKK10:IKK15 IUG10:IUG15 JEC10:JEC15 JNY10:JNY15 JXU10:JXU15 KHQ10:KHQ15 KRM10:KRM15 LBI10:LBI15 LLE10:LLE15 LVA10:LVA15 MEW10:MEW15 MOS10:MOS15 MYO10:MYO15 NIK10:NIK15 NSG10:NSG15 OCC10:OCC15 OLY10:OLY15 OVU10:OVU15 PFQ10:PFQ15 PPM10:PPM15 PZI10:PZI15 QJE10:QJE15 QTA10:QTA15 RCW10:RCW15 RMS10:RMS15 RWO10:RWO15 SGK10:SGK15 SQG10:SQG15 TAC10:TAC15 TJY10:TJY15 TTU10:TTU15 UDQ10:UDQ15 UNM10:UNM15 UXI10:UXI15 VHE10:VHE15 VRA10:VRA15 WAW10:WAW15 WKS10:WKS15 WUO17:WUO34 WKS17:WKS34 WAW17:WAW34 VRA17:VRA34 VHE17:VHE34 UXI17:UXI34 UNM17:UNM34 UDQ17:UDQ34 TTU17:TTU34 TJY17:TJY34 TAC17:TAC34 SQG17:SQG34 SGK17:SGK34 RWO17:RWO34 RMS17:RMS34 RCW17:RCW34 QTA17:QTA34 QJE17:QJE34 PZI17:PZI34 PPM17:PPM34 PFQ17:PFQ34 OVU17:OVU34 OLY17:OLY34 OCC17:OCC34 NSG17:NSG34 NIK17:NIK34 MYO17:MYO34 MOS17:MOS34 MEW17:MEW34 LVA17:LVA34 LLE17:LLE34 LBI17:LBI34 KRM17:KRM34 KHQ17:KHQ34 JXU17:JXU34 JNY17:JNY34 JEC17:JEC34 IUG17:IUG34 IKK17:IKK34 IAO17:IAO34 HQS17:HQS34 HGW17:HGW34 GXA17:GXA34 GNE17:GNE34 GDI17:GDI34 FTM17:FTM34 FJQ17:FJQ34 EZU17:EZU34 EPY17:EPY34 EGC17:EGC34 DWG17:DWG34 DMK17:DMK34 DCO17:DCO34 CSS17:CSS34 CIW17:CIW34 BZA17:BZA34 BPE17:BPE34 BFI17:BFI34 AVM17:AVM34 ALQ17:ALQ34 ABU17:ABU34 RY17:RY34 IC17:IC34 WVE982769:WVE982812 IU65265:IU65308 SQ65265:SQ65308 ACM65265:ACM65308 AMI65265:AMI65308 AWE65265:AWE65308 BGA65265:BGA65308 BPW65265:BPW65308 BZS65265:BZS65308 CJO65265:CJO65308 CTK65265:CTK65308 DDG65265:DDG65308 DNC65265:DNC65308 DWY65265:DWY65308 EGU65265:EGU65308 EQQ65265:EQQ65308 FAM65265:FAM65308 FKI65265:FKI65308 FUE65265:FUE65308 GEA65265:GEA65308 GNW65265:GNW65308 GXS65265:GXS65308 HHO65265:HHO65308 HRK65265:HRK65308 IBG65265:IBG65308 ILC65265:ILC65308 IUY65265:IUY65308 JEU65265:JEU65308 JOQ65265:JOQ65308 JYM65265:JYM65308 KII65265:KII65308 KSE65265:KSE65308 LCA65265:LCA65308 LLW65265:LLW65308 LVS65265:LVS65308 MFO65265:MFO65308 MPK65265:MPK65308 MZG65265:MZG65308 NJC65265:NJC65308 NSY65265:NSY65308 OCU65265:OCU65308 OMQ65265:OMQ65308 OWM65265:OWM65308 PGI65265:PGI65308 PQE65265:PQE65308 QAA65265:QAA65308 QJW65265:QJW65308 QTS65265:QTS65308 RDO65265:RDO65308 RNK65265:RNK65308 RXG65265:RXG65308 SHC65265:SHC65308 SQY65265:SQY65308 TAU65265:TAU65308 TKQ65265:TKQ65308 TUM65265:TUM65308 UEI65265:UEI65308 UOE65265:UOE65308 UYA65265:UYA65308 VHW65265:VHW65308 VRS65265:VRS65308 WBO65265:WBO65308 WLK65265:WLK65308 WVG65265:WVG65308 IU130801:IU130844 SQ130801:SQ130844 ACM130801:ACM130844 AMI130801:AMI130844 AWE130801:AWE130844 BGA130801:BGA130844 BPW130801:BPW130844 BZS130801:BZS130844 CJO130801:CJO130844 CTK130801:CTK130844 DDG130801:DDG130844 DNC130801:DNC130844 DWY130801:DWY130844 EGU130801:EGU130844 EQQ130801:EQQ130844 FAM130801:FAM130844 FKI130801:FKI130844 FUE130801:FUE130844 GEA130801:GEA130844 GNW130801:GNW130844 GXS130801:GXS130844 HHO130801:HHO130844 HRK130801:HRK130844 IBG130801:IBG130844 ILC130801:ILC130844 IUY130801:IUY130844 JEU130801:JEU130844 JOQ130801:JOQ130844 JYM130801:JYM130844 KII130801:KII130844 KSE130801:KSE130844 LCA130801:LCA130844 LLW130801:LLW130844 LVS130801:LVS130844 MFO130801:MFO130844 MPK130801:MPK130844 MZG130801:MZG130844 NJC130801:NJC130844 NSY130801:NSY130844 OCU130801:OCU130844 OMQ130801:OMQ130844 OWM130801:OWM130844 PGI130801:PGI130844 PQE130801:PQE130844 QAA130801:QAA130844 QJW130801:QJW130844 QTS130801:QTS130844 RDO130801:RDO130844 RNK130801:RNK130844 RXG130801:RXG130844 SHC130801:SHC130844 SQY130801:SQY130844 TAU130801:TAU130844 TKQ130801:TKQ130844 TUM130801:TUM130844 UEI130801:UEI130844 UOE130801:UOE130844 UYA130801:UYA130844 VHW130801:VHW130844 VRS130801:VRS130844 WBO130801:WBO130844 WLK130801:WLK130844 WVG130801:WVG130844 IU196337:IU196380 SQ196337:SQ196380 ACM196337:ACM196380 AMI196337:AMI196380 AWE196337:AWE196380 BGA196337:BGA196380 BPW196337:BPW196380 BZS196337:BZS196380 CJO196337:CJO196380 CTK196337:CTK196380 DDG196337:DDG196380 DNC196337:DNC196380 DWY196337:DWY196380 EGU196337:EGU196380 EQQ196337:EQQ196380 FAM196337:FAM196380 FKI196337:FKI196380 FUE196337:FUE196380 GEA196337:GEA196380 GNW196337:GNW196380 GXS196337:GXS196380 HHO196337:HHO196380 HRK196337:HRK196380 IBG196337:IBG196380 ILC196337:ILC196380 IUY196337:IUY196380 JEU196337:JEU196380 JOQ196337:JOQ196380 JYM196337:JYM196380 KII196337:KII196380 KSE196337:KSE196380 LCA196337:LCA196380 LLW196337:LLW196380 LVS196337:LVS196380 MFO196337:MFO196380 MPK196337:MPK196380 MZG196337:MZG196380 NJC196337:NJC196380 NSY196337:NSY196380 OCU196337:OCU196380 OMQ196337:OMQ196380 OWM196337:OWM196380 PGI196337:PGI196380 PQE196337:PQE196380 QAA196337:QAA196380 QJW196337:QJW196380 QTS196337:QTS196380 RDO196337:RDO196380 RNK196337:RNK196380 RXG196337:RXG196380 SHC196337:SHC196380 SQY196337:SQY196380 TAU196337:TAU196380 TKQ196337:TKQ196380 TUM196337:TUM196380 UEI196337:UEI196380 UOE196337:UOE196380 UYA196337:UYA196380 VHW196337:VHW196380 VRS196337:VRS196380 WBO196337:WBO196380 WLK196337:WLK196380 WVG196337:WVG196380 IU261873:IU261916 SQ261873:SQ261916 ACM261873:ACM261916 AMI261873:AMI261916 AWE261873:AWE261916 BGA261873:BGA261916 BPW261873:BPW261916 BZS261873:BZS261916 CJO261873:CJO261916 CTK261873:CTK261916 DDG261873:DDG261916 DNC261873:DNC261916 DWY261873:DWY261916 EGU261873:EGU261916 EQQ261873:EQQ261916 FAM261873:FAM261916 FKI261873:FKI261916 FUE261873:FUE261916 GEA261873:GEA261916 GNW261873:GNW261916 GXS261873:GXS261916 HHO261873:HHO261916 HRK261873:HRK261916 IBG261873:IBG261916 ILC261873:ILC261916 IUY261873:IUY261916 JEU261873:JEU261916 JOQ261873:JOQ261916 JYM261873:JYM261916 KII261873:KII261916 KSE261873:KSE261916 LCA261873:LCA261916 LLW261873:LLW261916 LVS261873:LVS261916 MFO261873:MFO261916 MPK261873:MPK261916 MZG261873:MZG261916 NJC261873:NJC261916 NSY261873:NSY261916 OCU261873:OCU261916 OMQ261873:OMQ261916 OWM261873:OWM261916 PGI261873:PGI261916 PQE261873:PQE261916 QAA261873:QAA261916 QJW261873:QJW261916 QTS261873:QTS261916 RDO261873:RDO261916 RNK261873:RNK261916 RXG261873:RXG261916 SHC261873:SHC261916 SQY261873:SQY261916 TAU261873:TAU261916 TKQ261873:TKQ261916 TUM261873:TUM261916 UEI261873:UEI261916 UOE261873:UOE261916 UYA261873:UYA261916 VHW261873:VHW261916 VRS261873:VRS261916 WBO261873:WBO261916 WLK261873:WLK261916 WVG261873:WVG261916 IU327409:IU327452 SQ327409:SQ327452 ACM327409:ACM327452 AMI327409:AMI327452 AWE327409:AWE327452 BGA327409:BGA327452 BPW327409:BPW327452 BZS327409:BZS327452 CJO327409:CJO327452 CTK327409:CTK327452 DDG327409:DDG327452 DNC327409:DNC327452 DWY327409:DWY327452 EGU327409:EGU327452 EQQ327409:EQQ327452 FAM327409:FAM327452 FKI327409:FKI327452 FUE327409:FUE327452 GEA327409:GEA327452 GNW327409:GNW327452 GXS327409:GXS327452 HHO327409:HHO327452 HRK327409:HRK327452 IBG327409:IBG327452 ILC327409:ILC327452 IUY327409:IUY327452 JEU327409:JEU327452 JOQ327409:JOQ327452 JYM327409:JYM327452 KII327409:KII327452 KSE327409:KSE327452 LCA327409:LCA327452 LLW327409:LLW327452 LVS327409:LVS327452 MFO327409:MFO327452 MPK327409:MPK327452 MZG327409:MZG327452 NJC327409:NJC327452 NSY327409:NSY327452 OCU327409:OCU327452 OMQ327409:OMQ327452 OWM327409:OWM327452 PGI327409:PGI327452 PQE327409:PQE327452 QAA327409:QAA327452 QJW327409:QJW327452 QTS327409:QTS327452 RDO327409:RDO327452 RNK327409:RNK327452 RXG327409:RXG327452 SHC327409:SHC327452 SQY327409:SQY327452 TAU327409:TAU327452 TKQ327409:TKQ327452 TUM327409:TUM327452 UEI327409:UEI327452 UOE327409:UOE327452 UYA327409:UYA327452 VHW327409:VHW327452 VRS327409:VRS327452 WBO327409:WBO327452 WLK327409:WLK327452 WVG327409:WVG327452 IU392945:IU392988 SQ392945:SQ392988 ACM392945:ACM392988 AMI392945:AMI392988 AWE392945:AWE392988 BGA392945:BGA392988 BPW392945:BPW392988 BZS392945:BZS392988 CJO392945:CJO392988 CTK392945:CTK392988 DDG392945:DDG392988 DNC392945:DNC392988 DWY392945:DWY392988 EGU392945:EGU392988 EQQ392945:EQQ392988 FAM392945:FAM392988 FKI392945:FKI392988 FUE392945:FUE392988 GEA392945:GEA392988 GNW392945:GNW392988 GXS392945:GXS392988 HHO392945:HHO392988 HRK392945:HRK392988 IBG392945:IBG392988 ILC392945:ILC392988 IUY392945:IUY392988 JEU392945:JEU392988 JOQ392945:JOQ392988 JYM392945:JYM392988 KII392945:KII392988 KSE392945:KSE392988 LCA392945:LCA392988 LLW392945:LLW392988 LVS392945:LVS392988 MFO392945:MFO392988 MPK392945:MPK392988 MZG392945:MZG392988 NJC392945:NJC392988 NSY392945:NSY392988 OCU392945:OCU392988 OMQ392945:OMQ392988 OWM392945:OWM392988 PGI392945:PGI392988 PQE392945:PQE392988 QAA392945:QAA392988 QJW392945:QJW392988 QTS392945:QTS392988 RDO392945:RDO392988 RNK392945:RNK392988 RXG392945:RXG392988 SHC392945:SHC392988 SQY392945:SQY392988 TAU392945:TAU392988 TKQ392945:TKQ392988 TUM392945:TUM392988 UEI392945:UEI392988 UOE392945:UOE392988 UYA392945:UYA392988 VHW392945:VHW392988 VRS392945:VRS392988 WBO392945:WBO392988 WLK392945:WLK392988 WVG392945:WVG392988 IU458481:IU458524 SQ458481:SQ458524 ACM458481:ACM458524 AMI458481:AMI458524 AWE458481:AWE458524 BGA458481:BGA458524 BPW458481:BPW458524 BZS458481:BZS458524 CJO458481:CJO458524 CTK458481:CTK458524 DDG458481:DDG458524 DNC458481:DNC458524 DWY458481:DWY458524 EGU458481:EGU458524 EQQ458481:EQQ458524 FAM458481:FAM458524 FKI458481:FKI458524 FUE458481:FUE458524 GEA458481:GEA458524 GNW458481:GNW458524 GXS458481:GXS458524 HHO458481:HHO458524 HRK458481:HRK458524 IBG458481:IBG458524 ILC458481:ILC458524 IUY458481:IUY458524 JEU458481:JEU458524 JOQ458481:JOQ458524 JYM458481:JYM458524 KII458481:KII458524 KSE458481:KSE458524 LCA458481:LCA458524 LLW458481:LLW458524 LVS458481:LVS458524 MFO458481:MFO458524 MPK458481:MPK458524 MZG458481:MZG458524 NJC458481:NJC458524 NSY458481:NSY458524 OCU458481:OCU458524 OMQ458481:OMQ458524 OWM458481:OWM458524 PGI458481:PGI458524 PQE458481:PQE458524 QAA458481:QAA458524 QJW458481:QJW458524 QTS458481:QTS458524 RDO458481:RDO458524 RNK458481:RNK458524 RXG458481:RXG458524 SHC458481:SHC458524 SQY458481:SQY458524 TAU458481:TAU458524 TKQ458481:TKQ458524 TUM458481:TUM458524 UEI458481:UEI458524 UOE458481:UOE458524 UYA458481:UYA458524 VHW458481:VHW458524 VRS458481:VRS458524 WBO458481:WBO458524 WLK458481:WLK458524 WVG458481:WVG458524 IU524017:IU524060 SQ524017:SQ524060 ACM524017:ACM524060 AMI524017:AMI524060 AWE524017:AWE524060 BGA524017:BGA524060 BPW524017:BPW524060 BZS524017:BZS524060 CJO524017:CJO524060 CTK524017:CTK524060 DDG524017:DDG524060 DNC524017:DNC524060 DWY524017:DWY524060 EGU524017:EGU524060 EQQ524017:EQQ524060 FAM524017:FAM524060 FKI524017:FKI524060 FUE524017:FUE524060 GEA524017:GEA524060 GNW524017:GNW524060 GXS524017:GXS524060 HHO524017:HHO524060 HRK524017:HRK524060 IBG524017:IBG524060 ILC524017:ILC524060 IUY524017:IUY524060 JEU524017:JEU524060 JOQ524017:JOQ524060 JYM524017:JYM524060 KII524017:KII524060 KSE524017:KSE524060 LCA524017:LCA524060 LLW524017:LLW524060 LVS524017:LVS524060 MFO524017:MFO524060 MPK524017:MPK524060 MZG524017:MZG524060 NJC524017:NJC524060 NSY524017:NSY524060 OCU524017:OCU524060 OMQ524017:OMQ524060 OWM524017:OWM524060 PGI524017:PGI524060 PQE524017:PQE524060 QAA524017:QAA524060 QJW524017:QJW524060 QTS524017:QTS524060 RDO524017:RDO524060 RNK524017:RNK524060 RXG524017:RXG524060 SHC524017:SHC524060 SQY524017:SQY524060 TAU524017:TAU524060 TKQ524017:TKQ524060 TUM524017:TUM524060 UEI524017:UEI524060 UOE524017:UOE524060 UYA524017:UYA524060 VHW524017:VHW524060 VRS524017:VRS524060 WBO524017:WBO524060 WLK524017:WLK524060 WVG524017:WVG524060 IU589553:IU589596 SQ589553:SQ589596 ACM589553:ACM589596 AMI589553:AMI589596 AWE589553:AWE589596 BGA589553:BGA589596 BPW589553:BPW589596 BZS589553:BZS589596 CJO589553:CJO589596 CTK589553:CTK589596 DDG589553:DDG589596 DNC589553:DNC589596 DWY589553:DWY589596 EGU589553:EGU589596 EQQ589553:EQQ589596 FAM589553:FAM589596 FKI589553:FKI589596 FUE589553:FUE589596 GEA589553:GEA589596 GNW589553:GNW589596 GXS589553:GXS589596 HHO589553:HHO589596 HRK589553:HRK589596 IBG589553:IBG589596 ILC589553:ILC589596 IUY589553:IUY589596 JEU589553:JEU589596 JOQ589553:JOQ589596 JYM589553:JYM589596 KII589553:KII589596 KSE589553:KSE589596 LCA589553:LCA589596 LLW589553:LLW589596 LVS589553:LVS589596 MFO589553:MFO589596 MPK589553:MPK589596 MZG589553:MZG589596 NJC589553:NJC589596 NSY589553:NSY589596 OCU589553:OCU589596 OMQ589553:OMQ589596 OWM589553:OWM589596 PGI589553:PGI589596 PQE589553:PQE589596 QAA589553:QAA589596 QJW589553:QJW589596 QTS589553:QTS589596 RDO589553:RDO589596 RNK589553:RNK589596 RXG589553:RXG589596 SHC589553:SHC589596 SQY589553:SQY589596 TAU589553:TAU589596 TKQ589553:TKQ589596 TUM589553:TUM589596 UEI589553:UEI589596 UOE589553:UOE589596 UYA589553:UYA589596 VHW589553:VHW589596 VRS589553:VRS589596 WBO589553:WBO589596 WLK589553:WLK589596 WVG589553:WVG589596 IU655089:IU655132 SQ655089:SQ655132 ACM655089:ACM655132 AMI655089:AMI655132 AWE655089:AWE655132 BGA655089:BGA655132 BPW655089:BPW655132 BZS655089:BZS655132 CJO655089:CJO655132 CTK655089:CTK655132 DDG655089:DDG655132 DNC655089:DNC655132 DWY655089:DWY655132 EGU655089:EGU655132 EQQ655089:EQQ655132 FAM655089:FAM655132 FKI655089:FKI655132 FUE655089:FUE655132 GEA655089:GEA655132 GNW655089:GNW655132 GXS655089:GXS655132 HHO655089:HHO655132 HRK655089:HRK655132 IBG655089:IBG655132 ILC655089:ILC655132 IUY655089:IUY655132 JEU655089:JEU655132 JOQ655089:JOQ655132 JYM655089:JYM655132 KII655089:KII655132 KSE655089:KSE655132 LCA655089:LCA655132 LLW655089:LLW655132 LVS655089:LVS655132 MFO655089:MFO655132 MPK655089:MPK655132 MZG655089:MZG655132 NJC655089:NJC655132 NSY655089:NSY655132 OCU655089:OCU655132 OMQ655089:OMQ655132 OWM655089:OWM655132 PGI655089:PGI655132 PQE655089:PQE655132 QAA655089:QAA655132 QJW655089:QJW655132 QTS655089:QTS655132 RDO655089:RDO655132 RNK655089:RNK655132 RXG655089:RXG655132 SHC655089:SHC655132 SQY655089:SQY655132 TAU655089:TAU655132 TKQ655089:TKQ655132 TUM655089:TUM655132 UEI655089:UEI655132 UOE655089:UOE655132 UYA655089:UYA655132 VHW655089:VHW655132 VRS655089:VRS655132 WBO655089:WBO655132 WLK655089:WLK655132 WVG655089:WVG655132 IU720625:IU720668 SQ720625:SQ720668 ACM720625:ACM720668 AMI720625:AMI720668 AWE720625:AWE720668 BGA720625:BGA720668 BPW720625:BPW720668 BZS720625:BZS720668 CJO720625:CJO720668 CTK720625:CTK720668 DDG720625:DDG720668 DNC720625:DNC720668 DWY720625:DWY720668 EGU720625:EGU720668 EQQ720625:EQQ720668 FAM720625:FAM720668 FKI720625:FKI720668 FUE720625:FUE720668 GEA720625:GEA720668 GNW720625:GNW720668 GXS720625:GXS720668 HHO720625:HHO720668 HRK720625:HRK720668 IBG720625:IBG720668 ILC720625:ILC720668 IUY720625:IUY720668 JEU720625:JEU720668 JOQ720625:JOQ720668 JYM720625:JYM720668 KII720625:KII720668 KSE720625:KSE720668 LCA720625:LCA720668 LLW720625:LLW720668 LVS720625:LVS720668 MFO720625:MFO720668 MPK720625:MPK720668 MZG720625:MZG720668 NJC720625:NJC720668 NSY720625:NSY720668 OCU720625:OCU720668 OMQ720625:OMQ720668 OWM720625:OWM720668 PGI720625:PGI720668 PQE720625:PQE720668 QAA720625:QAA720668 QJW720625:QJW720668 QTS720625:QTS720668 RDO720625:RDO720668 RNK720625:RNK720668 RXG720625:RXG720668 SHC720625:SHC720668 SQY720625:SQY720668 TAU720625:TAU720668 TKQ720625:TKQ720668 TUM720625:TUM720668 UEI720625:UEI720668 UOE720625:UOE720668 UYA720625:UYA720668 VHW720625:VHW720668 VRS720625:VRS720668 WBO720625:WBO720668 WLK720625:WLK720668 WVG720625:WVG720668 IU786161:IU786204 SQ786161:SQ786204 ACM786161:ACM786204 AMI786161:AMI786204 AWE786161:AWE786204 BGA786161:BGA786204 BPW786161:BPW786204 BZS786161:BZS786204 CJO786161:CJO786204 CTK786161:CTK786204 DDG786161:DDG786204 DNC786161:DNC786204 DWY786161:DWY786204 EGU786161:EGU786204 EQQ786161:EQQ786204 FAM786161:FAM786204 FKI786161:FKI786204 FUE786161:FUE786204 GEA786161:GEA786204 GNW786161:GNW786204 GXS786161:GXS786204 HHO786161:HHO786204 HRK786161:HRK786204 IBG786161:IBG786204 ILC786161:ILC786204 IUY786161:IUY786204 JEU786161:JEU786204 JOQ786161:JOQ786204 JYM786161:JYM786204 KII786161:KII786204 KSE786161:KSE786204 LCA786161:LCA786204 LLW786161:LLW786204 LVS786161:LVS786204 MFO786161:MFO786204 MPK786161:MPK786204 MZG786161:MZG786204 NJC786161:NJC786204 NSY786161:NSY786204 OCU786161:OCU786204 OMQ786161:OMQ786204 OWM786161:OWM786204 PGI786161:PGI786204 PQE786161:PQE786204 QAA786161:QAA786204 QJW786161:QJW786204 QTS786161:QTS786204 RDO786161:RDO786204 RNK786161:RNK786204 RXG786161:RXG786204 SHC786161:SHC786204 SQY786161:SQY786204 TAU786161:TAU786204 TKQ786161:TKQ786204 TUM786161:TUM786204 UEI786161:UEI786204 UOE786161:UOE786204 UYA786161:UYA786204 VHW786161:VHW786204 VRS786161:VRS786204 WBO786161:WBO786204 WLK786161:WLK786204 WVG786161:WVG786204 IU851697:IU851740 SQ851697:SQ851740 ACM851697:ACM851740 AMI851697:AMI851740 AWE851697:AWE851740 BGA851697:BGA851740 BPW851697:BPW851740 BZS851697:BZS851740 CJO851697:CJO851740 CTK851697:CTK851740 DDG851697:DDG851740 DNC851697:DNC851740 DWY851697:DWY851740 EGU851697:EGU851740 EQQ851697:EQQ851740 FAM851697:FAM851740 FKI851697:FKI851740 FUE851697:FUE851740 GEA851697:GEA851740 GNW851697:GNW851740 GXS851697:GXS851740 HHO851697:HHO851740 HRK851697:HRK851740 IBG851697:IBG851740 ILC851697:ILC851740 IUY851697:IUY851740 JEU851697:JEU851740 JOQ851697:JOQ851740 JYM851697:JYM851740 KII851697:KII851740 KSE851697:KSE851740 LCA851697:LCA851740 LLW851697:LLW851740 LVS851697:LVS851740 MFO851697:MFO851740 MPK851697:MPK851740 MZG851697:MZG851740 NJC851697:NJC851740 NSY851697:NSY851740 OCU851697:OCU851740 OMQ851697:OMQ851740 OWM851697:OWM851740 PGI851697:PGI851740 PQE851697:PQE851740 QAA851697:QAA851740 QJW851697:QJW851740 QTS851697:QTS851740 RDO851697:RDO851740 RNK851697:RNK851740 RXG851697:RXG851740 SHC851697:SHC851740 SQY851697:SQY851740 TAU851697:TAU851740 TKQ851697:TKQ851740 TUM851697:TUM851740 UEI851697:UEI851740 UOE851697:UOE851740 UYA851697:UYA851740 VHW851697:VHW851740 VRS851697:VRS851740 WBO851697:WBO851740 WLK851697:WLK851740 WVG851697:WVG851740 IU917233:IU917276 SQ917233:SQ917276 ACM917233:ACM917276 AMI917233:AMI917276 AWE917233:AWE917276 BGA917233:BGA917276 BPW917233:BPW917276 BZS917233:BZS917276 CJO917233:CJO917276 CTK917233:CTK917276 DDG917233:DDG917276 DNC917233:DNC917276 DWY917233:DWY917276 EGU917233:EGU917276 EQQ917233:EQQ917276 FAM917233:FAM917276 FKI917233:FKI917276 FUE917233:FUE917276 GEA917233:GEA917276 GNW917233:GNW917276 GXS917233:GXS917276 HHO917233:HHO917276 HRK917233:HRK917276 IBG917233:IBG917276 ILC917233:ILC917276 IUY917233:IUY917276 JEU917233:JEU917276 JOQ917233:JOQ917276 JYM917233:JYM917276 KII917233:KII917276 KSE917233:KSE917276 LCA917233:LCA917276 LLW917233:LLW917276 LVS917233:LVS917276 MFO917233:MFO917276 MPK917233:MPK917276 MZG917233:MZG917276 NJC917233:NJC917276 NSY917233:NSY917276 OCU917233:OCU917276 OMQ917233:OMQ917276 OWM917233:OWM917276 PGI917233:PGI917276 PQE917233:PQE917276 QAA917233:QAA917276 QJW917233:QJW917276 QTS917233:QTS917276 RDO917233:RDO917276 RNK917233:RNK917276 RXG917233:RXG917276 SHC917233:SHC917276 SQY917233:SQY917276 TAU917233:TAU917276 TKQ917233:TKQ917276 TUM917233:TUM917276 UEI917233:UEI917276 UOE917233:UOE917276 UYA917233:UYA917276 VHW917233:VHW917276 VRS917233:VRS917276 WBO917233:WBO917276 WLK917233:WLK917276 WVG917233:WVG917276 IU982769:IU982812 SQ982769:SQ982812 ACM982769:ACM982812 AMI982769:AMI982812 AWE982769:AWE982812 BGA982769:BGA982812 BPW982769:BPW982812 BZS982769:BZS982812 CJO982769:CJO982812 CTK982769:CTK982812 DDG982769:DDG982812 DNC982769:DNC982812 DWY982769:DWY982812 EGU982769:EGU982812 EQQ982769:EQQ982812 FAM982769:FAM982812 FKI982769:FKI982812 FUE982769:FUE982812 GEA982769:GEA982812 GNW982769:GNW982812 GXS982769:GXS982812 HHO982769:HHO982812 HRK982769:HRK982812 IBG982769:IBG982812 ILC982769:ILC982812 IUY982769:IUY982812 JEU982769:JEU982812 JOQ982769:JOQ982812 JYM982769:JYM982812 KII982769:KII982812 KSE982769:KSE982812 LCA982769:LCA982812 LLW982769:LLW982812 LVS982769:LVS982812 MFO982769:MFO982812 MPK982769:MPK982812 MZG982769:MZG982812 NJC982769:NJC982812 NSY982769:NSY982812 OCU982769:OCU982812 OMQ982769:OMQ982812 OWM982769:OWM982812 PGI982769:PGI982812 PQE982769:PQE982812 QAA982769:QAA982812 QJW982769:QJW982812 QTS982769:QTS982812 RDO982769:RDO982812 RNK982769:RNK982812 RXG982769:RXG982812 SHC982769:SHC982812 SQY982769:SQY982812 TAU982769:TAU982812 TKQ982769:TKQ982812 TUM982769:TUM982812 UEI982769:UEI982812 UOE982769:UOE982812 UYA982769:UYA982812 VHW982769:VHW982812 VRS982769:VRS982812 WBO982769:WBO982812 WLK982769:WLK982812 WVG982769:WVG982812 IS65265:IS65308 SO65265:SO65308 ACK65265:ACK65308 AMG65265:AMG65308 AWC65265:AWC65308 BFY65265:BFY65308 BPU65265:BPU65308 BZQ65265:BZQ65308 CJM65265:CJM65308 CTI65265:CTI65308 DDE65265:DDE65308 DNA65265:DNA65308 DWW65265:DWW65308 EGS65265:EGS65308 EQO65265:EQO65308 FAK65265:FAK65308 FKG65265:FKG65308 FUC65265:FUC65308 GDY65265:GDY65308 GNU65265:GNU65308 GXQ65265:GXQ65308 HHM65265:HHM65308 HRI65265:HRI65308 IBE65265:IBE65308 ILA65265:ILA65308 IUW65265:IUW65308 JES65265:JES65308 JOO65265:JOO65308 JYK65265:JYK65308 KIG65265:KIG65308 KSC65265:KSC65308 LBY65265:LBY65308 LLU65265:LLU65308 LVQ65265:LVQ65308 MFM65265:MFM65308 MPI65265:MPI65308 MZE65265:MZE65308 NJA65265:NJA65308 NSW65265:NSW65308 OCS65265:OCS65308 OMO65265:OMO65308 OWK65265:OWK65308 PGG65265:PGG65308 PQC65265:PQC65308 PZY65265:PZY65308 QJU65265:QJU65308 QTQ65265:QTQ65308 RDM65265:RDM65308 RNI65265:RNI65308 RXE65265:RXE65308 SHA65265:SHA65308 SQW65265:SQW65308 TAS65265:TAS65308 TKO65265:TKO65308 TUK65265:TUK65308 UEG65265:UEG65308 UOC65265:UOC65308 UXY65265:UXY65308 VHU65265:VHU65308 VRQ65265:VRQ65308 WBM65265:WBM65308 WLI65265:WLI65308 WVE65265:WVE65308 IS130801:IS130844 SO130801:SO130844 ACK130801:ACK130844 AMG130801:AMG130844 AWC130801:AWC130844 BFY130801:BFY130844 BPU130801:BPU130844 BZQ130801:BZQ130844 CJM130801:CJM130844 CTI130801:CTI130844 DDE130801:DDE130844 DNA130801:DNA130844 DWW130801:DWW130844 EGS130801:EGS130844 EQO130801:EQO130844 FAK130801:FAK130844 FKG130801:FKG130844 FUC130801:FUC130844 GDY130801:GDY130844 GNU130801:GNU130844 GXQ130801:GXQ130844 HHM130801:HHM130844 HRI130801:HRI130844 IBE130801:IBE130844 ILA130801:ILA130844 IUW130801:IUW130844 JES130801:JES130844 JOO130801:JOO130844 JYK130801:JYK130844 KIG130801:KIG130844 KSC130801:KSC130844 LBY130801:LBY130844 LLU130801:LLU130844 LVQ130801:LVQ130844 MFM130801:MFM130844 MPI130801:MPI130844 MZE130801:MZE130844 NJA130801:NJA130844 NSW130801:NSW130844 OCS130801:OCS130844 OMO130801:OMO130844 OWK130801:OWK130844 PGG130801:PGG130844 PQC130801:PQC130844 PZY130801:PZY130844 QJU130801:QJU130844 QTQ130801:QTQ130844 RDM130801:RDM130844 RNI130801:RNI130844 RXE130801:RXE130844 SHA130801:SHA130844 SQW130801:SQW130844 TAS130801:TAS130844 TKO130801:TKO130844 TUK130801:TUK130844 UEG130801:UEG130844 UOC130801:UOC130844 UXY130801:UXY130844 VHU130801:VHU130844 VRQ130801:VRQ130844 WBM130801:WBM130844 WLI130801:WLI130844 WVE130801:WVE130844 IS196337:IS196380 SO196337:SO196380 ACK196337:ACK196380 AMG196337:AMG196380 AWC196337:AWC196380 BFY196337:BFY196380 BPU196337:BPU196380 BZQ196337:BZQ196380 CJM196337:CJM196380 CTI196337:CTI196380 DDE196337:DDE196380 DNA196337:DNA196380 DWW196337:DWW196380 EGS196337:EGS196380 EQO196337:EQO196380 FAK196337:FAK196380 FKG196337:FKG196380 FUC196337:FUC196380 GDY196337:GDY196380 GNU196337:GNU196380 GXQ196337:GXQ196380 HHM196337:HHM196380 HRI196337:HRI196380 IBE196337:IBE196380 ILA196337:ILA196380 IUW196337:IUW196380 JES196337:JES196380 JOO196337:JOO196380 JYK196337:JYK196380 KIG196337:KIG196380 KSC196337:KSC196380 LBY196337:LBY196380 LLU196337:LLU196380 LVQ196337:LVQ196380 MFM196337:MFM196380 MPI196337:MPI196380 MZE196337:MZE196380 NJA196337:NJA196380 NSW196337:NSW196380 OCS196337:OCS196380 OMO196337:OMO196380 OWK196337:OWK196380 PGG196337:PGG196380 PQC196337:PQC196380 PZY196337:PZY196380 QJU196337:QJU196380 QTQ196337:QTQ196380 RDM196337:RDM196380 RNI196337:RNI196380 RXE196337:RXE196380 SHA196337:SHA196380 SQW196337:SQW196380 TAS196337:TAS196380 TKO196337:TKO196380 TUK196337:TUK196380 UEG196337:UEG196380 UOC196337:UOC196380 UXY196337:UXY196380 VHU196337:VHU196380 VRQ196337:VRQ196380 WBM196337:WBM196380 WLI196337:WLI196380 WVE196337:WVE196380 IS261873:IS261916 SO261873:SO261916 ACK261873:ACK261916 AMG261873:AMG261916 AWC261873:AWC261916 BFY261873:BFY261916 BPU261873:BPU261916 BZQ261873:BZQ261916 CJM261873:CJM261916 CTI261873:CTI261916 DDE261873:DDE261916 DNA261873:DNA261916 DWW261873:DWW261916 EGS261873:EGS261916 EQO261873:EQO261916 FAK261873:FAK261916 FKG261873:FKG261916 FUC261873:FUC261916 GDY261873:GDY261916 GNU261873:GNU261916 GXQ261873:GXQ261916 HHM261873:HHM261916 HRI261873:HRI261916 IBE261873:IBE261916 ILA261873:ILA261916 IUW261873:IUW261916 JES261873:JES261916 JOO261873:JOO261916 JYK261873:JYK261916 KIG261873:KIG261916 KSC261873:KSC261916 LBY261873:LBY261916 LLU261873:LLU261916 LVQ261873:LVQ261916 MFM261873:MFM261916 MPI261873:MPI261916 MZE261873:MZE261916 NJA261873:NJA261916 NSW261873:NSW261916 OCS261873:OCS261916 OMO261873:OMO261916 OWK261873:OWK261916 PGG261873:PGG261916 PQC261873:PQC261916 PZY261873:PZY261916 QJU261873:QJU261916 QTQ261873:QTQ261916 RDM261873:RDM261916 RNI261873:RNI261916 RXE261873:RXE261916 SHA261873:SHA261916 SQW261873:SQW261916 TAS261873:TAS261916 TKO261873:TKO261916 TUK261873:TUK261916 UEG261873:UEG261916 UOC261873:UOC261916 UXY261873:UXY261916 VHU261873:VHU261916 VRQ261873:VRQ261916 WBM261873:WBM261916 WLI261873:WLI261916 WVE261873:WVE261916 IS327409:IS327452 SO327409:SO327452 ACK327409:ACK327452 AMG327409:AMG327452 AWC327409:AWC327452 BFY327409:BFY327452 BPU327409:BPU327452 BZQ327409:BZQ327452 CJM327409:CJM327452 CTI327409:CTI327452 DDE327409:DDE327452 DNA327409:DNA327452 DWW327409:DWW327452 EGS327409:EGS327452 EQO327409:EQO327452 FAK327409:FAK327452 FKG327409:FKG327452 FUC327409:FUC327452 GDY327409:GDY327452 GNU327409:GNU327452 GXQ327409:GXQ327452 HHM327409:HHM327452 HRI327409:HRI327452 IBE327409:IBE327452 ILA327409:ILA327452 IUW327409:IUW327452 JES327409:JES327452 JOO327409:JOO327452 JYK327409:JYK327452 KIG327409:KIG327452 KSC327409:KSC327452 LBY327409:LBY327452 LLU327409:LLU327452 LVQ327409:LVQ327452 MFM327409:MFM327452 MPI327409:MPI327452 MZE327409:MZE327452 NJA327409:NJA327452 NSW327409:NSW327452 OCS327409:OCS327452 OMO327409:OMO327452 OWK327409:OWK327452 PGG327409:PGG327452 PQC327409:PQC327452 PZY327409:PZY327452 QJU327409:QJU327452 QTQ327409:QTQ327452 RDM327409:RDM327452 RNI327409:RNI327452 RXE327409:RXE327452 SHA327409:SHA327452 SQW327409:SQW327452 TAS327409:TAS327452 TKO327409:TKO327452 TUK327409:TUK327452 UEG327409:UEG327452 UOC327409:UOC327452 UXY327409:UXY327452 VHU327409:VHU327452 VRQ327409:VRQ327452 WBM327409:WBM327452 WLI327409:WLI327452 WVE327409:WVE327452 IS392945:IS392988 SO392945:SO392988 ACK392945:ACK392988 AMG392945:AMG392988 AWC392945:AWC392988 BFY392945:BFY392988 BPU392945:BPU392988 BZQ392945:BZQ392988 CJM392945:CJM392988 CTI392945:CTI392988 DDE392945:DDE392988 DNA392945:DNA392988 DWW392945:DWW392988 EGS392945:EGS392988 EQO392945:EQO392988 FAK392945:FAK392988 FKG392945:FKG392988 FUC392945:FUC392988 GDY392945:GDY392988 GNU392945:GNU392988 GXQ392945:GXQ392988 HHM392945:HHM392988 HRI392945:HRI392988 IBE392945:IBE392988 ILA392945:ILA392988 IUW392945:IUW392988 JES392945:JES392988 JOO392945:JOO392988 JYK392945:JYK392988 KIG392945:KIG392988 KSC392945:KSC392988 LBY392945:LBY392988 LLU392945:LLU392988 LVQ392945:LVQ392988 MFM392945:MFM392988 MPI392945:MPI392988 MZE392945:MZE392988 NJA392945:NJA392988 NSW392945:NSW392988 OCS392945:OCS392988 OMO392945:OMO392988 OWK392945:OWK392988 PGG392945:PGG392988 PQC392945:PQC392988 PZY392945:PZY392988 QJU392945:QJU392988 QTQ392945:QTQ392988 RDM392945:RDM392988 RNI392945:RNI392988 RXE392945:RXE392988 SHA392945:SHA392988 SQW392945:SQW392988 TAS392945:TAS392988 TKO392945:TKO392988 TUK392945:TUK392988 UEG392945:UEG392988 UOC392945:UOC392988 UXY392945:UXY392988 VHU392945:VHU392988 VRQ392945:VRQ392988 WBM392945:WBM392988 WLI392945:WLI392988 WVE392945:WVE392988 IS458481:IS458524 SO458481:SO458524 ACK458481:ACK458524 AMG458481:AMG458524 AWC458481:AWC458524 BFY458481:BFY458524 BPU458481:BPU458524 BZQ458481:BZQ458524 CJM458481:CJM458524 CTI458481:CTI458524 DDE458481:DDE458524 DNA458481:DNA458524 DWW458481:DWW458524 EGS458481:EGS458524 EQO458481:EQO458524 FAK458481:FAK458524 FKG458481:FKG458524 FUC458481:FUC458524 GDY458481:GDY458524 GNU458481:GNU458524 GXQ458481:GXQ458524 HHM458481:HHM458524 HRI458481:HRI458524 IBE458481:IBE458524 ILA458481:ILA458524 IUW458481:IUW458524 JES458481:JES458524 JOO458481:JOO458524 JYK458481:JYK458524 KIG458481:KIG458524 KSC458481:KSC458524 LBY458481:LBY458524 LLU458481:LLU458524 LVQ458481:LVQ458524 MFM458481:MFM458524 MPI458481:MPI458524 MZE458481:MZE458524 NJA458481:NJA458524 NSW458481:NSW458524 OCS458481:OCS458524 OMO458481:OMO458524 OWK458481:OWK458524 PGG458481:PGG458524 PQC458481:PQC458524 PZY458481:PZY458524 QJU458481:QJU458524 QTQ458481:QTQ458524 RDM458481:RDM458524 RNI458481:RNI458524 RXE458481:RXE458524 SHA458481:SHA458524 SQW458481:SQW458524 TAS458481:TAS458524 TKO458481:TKO458524 TUK458481:TUK458524 UEG458481:UEG458524 UOC458481:UOC458524 UXY458481:UXY458524 VHU458481:VHU458524 VRQ458481:VRQ458524 WBM458481:WBM458524 WLI458481:WLI458524 WVE458481:WVE458524 IS524017:IS524060 SO524017:SO524060 ACK524017:ACK524060 AMG524017:AMG524060 AWC524017:AWC524060 BFY524017:BFY524060 BPU524017:BPU524060 BZQ524017:BZQ524060 CJM524017:CJM524060 CTI524017:CTI524060 DDE524017:DDE524060 DNA524017:DNA524060 DWW524017:DWW524060 EGS524017:EGS524060 EQO524017:EQO524060 FAK524017:FAK524060 FKG524017:FKG524060 FUC524017:FUC524060 GDY524017:GDY524060 GNU524017:GNU524060 GXQ524017:GXQ524060 HHM524017:HHM524060 HRI524017:HRI524060 IBE524017:IBE524060 ILA524017:ILA524060 IUW524017:IUW524060 JES524017:JES524060 JOO524017:JOO524060 JYK524017:JYK524060 KIG524017:KIG524060 KSC524017:KSC524060 LBY524017:LBY524060 LLU524017:LLU524060 LVQ524017:LVQ524060 MFM524017:MFM524060 MPI524017:MPI524060 MZE524017:MZE524060 NJA524017:NJA524060 NSW524017:NSW524060 OCS524017:OCS524060 OMO524017:OMO524060 OWK524017:OWK524060 PGG524017:PGG524060 PQC524017:PQC524060 PZY524017:PZY524060 QJU524017:QJU524060 QTQ524017:QTQ524060 RDM524017:RDM524060 RNI524017:RNI524060 RXE524017:RXE524060 SHA524017:SHA524060 SQW524017:SQW524060 TAS524017:TAS524060 TKO524017:TKO524060 TUK524017:TUK524060 UEG524017:UEG524060 UOC524017:UOC524060 UXY524017:UXY524060 VHU524017:VHU524060 VRQ524017:VRQ524060 WBM524017:WBM524060 WLI524017:WLI524060 WVE524017:WVE524060 IS589553:IS589596 SO589553:SO589596 ACK589553:ACK589596 AMG589553:AMG589596 AWC589553:AWC589596 BFY589553:BFY589596 BPU589553:BPU589596 BZQ589553:BZQ589596 CJM589553:CJM589596 CTI589553:CTI589596 DDE589553:DDE589596 DNA589553:DNA589596 DWW589553:DWW589596 EGS589553:EGS589596 EQO589553:EQO589596 FAK589553:FAK589596 FKG589553:FKG589596 FUC589553:FUC589596 GDY589553:GDY589596 GNU589553:GNU589596 GXQ589553:GXQ589596 HHM589553:HHM589596 HRI589553:HRI589596 IBE589553:IBE589596 ILA589553:ILA589596 IUW589553:IUW589596 JES589553:JES589596 JOO589553:JOO589596 JYK589553:JYK589596 KIG589553:KIG589596 KSC589553:KSC589596 LBY589553:LBY589596 LLU589553:LLU589596 LVQ589553:LVQ589596 MFM589553:MFM589596 MPI589553:MPI589596 MZE589553:MZE589596 NJA589553:NJA589596 NSW589553:NSW589596 OCS589553:OCS589596 OMO589553:OMO589596 OWK589553:OWK589596 PGG589553:PGG589596 PQC589553:PQC589596 PZY589553:PZY589596 QJU589553:QJU589596 QTQ589553:QTQ589596 RDM589553:RDM589596 RNI589553:RNI589596 RXE589553:RXE589596 SHA589553:SHA589596 SQW589553:SQW589596 TAS589553:TAS589596 TKO589553:TKO589596 TUK589553:TUK589596 UEG589553:UEG589596 UOC589553:UOC589596 UXY589553:UXY589596 VHU589553:VHU589596 VRQ589553:VRQ589596 WBM589553:WBM589596 WLI589553:WLI589596 WVE589553:WVE589596 IS655089:IS655132 SO655089:SO655132 ACK655089:ACK655132 AMG655089:AMG655132 AWC655089:AWC655132 BFY655089:BFY655132 BPU655089:BPU655132 BZQ655089:BZQ655132 CJM655089:CJM655132 CTI655089:CTI655132 DDE655089:DDE655132 DNA655089:DNA655132 DWW655089:DWW655132 EGS655089:EGS655132 EQO655089:EQO655132 FAK655089:FAK655132 FKG655089:FKG655132 FUC655089:FUC655132 GDY655089:GDY655132 GNU655089:GNU655132 GXQ655089:GXQ655132 HHM655089:HHM655132 HRI655089:HRI655132 IBE655089:IBE655132 ILA655089:ILA655132 IUW655089:IUW655132 JES655089:JES655132 JOO655089:JOO655132 JYK655089:JYK655132 KIG655089:KIG655132 KSC655089:KSC655132 LBY655089:LBY655132 LLU655089:LLU655132 LVQ655089:LVQ655132 MFM655089:MFM655132 MPI655089:MPI655132 MZE655089:MZE655132 NJA655089:NJA655132 NSW655089:NSW655132 OCS655089:OCS655132 OMO655089:OMO655132 OWK655089:OWK655132 PGG655089:PGG655132 PQC655089:PQC655132 PZY655089:PZY655132 QJU655089:QJU655132 QTQ655089:QTQ655132 RDM655089:RDM655132 RNI655089:RNI655132 RXE655089:RXE655132 SHA655089:SHA655132 SQW655089:SQW655132 TAS655089:TAS655132 TKO655089:TKO655132 TUK655089:TUK655132 UEG655089:UEG655132 UOC655089:UOC655132 UXY655089:UXY655132 VHU655089:VHU655132 VRQ655089:VRQ655132 WBM655089:WBM655132 WLI655089:WLI655132 WVE655089:WVE655132 IS720625:IS720668 SO720625:SO720668 ACK720625:ACK720668 AMG720625:AMG720668 AWC720625:AWC720668 BFY720625:BFY720668 BPU720625:BPU720668 BZQ720625:BZQ720668 CJM720625:CJM720668 CTI720625:CTI720668 DDE720625:DDE720668 DNA720625:DNA720668 DWW720625:DWW720668 EGS720625:EGS720668 EQO720625:EQO720668 FAK720625:FAK720668 FKG720625:FKG720668 FUC720625:FUC720668 GDY720625:GDY720668 GNU720625:GNU720668 GXQ720625:GXQ720668 HHM720625:HHM720668 HRI720625:HRI720668 IBE720625:IBE720668 ILA720625:ILA720668 IUW720625:IUW720668 JES720625:JES720668 JOO720625:JOO720668 JYK720625:JYK720668 KIG720625:KIG720668 KSC720625:KSC720668 LBY720625:LBY720668 LLU720625:LLU720668 LVQ720625:LVQ720668 MFM720625:MFM720668 MPI720625:MPI720668 MZE720625:MZE720668 NJA720625:NJA720668 NSW720625:NSW720668 OCS720625:OCS720668 OMO720625:OMO720668 OWK720625:OWK720668 PGG720625:PGG720668 PQC720625:PQC720668 PZY720625:PZY720668 QJU720625:QJU720668 QTQ720625:QTQ720668 RDM720625:RDM720668 RNI720625:RNI720668 RXE720625:RXE720668 SHA720625:SHA720668 SQW720625:SQW720668 TAS720625:TAS720668 TKO720625:TKO720668 TUK720625:TUK720668 UEG720625:UEG720668 UOC720625:UOC720668 UXY720625:UXY720668 VHU720625:VHU720668 VRQ720625:VRQ720668 WBM720625:WBM720668 WLI720625:WLI720668 WVE720625:WVE720668 IS786161:IS786204 SO786161:SO786204 ACK786161:ACK786204 AMG786161:AMG786204 AWC786161:AWC786204 BFY786161:BFY786204 BPU786161:BPU786204 BZQ786161:BZQ786204 CJM786161:CJM786204 CTI786161:CTI786204 DDE786161:DDE786204 DNA786161:DNA786204 DWW786161:DWW786204 EGS786161:EGS786204 EQO786161:EQO786204 FAK786161:FAK786204 FKG786161:FKG786204 FUC786161:FUC786204 GDY786161:GDY786204 GNU786161:GNU786204 GXQ786161:GXQ786204 HHM786161:HHM786204 HRI786161:HRI786204 IBE786161:IBE786204 ILA786161:ILA786204 IUW786161:IUW786204 JES786161:JES786204 JOO786161:JOO786204 JYK786161:JYK786204 KIG786161:KIG786204 KSC786161:KSC786204 LBY786161:LBY786204 LLU786161:LLU786204 LVQ786161:LVQ786204 MFM786161:MFM786204 MPI786161:MPI786204 MZE786161:MZE786204 NJA786161:NJA786204 NSW786161:NSW786204 OCS786161:OCS786204 OMO786161:OMO786204 OWK786161:OWK786204 PGG786161:PGG786204 PQC786161:PQC786204 PZY786161:PZY786204 QJU786161:QJU786204 QTQ786161:QTQ786204 RDM786161:RDM786204 RNI786161:RNI786204 RXE786161:RXE786204 SHA786161:SHA786204 SQW786161:SQW786204 TAS786161:TAS786204 TKO786161:TKO786204 TUK786161:TUK786204 UEG786161:UEG786204 UOC786161:UOC786204 UXY786161:UXY786204 VHU786161:VHU786204 VRQ786161:VRQ786204 WBM786161:WBM786204 WLI786161:WLI786204 WVE786161:WVE786204 IS851697:IS851740 SO851697:SO851740 ACK851697:ACK851740 AMG851697:AMG851740 AWC851697:AWC851740 BFY851697:BFY851740 BPU851697:BPU851740 BZQ851697:BZQ851740 CJM851697:CJM851740 CTI851697:CTI851740 DDE851697:DDE851740 DNA851697:DNA851740 DWW851697:DWW851740 EGS851697:EGS851740 EQO851697:EQO851740 FAK851697:FAK851740 FKG851697:FKG851740 FUC851697:FUC851740 GDY851697:GDY851740 GNU851697:GNU851740 GXQ851697:GXQ851740 HHM851697:HHM851740 HRI851697:HRI851740 IBE851697:IBE851740 ILA851697:ILA851740 IUW851697:IUW851740 JES851697:JES851740 JOO851697:JOO851740 JYK851697:JYK851740 KIG851697:KIG851740 KSC851697:KSC851740 LBY851697:LBY851740 LLU851697:LLU851740 LVQ851697:LVQ851740 MFM851697:MFM851740 MPI851697:MPI851740 MZE851697:MZE851740 NJA851697:NJA851740 NSW851697:NSW851740 OCS851697:OCS851740 OMO851697:OMO851740 OWK851697:OWK851740 PGG851697:PGG851740 PQC851697:PQC851740 PZY851697:PZY851740 QJU851697:QJU851740 QTQ851697:QTQ851740 RDM851697:RDM851740 RNI851697:RNI851740 RXE851697:RXE851740 SHA851697:SHA851740 SQW851697:SQW851740 TAS851697:TAS851740 TKO851697:TKO851740 TUK851697:TUK851740 UEG851697:UEG851740 UOC851697:UOC851740 UXY851697:UXY851740 VHU851697:VHU851740 VRQ851697:VRQ851740 WBM851697:WBM851740 WLI851697:WLI851740 WVE851697:WVE851740 IS917233:IS917276 SO917233:SO917276 ACK917233:ACK917276 AMG917233:AMG917276 AWC917233:AWC917276 BFY917233:BFY917276 BPU917233:BPU917276 BZQ917233:BZQ917276 CJM917233:CJM917276 CTI917233:CTI917276 DDE917233:DDE917276 DNA917233:DNA917276 DWW917233:DWW917276 EGS917233:EGS917276 EQO917233:EQO917276 FAK917233:FAK917276 FKG917233:FKG917276 FUC917233:FUC917276 GDY917233:GDY917276 GNU917233:GNU917276 GXQ917233:GXQ917276 HHM917233:HHM917276 HRI917233:HRI917276 IBE917233:IBE917276 ILA917233:ILA917276 IUW917233:IUW917276 JES917233:JES917276 JOO917233:JOO917276 JYK917233:JYK917276 KIG917233:KIG917276 KSC917233:KSC917276 LBY917233:LBY917276 LLU917233:LLU917276 LVQ917233:LVQ917276 MFM917233:MFM917276 MPI917233:MPI917276 MZE917233:MZE917276 NJA917233:NJA917276 NSW917233:NSW917276 OCS917233:OCS917276 OMO917233:OMO917276 OWK917233:OWK917276 PGG917233:PGG917276 PQC917233:PQC917276 PZY917233:PZY917276 QJU917233:QJU917276 QTQ917233:QTQ917276 RDM917233:RDM917276 RNI917233:RNI917276 RXE917233:RXE917276 SHA917233:SHA917276 SQW917233:SQW917276 TAS917233:TAS917276 TKO917233:TKO917276 TUK917233:TUK917276 UEG917233:UEG917276 UOC917233:UOC917276 UXY917233:UXY917276 VHU917233:VHU917276 VRQ917233:VRQ917276 WBM917233:WBM917276 WLI917233:WLI917276 WVE917233:WVE917276 IS982769:IS982812 SO982769:SO982812 ACK982769:ACK982812 AMG982769:AMG982812 AWC982769:AWC982812 BFY982769:BFY982812 BPU982769:BPU982812 BZQ982769:BZQ982812 CJM982769:CJM982812 CTI982769:CTI982812 DDE982769:DDE982812 DNA982769:DNA982812 DWW982769:DWW982812 EGS982769:EGS982812 EQO982769:EQO982812 FAK982769:FAK982812 FKG982769:FKG982812 FUC982769:FUC982812 GDY982769:GDY982812 GNU982769:GNU982812 GXQ982769:GXQ982812 HHM982769:HHM982812 HRI982769:HRI982812 IBE982769:IBE982812 ILA982769:ILA982812 IUW982769:IUW982812 JES982769:JES982812 JOO982769:JOO982812 JYK982769:JYK982812 KIG982769:KIG982812 KSC982769:KSC982812 LBY982769:LBY982812 LLU982769:LLU982812 LVQ982769:LVQ982812 MFM982769:MFM982812 MPI982769:MPI982812 MZE982769:MZE982812 NJA982769:NJA982812 NSW982769:NSW982812 OCS982769:OCS982812 OMO982769:OMO982812 OWK982769:OWK982812 PGG982769:PGG982812 PQC982769:PQC982812 PZY982769:PZY982812 QJU982769:QJU982812 QTQ982769:QTQ982812 RDM982769:RDM982812 RNI982769:RNI982812 RXE982769:RXE982812 SHA982769:SHA982812 SQW982769:SQW982812 TAS982769:TAS982812 TKO982769:TKO982812 TUK982769:TUK982812 UEG982769:UEG982812 UOC982769:UOC982812 UXY982769:UXY982812 VHU982769:VHU982812 VRQ982769:VRQ982812 WBM982769:WBM982812 WLI982769:WLI982812 WVE10:WVE15 WLI10:WLI15 WBM10:WBM15 VRQ10:VRQ15 VHU10:VHU15 UXY10:UXY15 UOC10:UOC15 UEG10:UEG15 TUK10:TUK15 TKO10:TKO15 TAS10:TAS15 SQW10:SQW15 SHA10:SHA15 RXE10:RXE15 RNI10:RNI15 RDM10:RDM15 QTQ10:QTQ15 QJU10:QJU15 PZY10:PZY15 PQC10:PQC15 PGG10:PGG15 OWK10:OWK15 OMO10:OMO15 OCS10:OCS15 NSW10:NSW15 NJA10:NJA15 MZE10:MZE15 MPI10:MPI15 MFM10:MFM15 LVQ10:LVQ15 LLU10:LLU15 LBY10:LBY15 KSC10:KSC15 KIG10:KIG15 JYK10:JYK15 JOO10:JOO15 JES10:JES15 IUW10:IUW15 ILA10:ILA15 IBE10:IBE15 HRI10:HRI15 HHM10:HHM15 GXQ10:GXQ15 GNU10:GNU15 GDY10:GDY15 FUC10:FUC15 FKG10:FKG15 FAK10:FAK15 EQO10:EQO15 EGS10:EGS15 DWW10:DWW15 DNA10:DNA15 DDE10:DDE15 CTI10:CTI15 CJM10:CJM15 BZQ10:BZQ15 BPU10:BPU15 BFY10:BFY15 AWC10:AWC15 AMG10:AMG15 ACK10:ACK15 SO10:SO15 IS10:IS15 WVG10:WVG15 WLK10:WLK15 WBO10:WBO15 VRS10:VRS15 VHW10:VHW15 UYA10:UYA15 UOE10:UOE15 UEI10:UEI15 TUM10:TUM15 TKQ10:TKQ15 TAU10:TAU15 SQY10:SQY15 SHC10:SHC15 RXG10:RXG15 RNK10:RNK15 RDO10:RDO15 QTS10:QTS15 QJW10:QJW15 QAA10:QAA15 PQE10:PQE15 PGI10:PGI15 OWM10:OWM15 OMQ10:OMQ15 OCU10:OCU15 NSY10:NSY15 NJC10:NJC15 MZG10:MZG15 MPK10:MPK15 MFO10:MFO15 LVS10:LVS15 LLW10:LLW15 LCA10:LCA15 KSE10:KSE15 KII10:KII15 JYM10:JYM15 JOQ10:JOQ15 JEU10:JEU15 IUY10:IUY15 ILC10:ILC15 IBG10:IBG15 HRK10:HRK15 HHO10:HHO15 GXS10:GXS15 GNW10:GNW15 GEA10:GEA15 FUE10:FUE15 FKI10:FKI15 FAM10:FAM15 EQQ10:EQQ15 EGU10:EGU15 DWY10:DWY15 DNC10:DNC15 DDG10:DDG15 CTK10:CTK15 CJO10:CJO15 BZS10:BZS15 BPW10:BPW15 BGA10:BGA15 AWE10:AWE15 AMI10:AMI15 ACM10:ACM15 SQ10:SQ15 IU10:IU15 WUY982769:WVC982812 IM65265:IQ65308 SI65265:SM65308 ACE65265:ACI65308 AMA65265:AME65308 AVW65265:AWA65308 BFS65265:BFW65308 BPO65265:BPS65308 BZK65265:BZO65308 CJG65265:CJK65308 CTC65265:CTG65308 DCY65265:DDC65308 DMU65265:DMY65308 DWQ65265:DWU65308 EGM65265:EGQ65308 EQI65265:EQM65308 FAE65265:FAI65308 FKA65265:FKE65308 FTW65265:FUA65308 GDS65265:GDW65308 GNO65265:GNS65308 GXK65265:GXO65308 HHG65265:HHK65308 HRC65265:HRG65308 IAY65265:IBC65308 IKU65265:IKY65308 IUQ65265:IUU65308 JEM65265:JEQ65308 JOI65265:JOM65308 JYE65265:JYI65308 KIA65265:KIE65308 KRW65265:KSA65308 LBS65265:LBW65308 LLO65265:LLS65308 LVK65265:LVO65308 MFG65265:MFK65308 MPC65265:MPG65308 MYY65265:MZC65308 NIU65265:NIY65308 NSQ65265:NSU65308 OCM65265:OCQ65308 OMI65265:OMM65308 OWE65265:OWI65308 PGA65265:PGE65308 PPW65265:PQA65308 PZS65265:PZW65308 QJO65265:QJS65308 QTK65265:QTO65308 RDG65265:RDK65308 RNC65265:RNG65308 RWY65265:RXC65308 SGU65265:SGY65308 SQQ65265:SQU65308 TAM65265:TAQ65308 TKI65265:TKM65308 TUE65265:TUI65308 UEA65265:UEE65308 UNW65265:UOA65308 UXS65265:UXW65308 VHO65265:VHS65308 VRK65265:VRO65308 WBG65265:WBK65308 WLC65265:WLG65308 WUY65265:WVC65308 IM130801:IQ130844 SI130801:SM130844 ACE130801:ACI130844 AMA130801:AME130844 AVW130801:AWA130844 BFS130801:BFW130844 BPO130801:BPS130844 BZK130801:BZO130844 CJG130801:CJK130844 CTC130801:CTG130844 DCY130801:DDC130844 DMU130801:DMY130844 DWQ130801:DWU130844 EGM130801:EGQ130844 EQI130801:EQM130844 FAE130801:FAI130844 FKA130801:FKE130844 FTW130801:FUA130844 GDS130801:GDW130844 GNO130801:GNS130844 GXK130801:GXO130844 HHG130801:HHK130844 HRC130801:HRG130844 IAY130801:IBC130844 IKU130801:IKY130844 IUQ130801:IUU130844 JEM130801:JEQ130844 JOI130801:JOM130844 JYE130801:JYI130844 KIA130801:KIE130844 KRW130801:KSA130844 LBS130801:LBW130844 LLO130801:LLS130844 LVK130801:LVO130844 MFG130801:MFK130844 MPC130801:MPG130844 MYY130801:MZC130844 NIU130801:NIY130844 NSQ130801:NSU130844 OCM130801:OCQ130844 OMI130801:OMM130844 OWE130801:OWI130844 PGA130801:PGE130844 PPW130801:PQA130844 PZS130801:PZW130844 QJO130801:QJS130844 QTK130801:QTO130844 RDG130801:RDK130844 RNC130801:RNG130844 RWY130801:RXC130844 SGU130801:SGY130844 SQQ130801:SQU130844 TAM130801:TAQ130844 TKI130801:TKM130844 TUE130801:TUI130844 UEA130801:UEE130844 UNW130801:UOA130844 UXS130801:UXW130844 VHO130801:VHS130844 VRK130801:VRO130844 WBG130801:WBK130844 WLC130801:WLG130844 WUY130801:WVC130844 IM196337:IQ196380 SI196337:SM196380 ACE196337:ACI196380 AMA196337:AME196380 AVW196337:AWA196380 BFS196337:BFW196380 BPO196337:BPS196380 BZK196337:BZO196380 CJG196337:CJK196380 CTC196337:CTG196380 DCY196337:DDC196380 DMU196337:DMY196380 DWQ196337:DWU196380 EGM196337:EGQ196380 EQI196337:EQM196380 FAE196337:FAI196380 FKA196337:FKE196380 FTW196337:FUA196380 GDS196337:GDW196380 GNO196337:GNS196380 GXK196337:GXO196380 HHG196337:HHK196380 HRC196337:HRG196380 IAY196337:IBC196380 IKU196337:IKY196380 IUQ196337:IUU196380 JEM196337:JEQ196380 JOI196337:JOM196380 JYE196337:JYI196380 KIA196337:KIE196380 KRW196337:KSA196380 LBS196337:LBW196380 LLO196337:LLS196380 LVK196337:LVO196380 MFG196337:MFK196380 MPC196337:MPG196380 MYY196337:MZC196380 NIU196337:NIY196380 NSQ196337:NSU196380 OCM196337:OCQ196380 OMI196337:OMM196380 OWE196337:OWI196380 PGA196337:PGE196380 PPW196337:PQA196380 PZS196337:PZW196380 QJO196337:QJS196380 QTK196337:QTO196380 RDG196337:RDK196380 RNC196337:RNG196380 RWY196337:RXC196380 SGU196337:SGY196380 SQQ196337:SQU196380 TAM196337:TAQ196380 TKI196337:TKM196380 TUE196337:TUI196380 UEA196337:UEE196380 UNW196337:UOA196380 UXS196337:UXW196380 VHO196337:VHS196380 VRK196337:VRO196380 WBG196337:WBK196380 WLC196337:WLG196380 WUY196337:WVC196380 IM261873:IQ261916 SI261873:SM261916 ACE261873:ACI261916 AMA261873:AME261916 AVW261873:AWA261916 BFS261873:BFW261916 BPO261873:BPS261916 BZK261873:BZO261916 CJG261873:CJK261916 CTC261873:CTG261916 DCY261873:DDC261916 DMU261873:DMY261916 DWQ261873:DWU261916 EGM261873:EGQ261916 EQI261873:EQM261916 FAE261873:FAI261916 FKA261873:FKE261916 FTW261873:FUA261916 GDS261873:GDW261916 GNO261873:GNS261916 GXK261873:GXO261916 HHG261873:HHK261916 HRC261873:HRG261916 IAY261873:IBC261916 IKU261873:IKY261916 IUQ261873:IUU261916 JEM261873:JEQ261916 JOI261873:JOM261916 JYE261873:JYI261916 KIA261873:KIE261916 KRW261873:KSA261916 LBS261873:LBW261916 LLO261873:LLS261916 LVK261873:LVO261916 MFG261873:MFK261916 MPC261873:MPG261916 MYY261873:MZC261916 NIU261873:NIY261916 NSQ261873:NSU261916 OCM261873:OCQ261916 OMI261873:OMM261916 OWE261873:OWI261916 PGA261873:PGE261916 PPW261873:PQA261916 PZS261873:PZW261916 QJO261873:QJS261916 QTK261873:QTO261916 RDG261873:RDK261916 RNC261873:RNG261916 RWY261873:RXC261916 SGU261873:SGY261916 SQQ261873:SQU261916 TAM261873:TAQ261916 TKI261873:TKM261916 TUE261873:TUI261916 UEA261873:UEE261916 UNW261873:UOA261916 UXS261873:UXW261916 VHO261873:VHS261916 VRK261873:VRO261916 WBG261873:WBK261916 WLC261873:WLG261916 WUY261873:WVC261916 IM327409:IQ327452 SI327409:SM327452 ACE327409:ACI327452 AMA327409:AME327452 AVW327409:AWA327452 BFS327409:BFW327452 BPO327409:BPS327452 BZK327409:BZO327452 CJG327409:CJK327452 CTC327409:CTG327452 DCY327409:DDC327452 DMU327409:DMY327452 DWQ327409:DWU327452 EGM327409:EGQ327452 EQI327409:EQM327452 FAE327409:FAI327452 FKA327409:FKE327452 FTW327409:FUA327452 GDS327409:GDW327452 GNO327409:GNS327452 GXK327409:GXO327452 HHG327409:HHK327452 HRC327409:HRG327452 IAY327409:IBC327452 IKU327409:IKY327452 IUQ327409:IUU327452 JEM327409:JEQ327452 JOI327409:JOM327452 JYE327409:JYI327452 KIA327409:KIE327452 KRW327409:KSA327452 LBS327409:LBW327452 LLO327409:LLS327452 LVK327409:LVO327452 MFG327409:MFK327452 MPC327409:MPG327452 MYY327409:MZC327452 NIU327409:NIY327452 NSQ327409:NSU327452 OCM327409:OCQ327452 OMI327409:OMM327452 OWE327409:OWI327452 PGA327409:PGE327452 PPW327409:PQA327452 PZS327409:PZW327452 QJO327409:QJS327452 QTK327409:QTO327452 RDG327409:RDK327452 RNC327409:RNG327452 RWY327409:RXC327452 SGU327409:SGY327452 SQQ327409:SQU327452 TAM327409:TAQ327452 TKI327409:TKM327452 TUE327409:TUI327452 UEA327409:UEE327452 UNW327409:UOA327452 UXS327409:UXW327452 VHO327409:VHS327452 VRK327409:VRO327452 WBG327409:WBK327452 WLC327409:WLG327452 WUY327409:WVC327452 IM392945:IQ392988 SI392945:SM392988 ACE392945:ACI392988 AMA392945:AME392988 AVW392945:AWA392988 BFS392945:BFW392988 BPO392945:BPS392988 BZK392945:BZO392988 CJG392945:CJK392988 CTC392945:CTG392988 DCY392945:DDC392988 DMU392945:DMY392988 DWQ392945:DWU392988 EGM392945:EGQ392988 EQI392945:EQM392988 FAE392945:FAI392988 FKA392945:FKE392988 FTW392945:FUA392988 GDS392945:GDW392988 GNO392945:GNS392988 GXK392945:GXO392988 HHG392945:HHK392988 HRC392945:HRG392988 IAY392945:IBC392988 IKU392945:IKY392988 IUQ392945:IUU392988 JEM392945:JEQ392988 JOI392945:JOM392988 JYE392945:JYI392988 KIA392945:KIE392988 KRW392945:KSA392988 LBS392945:LBW392988 LLO392945:LLS392988 LVK392945:LVO392988 MFG392945:MFK392988 MPC392945:MPG392988 MYY392945:MZC392988 NIU392945:NIY392988 NSQ392945:NSU392988 OCM392945:OCQ392988 OMI392945:OMM392988 OWE392945:OWI392988 PGA392945:PGE392988 PPW392945:PQA392988 PZS392945:PZW392988 QJO392945:QJS392988 QTK392945:QTO392988 RDG392945:RDK392988 RNC392945:RNG392988 RWY392945:RXC392988 SGU392945:SGY392988 SQQ392945:SQU392988 TAM392945:TAQ392988 TKI392945:TKM392988 TUE392945:TUI392988 UEA392945:UEE392988 UNW392945:UOA392988 UXS392945:UXW392988 VHO392945:VHS392988 VRK392945:VRO392988 WBG392945:WBK392988 WLC392945:WLG392988 WUY392945:WVC392988 IM458481:IQ458524 SI458481:SM458524 ACE458481:ACI458524 AMA458481:AME458524 AVW458481:AWA458524 BFS458481:BFW458524 BPO458481:BPS458524 BZK458481:BZO458524 CJG458481:CJK458524 CTC458481:CTG458524 DCY458481:DDC458524 DMU458481:DMY458524 DWQ458481:DWU458524 EGM458481:EGQ458524 EQI458481:EQM458524 FAE458481:FAI458524 FKA458481:FKE458524 FTW458481:FUA458524 GDS458481:GDW458524 GNO458481:GNS458524 GXK458481:GXO458524 HHG458481:HHK458524 HRC458481:HRG458524 IAY458481:IBC458524 IKU458481:IKY458524 IUQ458481:IUU458524 JEM458481:JEQ458524 JOI458481:JOM458524 JYE458481:JYI458524 KIA458481:KIE458524 KRW458481:KSA458524 LBS458481:LBW458524 LLO458481:LLS458524 LVK458481:LVO458524 MFG458481:MFK458524 MPC458481:MPG458524 MYY458481:MZC458524 NIU458481:NIY458524 NSQ458481:NSU458524 OCM458481:OCQ458524 OMI458481:OMM458524 OWE458481:OWI458524 PGA458481:PGE458524 PPW458481:PQA458524 PZS458481:PZW458524 QJO458481:QJS458524 QTK458481:QTO458524 RDG458481:RDK458524 RNC458481:RNG458524 RWY458481:RXC458524 SGU458481:SGY458524 SQQ458481:SQU458524 TAM458481:TAQ458524 TKI458481:TKM458524 TUE458481:TUI458524 UEA458481:UEE458524 UNW458481:UOA458524 UXS458481:UXW458524 VHO458481:VHS458524 VRK458481:VRO458524 WBG458481:WBK458524 WLC458481:WLG458524 WUY458481:WVC458524 IM524017:IQ524060 SI524017:SM524060 ACE524017:ACI524060 AMA524017:AME524060 AVW524017:AWA524060 BFS524017:BFW524060 BPO524017:BPS524060 BZK524017:BZO524060 CJG524017:CJK524060 CTC524017:CTG524060 DCY524017:DDC524060 DMU524017:DMY524060 DWQ524017:DWU524060 EGM524017:EGQ524060 EQI524017:EQM524060 FAE524017:FAI524060 FKA524017:FKE524060 FTW524017:FUA524060 GDS524017:GDW524060 GNO524017:GNS524060 GXK524017:GXO524060 HHG524017:HHK524060 HRC524017:HRG524060 IAY524017:IBC524060 IKU524017:IKY524060 IUQ524017:IUU524060 JEM524017:JEQ524060 JOI524017:JOM524060 JYE524017:JYI524060 KIA524017:KIE524060 KRW524017:KSA524060 LBS524017:LBW524060 LLO524017:LLS524060 LVK524017:LVO524060 MFG524017:MFK524060 MPC524017:MPG524060 MYY524017:MZC524060 NIU524017:NIY524060 NSQ524017:NSU524060 OCM524017:OCQ524060 OMI524017:OMM524060 OWE524017:OWI524060 PGA524017:PGE524060 PPW524017:PQA524060 PZS524017:PZW524060 QJO524017:QJS524060 QTK524017:QTO524060 RDG524017:RDK524060 RNC524017:RNG524060 RWY524017:RXC524060 SGU524017:SGY524060 SQQ524017:SQU524060 TAM524017:TAQ524060 TKI524017:TKM524060 TUE524017:TUI524060 UEA524017:UEE524060 UNW524017:UOA524060 UXS524017:UXW524060 VHO524017:VHS524060 VRK524017:VRO524060 WBG524017:WBK524060 WLC524017:WLG524060 WUY524017:WVC524060 IM589553:IQ589596 SI589553:SM589596 ACE589553:ACI589596 AMA589553:AME589596 AVW589553:AWA589596 BFS589553:BFW589596 BPO589553:BPS589596 BZK589553:BZO589596 CJG589553:CJK589596 CTC589553:CTG589596 DCY589553:DDC589596 DMU589553:DMY589596 DWQ589553:DWU589596 EGM589553:EGQ589596 EQI589553:EQM589596 FAE589553:FAI589596 FKA589553:FKE589596 FTW589553:FUA589596 GDS589553:GDW589596 GNO589553:GNS589596 GXK589553:GXO589596 HHG589553:HHK589596 HRC589553:HRG589596 IAY589553:IBC589596 IKU589553:IKY589596 IUQ589553:IUU589596 JEM589553:JEQ589596 JOI589553:JOM589596 JYE589553:JYI589596 KIA589553:KIE589596 KRW589553:KSA589596 LBS589553:LBW589596 LLO589553:LLS589596 LVK589553:LVO589596 MFG589553:MFK589596 MPC589553:MPG589596 MYY589553:MZC589596 NIU589553:NIY589596 NSQ589553:NSU589596 OCM589553:OCQ589596 OMI589553:OMM589596 OWE589553:OWI589596 PGA589553:PGE589596 PPW589553:PQA589596 PZS589553:PZW589596 QJO589553:QJS589596 QTK589553:QTO589596 RDG589553:RDK589596 RNC589553:RNG589596 RWY589553:RXC589596 SGU589553:SGY589596 SQQ589553:SQU589596 TAM589553:TAQ589596 TKI589553:TKM589596 TUE589553:TUI589596 UEA589553:UEE589596 UNW589553:UOA589596 UXS589553:UXW589596 VHO589553:VHS589596 VRK589553:VRO589596 WBG589553:WBK589596 WLC589553:WLG589596 WUY589553:WVC589596 IM655089:IQ655132 SI655089:SM655132 ACE655089:ACI655132 AMA655089:AME655132 AVW655089:AWA655132 BFS655089:BFW655132 BPO655089:BPS655132 BZK655089:BZO655132 CJG655089:CJK655132 CTC655089:CTG655132 DCY655089:DDC655132 DMU655089:DMY655132 DWQ655089:DWU655132 EGM655089:EGQ655132 EQI655089:EQM655132 FAE655089:FAI655132 FKA655089:FKE655132 FTW655089:FUA655132 GDS655089:GDW655132 GNO655089:GNS655132 GXK655089:GXO655132 HHG655089:HHK655132 HRC655089:HRG655132 IAY655089:IBC655132 IKU655089:IKY655132 IUQ655089:IUU655132 JEM655089:JEQ655132 JOI655089:JOM655132 JYE655089:JYI655132 KIA655089:KIE655132 KRW655089:KSA655132 LBS655089:LBW655132 LLO655089:LLS655132 LVK655089:LVO655132 MFG655089:MFK655132 MPC655089:MPG655132 MYY655089:MZC655132 NIU655089:NIY655132 NSQ655089:NSU655132 OCM655089:OCQ655132 OMI655089:OMM655132 OWE655089:OWI655132 PGA655089:PGE655132 PPW655089:PQA655132 PZS655089:PZW655132 QJO655089:QJS655132 QTK655089:QTO655132 RDG655089:RDK655132 RNC655089:RNG655132 RWY655089:RXC655132 SGU655089:SGY655132 SQQ655089:SQU655132 TAM655089:TAQ655132 TKI655089:TKM655132 TUE655089:TUI655132 UEA655089:UEE655132 UNW655089:UOA655132 UXS655089:UXW655132 VHO655089:VHS655132 VRK655089:VRO655132 WBG655089:WBK655132 WLC655089:WLG655132 WUY655089:WVC655132 IM720625:IQ720668 SI720625:SM720668 ACE720625:ACI720668 AMA720625:AME720668 AVW720625:AWA720668 BFS720625:BFW720668 BPO720625:BPS720668 BZK720625:BZO720668 CJG720625:CJK720668 CTC720625:CTG720668 DCY720625:DDC720668 DMU720625:DMY720668 DWQ720625:DWU720668 EGM720625:EGQ720668 EQI720625:EQM720668 FAE720625:FAI720668 FKA720625:FKE720668 FTW720625:FUA720668 GDS720625:GDW720668 GNO720625:GNS720668 GXK720625:GXO720668 HHG720625:HHK720668 HRC720625:HRG720668 IAY720625:IBC720668 IKU720625:IKY720668 IUQ720625:IUU720668 JEM720625:JEQ720668 JOI720625:JOM720668 JYE720625:JYI720668 KIA720625:KIE720668 KRW720625:KSA720668 LBS720625:LBW720668 LLO720625:LLS720668 LVK720625:LVO720668 MFG720625:MFK720668 MPC720625:MPG720668 MYY720625:MZC720668 NIU720625:NIY720668 NSQ720625:NSU720668 OCM720625:OCQ720668 OMI720625:OMM720668 OWE720625:OWI720668 PGA720625:PGE720668 PPW720625:PQA720668 PZS720625:PZW720668 QJO720625:QJS720668 QTK720625:QTO720668 RDG720625:RDK720668 RNC720625:RNG720668 RWY720625:RXC720668 SGU720625:SGY720668 SQQ720625:SQU720668 TAM720625:TAQ720668 TKI720625:TKM720668 TUE720625:TUI720668 UEA720625:UEE720668 UNW720625:UOA720668 UXS720625:UXW720668 VHO720625:VHS720668 VRK720625:VRO720668 WBG720625:WBK720668 WLC720625:WLG720668 WUY720625:WVC720668 IM786161:IQ786204 SI786161:SM786204 ACE786161:ACI786204 AMA786161:AME786204 AVW786161:AWA786204 BFS786161:BFW786204 BPO786161:BPS786204 BZK786161:BZO786204 CJG786161:CJK786204 CTC786161:CTG786204 DCY786161:DDC786204 DMU786161:DMY786204 DWQ786161:DWU786204 EGM786161:EGQ786204 EQI786161:EQM786204 FAE786161:FAI786204 FKA786161:FKE786204 FTW786161:FUA786204 GDS786161:GDW786204 GNO786161:GNS786204 GXK786161:GXO786204 HHG786161:HHK786204 HRC786161:HRG786204 IAY786161:IBC786204 IKU786161:IKY786204 IUQ786161:IUU786204 JEM786161:JEQ786204 JOI786161:JOM786204 JYE786161:JYI786204 KIA786161:KIE786204 KRW786161:KSA786204 LBS786161:LBW786204 LLO786161:LLS786204 LVK786161:LVO786204 MFG786161:MFK786204 MPC786161:MPG786204 MYY786161:MZC786204 NIU786161:NIY786204 NSQ786161:NSU786204 OCM786161:OCQ786204 OMI786161:OMM786204 OWE786161:OWI786204 PGA786161:PGE786204 PPW786161:PQA786204 PZS786161:PZW786204 QJO786161:QJS786204 QTK786161:QTO786204 RDG786161:RDK786204 RNC786161:RNG786204 RWY786161:RXC786204 SGU786161:SGY786204 SQQ786161:SQU786204 TAM786161:TAQ786204 TKI786161:TKM786204 TUE786161:TUI786204 UEA786161:UEE786204 UNW786161:UOA786204 UXS786161:UXW786204 VHO786161:VHS786204 VRK786161:VRO786204 WBG786161:WBK786204 WLC786161:WLG786204 WUY786161:WVC786204 IM851697:IQ851740 SI851697:SM851740 ACE851697:ACI851740 AMA851697:AME851740 AVW851697:AWA851740 BFS851697:BFW851740 BPO851697:BPS851740 BZK851697:BZO851740 CJG851697:CJK851740 CTC851697:CTG851740 DCY851697:DDC851740 DMU851697:DMY851740 DWQ851697:DWU851740 EGM851697:EGQ851740 EQI851697:EQM851740 FAE851697:FAI851740 FKA851697:FKE851740 FTW851697:FUA851740 GDS851697:GDW851740 GNO851697:GNS851740 GXK851697:GXO851740 HHG851697:HHK851740 HRC851697:HRG851740 IAY851697:IBC851740 IKU851697:IKY851740 IUQ851697:IUU851740 JEM851697:JEQ851740 JOI851697:JOM851740 JYE851697:JYI851740 KIA851697:KIE851740 KRW851697:KSA851740 LBS851697:LBW851740 LLO851697:LLS851740 LVK851697:LVO851740 MFG851697:MFK851740 MPC851697:MPG851740 MYY851697:MZC851740 NIU851697:NIY851740 NSQ851697:NSU851740 OCM851697:OCQ851740 OMI851697:OMM851740 OWE851697:OWI851740 PGA851697:PGE851740 PPW851697:PQA851740 PZS851697:PZW851740 QJO851697:QJS851740 QTK851697:QTO851740 RDG851697:RDK851740 RNC851697:RNG851740 RWY851697:RXC851740 SGU851697:SGY851740 SQQ851697:SQU851740 TAM851697:TAQ851740 TKI851697:TKM851740 TUE851697:TUI851740 UEA851697:UEE851740 UNW851697:UOA851740 UXS851697:UXW851740 VHO851697:VHS851740 VRK851697:VRO851740 WBG851697:WBK851740 WLC851697:WLG851740 WUY851697:WVC851740 IM917233:IQ917276 SI917233:SM917276 ACE917233:ACI917276 AMA917233:AME917276 AVW917233:AWA917276 BFS917233:BFW917276 BPO917233:BPS917276 BZK917233:BZO917276 CJG917233:CJK917276 CTC917233:CTG917276 DCY917233:DDC917276 DMU917233:DMY917276 DWQ917233:DWU917276 EGM917233:EGQ917276 EQI917233:EQM917276 FAE917233:FAI917276 FKA917233:FKE917276 FTW917233:FUA917276 GDS917233:GDW917276 GNO917233:GNS917276 GXK917233:GXO917276 HHG917233:HHK917276 HRC917233:HRG917276 IAY917233:IBC917276 IKU917233:IKY917276 IUQ917233:IUU917276 JEM917233:JEQ917276 JOI917233:JOM917276 JYE917233:JYI917276 KIA917233:KIE917276 KRW917233:KSA917276 LBS917233:LBW917276 LLO917233:LLS917276 LVK917233:LVO917276 MFG917233:MFK917276 MPC917233:MPG917276 MYY917233:MZC917276 NIU917233:NIY917276 NSQ917233:NSU917276 OCM917233:OCQ917276 OMI917233:OMM917276 OWE917233:OWI917276 PGA917233:PGE917276 PPW917233:PQA917276 PZS917233:PZW917276 QJO917233:QJS917276 QTK917233:QTO917276 RDG917233:RDK917276 RNC917233:RNG917276 RWY917233:RXC917276 SGU917233:SGY917276 SQQ917233:SQU917276 TAM917233:TAQ917276 TKI917233:TKM917276 TUE917233:TUI917276 UEA917233:UEE917276 UNW917233:UOA917276 UXS917233:UXW917276 VHO917233:VHS917276 VRK917233:VRO917276 WBG917233:WBK917276 WLC917233:WLG917276 WUY917233:WVC917276 IM982769:IQ982812 SI982769:SM982812 ACE982769:ACI982812 AMA982769:AME982812 AVW982769:AWA982812 BFS982769:BFW982812 BPO982769:BPS982812 BZK982769:BZO982812 CJG982769:CJK982812 CTC982769:CTG982812 DCY982769:DDC982812 DMU982769:DMY982812 DWQ982769:DWU982812 EGM982769:EGQ982812 EQI982769:EQM982812 FAE982769:FAI982812 FKA982769:FKE982812 FTW982769:FUA982812 GDS982769:GDW982812 GNO982769:GNS982812 GXK982769:GXO982812 HHG982769:HHK982812 HRC982769:HRG982812 IAY982769:IBC982812 IKU982769:IKY982812 IUQ982769:IUU982812 JEM982769:JEQ982812 JOI982769:JOM982812 JYE982769:JYI982812 KIA982769:KIE982812 KRW982769:KSA982812 LBS982769:LBW982812 LLO982769:LLS982812 LVK982769:LVO982812 MFG982769:MFK982812 MPC982769:MPG982812 MYY982769:MZC982812 NIU982769:NIY982812 NSQ982769:NSU982812 OCM982769:OCQ982812 OMI982769:OMM982812 OWE982769:OWI982812 PGA982769:PGE982812 PPW982769:PQA982812 PZS982769:PZW982812 QJO982769:QJS982812 QTK982769:QTO982812 RDG982769:RDK982812 RNC982769:RNG982812 RWY982769:RXC982812 SGU982769:SGY982812 SQQ982769:SQU982812 TAM982769:TAQ982812 TKI982769:TKM982812 TUE982769:TUI982812 UEA982769:UEE982812 UNW982769:UOA982812 UXS982769:UXW982812 VHO982769:VHS982812 VRK982769:VRO982812 WBG982769:WBK982812 WLC982769:WLG982812 WUY10:WVC15 WLC10:WLG15 WBG10:WBK15 VRK10:VRO15 VHO10:VHS15 UXS10:UXW15 UNW10:UOA15 UEA10:UEE15 TUE10:TUI15 TKI10:TKM15 TAM10:TAQ15 SQQ10:SQU15 SGU10:SGY15 RWY10:RXC15 RNC10:RNG15 RDG10:RDK15 QTK10:QTO15 QJO10:QJS15 PZS10:PZW15 PPW10:PQA15 PGA10:PGE15 OWE10:OWI15 OMI10:OMM15 OCM10:OCQ15 NSQ10:NSU15 NIU10:NIY15 MYY10:MZC15 MPC10:MPG15 MFG10:MFK15 LVK10:LVO15 LLO10:LLS15 LBS10:LBW15 KRW10:KSA15 KIA10:KIE15 JYE10:JYI15 JOI10:JOM15 JEM10:JEQ15 IUQ10:IUU15 IKU10:IKY15 IAY10:IBC15 HRC10:HRG15 HHG10:HHK15 GXK10:GXO15 GNO10:GNS15 GDS10:GDW15 FTW10:FUA15 FKA10:FKE15 FAE10:FAI15 EQI10:EQM15 EGM10:EGQ15 DWQ10:DWU15 DMU10:DMY15 DCY10:DDC15 CTC10:CTG15 CJG10:CJK15 BZK10:BZO15 BPO10:BPS15 BFS10:BFW15 AVW10:AWA15 AMA10:AME15 ACE10:ACI15 SI10:SM15 IM10:IQ15 WUV982769:WUW982812 IJ65265:IK65308 SF65265:SG65308 ACB65265:ACC65308 ALX65265:ALY65308 AVT65265:AVU65308 BFP65265:BFQ65308 BPL65265:BPM65308 BZH65265:BZI65308 CJD65265:CJE65308 CSZ65265:CTA65308 DCV65265:DCW65308 DMR65265:DMS65308 DWN65265:DWO65308 EGJ65265:EGK65308 EQF65265:EQG65308 FAB65265:FAC65308 FJX65265:FJY65308 FTT65265:FTU65308 GDP65265:GDQ65308 GNL65265:GNM65308 GXH65265:GXI65308 HHD65265:HHE65308 HQZ65265:HRA65308 IAV65265:IAW65308 IKR65265:IKS65308 IUN65265:IUO65308 JEJ65265:JEK65308 JOF65265:JOG65308 JYB65265:JYC65308 KHX65265:KHY65308 KRT65265:KRU65308 LBP65265:LBQ65308 LLL65265:LLM65308 LVH65265:LVI65308 MFD65265:MFE65308 MOZ65265:MPA65308 MYV65265:MYW65308 NIR65265:NIS65308 NSN65265:NSO65308 OCJ65265:OCK65308 OMF65265:OMG65308 OWB65265:OWC65308 PFX65265:PFY65308 PPT65265:PPU65308 PZP65265:PZQ65308 QJL65265:QJM65308 QTH65265:QTI65308 RDD65265:RDE65308 RMZ65265:RNA65308 RWV65265:RWW65308 SGR65265:SGS65308 SQN65265:SQO65308 TAJ65265:TAK65308 TKF65265:TKG65308 TUB65265:TUC65308 UDX65265:UDY65308 UNT65265:UNU65308 UXP65265:UXQ65308 VHL65265:VHM65308 VRH65265:VRI65308 WBD65265:WBE65308 WKZ65265:WLA65308 WUV65265:WUW65308 IJ130801:IK130844 SF130801:SG130844 ACB130801:ACC130844 ALX130801:ALY130844 AVT130801:AVU130844 BFP130801:BFQ130844 BPL130801:BPM130844 BZH130801:BZI130844 CJD130801:CJE130844 CSZ130801:CTA130844 DCV130801:DCW130844 DMR130801:DMS130844 DWN130801:DWO130844 EGJ130801:EGK130844 EQF130801:EQG130844 FAB130801:FAC130844 FJX130801:FJY130844 FTT130801:FTU130844 GDP130801:GDQ130844 GNL130801:GNM130844 GXH130801:GXI130844 HHD130801:HHE130844 HQZ130801:HRA130844 IAV130801:IAW130844 IKR130801:IKS130844 IUN130801:IUO130844 JEJ130801:JEK130844 JOF130801:JOG130844 JYB130801:JYC130844 KHX130801:KHY130844 KRT130801:KRU130844 LBP130801:LBQ130844 LLL130801:LLM130844 LVH130801:LVI130844 MFD130801:MFE130844 MOZ130801:MPA130844 MYV130801:MYW130844 NIR130801:NIS130844 NSN130801:NSO130844 OCJ130801:OCK130844 OMF130801:OMG130844 OWB130801:OWC130844 PFX130801:PFY130844 PPT130801:PPU130844 PZP130801:PZQ130844 QJL130801:QJM130844 QTH130801:QTI130844 RDD130801:RDE130844 RMZ130801:RNA130844 RWV130801:RWW130844 SGR130801:SGS130844 SQN130801:SQO130844 TAJ130801:TAK130844 TKF130801:TKG130844 TUB130801:TUC130844 UDX130801:UDY130844 UNT130801:UNU130844 UXP130801:UXQ130844 VHL130801:VHM130844 VRH130801:VRI130844 WBD130801:WBE130844 WKZ130801:WLA130844 WUV130801:WUW130844 IJ196337:IK196380 SF196337:SG196380 ACB196337:ACC196380 ALX196337:ALY196380 AVT196337:AVU196380 BFP196337:BFQ196380 BPL196337:BPM196380 BZH196337:BZI196380 CJD196337:CJE196380 CSZ196337:CTA196380 DCV196337:DCW196380 DMR196337:DMS196380 DWN196337:DWO196380 EGJ196337:EGK196380 EQF196337:EQG196380 FAB196337:FAC196380 FJX196337:FJY196380 FTT196337:FTU196380 GDP196337:GDQ196380 GNL196337:GNM196380 GXH196337:GXI196380 HHD196337:HHE196380 HQZ196337:HRA196380 IAV196337:IAW196380 IKR196337:IKS196380 IUN196337:IUO196380 JEJ196337:JEK196380 JOF196337:JOG196380 JYB196337:JYC196380 KHX196337:KHY196380 KRT196337:KRU196380 LBP196337:LBQ196380 LLL196337:LLM196380 LVH196337:LVI196380 MFD196337:MFE196380 MOZ196337:MPA196380 MYV196337:MYW196380 NIR196337:NIS196380 NSN196337:NSO196380 OCJ196337:OCK196380 OMF196337:OMG196380 OWB196337:OWC196380 PFX196337:PFY196380 PPT196337:PPU196380 PZP196337:PZQ196380 QJL196337:QJM196380 QTH196337:QTI196380 RDD196337:RDE196380 RMZ196337:RNA196380 RWV196337:RWW196380 SGR196337:SGS196380 SQN196337:SQO196380 TAJ196337:TAK196380 TKF196337:TKG196380 TUB196337:TUC196380 UDX196337:UDY196380 UNT196337:UNU196380 UXP196337:UXQ196380 VHL196337:VHM196380 VRH196337:VRI196380 WBD196337:WBE196380 WKZ196337:WLA196380 WUV196337:WUW196380 IJ261873:IK261916 SF261873:SG261916 ACB261873:ACC261916 ALX261873:ALY261916 AVT261873:AVU261916 BFP261873:BFQ261916 BPL261873:BPM261916 BZH261873:BZI261916 CJD261873:CJE261916 CSZ261873:CTA261916 DCV261873:DCW261916 DMR261873:DMS261916 DWN261873:DWO261916 EGJ261873:EGK261916 EQF261873:EQG261916 FAB261873:FAC261916 FJX261873:FJY261916 FTT261873:FTU261916 GDP261873:GDQ261916 GNL261873:GNM261916 GXH261873:GXI261916 HHD261873:HHE261916 HQZ261873:HRA261916 IAV261873:IAW261916 IKR261873:IKS261916 IUN261873:IUO261916 JEJ261873:JEK261916 JOF261873:JOG261916 JYB261873:JYC261916 KHX261873:KHY261916 KRT261873:KRU261916 LBP261873:LBQ261916 LLL261873:LLM261916 LVH261873:LVI261916 MFD261873:MFE261916 MOZ261873:MPA261916 MYV261873:MYW261916 NIR261873:NIS261916 NSN261873:NSO261916 OCJ261873:OCK261916 OMF261873:OMG261916 OWB261873:OWC261916 PFX261873:PFY261916 PPT261873:PPU261916 PZP261873:PZQ261916 QJL261873:QJM261916 QTH261873:QTI261916 RDD261873:RDE261916 RMZ261873:RNA261916 RWV261873:RWW261916 SGR261873:SGS261916 SQN261873:SQO261916 TAJ261873:TAK261916 TKF261873:TKG261916 TUB261873:TUC261916 UDX261873:UDY261916 UNT261873:UNU261916 UXP261873:UXQ261916 VHL261873:VHM261916 VRH261873:VRI261916 WBD261873:WBE261916 WKZ261873:WLA261916 WUV261873:WUW261916 IJ327409:IK327452 SF327409:SG327452 ACB327409:ACC327452 ALX327409:ALY327452 AVT327409:AVU327452 BFP327409:BFQ327452 BPL327409:BPM327452 BZH327409:BZI327452 CJD327409:CJE327452 CSZ327409:CTA327452 DCV327409:DCW327452 DMR327409:DMS327452 DWN327409:DWO327452 EGJ327409:EGK327452 EQF327409:EQG327452 FAB327409:FAC327452 FJX327409:FJY327452 FTT327409:FTU327452 GDP327409:GDQ327452 GNL327409:GNM327452 GXH327409:GXI327452 HHD327409:HHE327452 HQZ327409:HRA327452 IAV327409:IAW327452 IKR327409:IKS327452 IUN327409:IUO327452 JEJ327409:JEK327452 JOF327409:JOG327452 JYB327409:JYC327452 KHX327409:KHY327452 KRT327409:KRU327452 LBP327409:LBQ327452 LLL327409:LLM327452 LVH327409:LVI327452 MFD327409:MFE327452 MOZ327409:MPA327452 MYV327409:MYW327452 NIR327409:NIS327452 NSN327409:NSO327452 OCJ327409:OCK327452 OMF327409:OMG327452 OWB327409:OWC327452 PFX327409:PFY327452 PPT327409:PPU327452 PZP327409:PZQ327452 QJL327409:QJM327452 QTH327409:QTI327452 RDD327409:RDE327452 RMZ327409:RNA327452 RWV327409:RWW327452 SGR327409:SGS327452 SQN327409:SQO327452 TAJ327409:TAK327452 TKF327409:TKG327452 TUB327409:TUC327452 UDX327409:UDY327452 UNT327409:UNU327452 UXP327409:UXQ327452 VHL327409:VHM327452 VRH327409:VRI327452 WBD327409:WBE327452 WKZ327409:WLA327452 WUV327409:WUW327452 IJ392945:IK392988 SF392945:SG392988 ACB392945:ACC392988 ALX392945:ALY392988 AVT392945:AVU392988 BFP392945:BFQ392988 BPL392945:BPM392988 BZH392945:BZI392988 CJD392945:CJE392988 CSZ392945:CTA392988 DCV392945:DCW392988 DMR392945:DMS392988 DWN392945:DWO392988 EGJ392945:EGK392988 EQF392945:EQG392988 FAB392945:FAC392988 FJX392945:FJY392988 FTT392945:FTU392988 GDP392945:GDQ392988 GNL392945:GNM392988 GXH392945:GXI392988 HHD392945:HHE392988 HQZ392945:HRA392988 IAV392945:IAW392988 IKR392945:IKS392988 IUN392945:IUO392988 JEJ392945:JEK392988 JOF392945:JOG392988 JYB392945:JYC392988 KHX392945:KHY392988 KRT392945:KRU392988 LBP392945:LBQ392988 LLL392945:LLM392988 LVH392945:LVI392988 MFD392945:MFE392988 MOZ392945:MPA392988 MYV392945:MYW392988 NIR392945:NIS392988 NSN392945:NSO392988 OCJ392945:OCK392988 OMF392945:OMG392988 OWB392945:OWC392988 PFX392945:PFY392988 PPT392945:PPU392988 PZP392945:PZQ392988 QJL392945:QJM392988 QTH392945:QTI392988 RDD392945:RDE392988 RMZ392945:RNA392988 RWV392945:RWW392988 SGR392945:SGS392988 SQN392945:SQO392988 TAJ392945:TAK392988 TKF392945:TKG392988 TUB392945:TUC392988 UDX392945:UDY392988 UNT392945:UNU392988 UXP392945:UXQ392988 VHL392945:VHM392988 VRH392945:VRI392988 WBD392945:WBE392988 WKZ392945:WLA392988 WUV392945:WUW392988 IJ458481:IK458524 SF458481:SG458524 ACB458481:ACC458524 ALX458481:ALY458524 AVT458481:AVU458524 BFP458481:BFQ458524 BPL458481:BPM458524 BZH458481:BZI458524 CJD458481:CJE458524 CSZ458481:CTA458524 DCV458481:DCW458524 DMR458481:DMS458524 DWN458481:DWO458524 EGJ458481:EGK458524 EQF458481:EQG458524 FAB458481:FAC458524 FJX458481:FJY458524 FTT458481:FTU458524 GDP458481:GDQ458524 GNL458481:GNM458524 GXH458481:GXI458524 HHD458481:HHE458524 HQZ458481:HRA458524 IAV458481:IAW458524 IKR458481:IKS458524 IUN458481:IUO458524 JEJ458481:JEK458524 JOF458481:JOG458524 JYB458481:JYC458524 KHX458481:KHY458524 KRT458481:KRU458524 LBP458481:LBQ458524 LLL458481:LLM458524 LVH458481:LVI458524 MFD458481:MFE458524 MOZ458481:MPA458524 MYV458481:MYW458524 NIR458481:NIS458524 NSN458481:NSO458524 OCJ458481:OCK458524 OMF458481:OMG458524 OWB458481:OWC458524 PFX458481:PFY458524 PPT458481:PPU458524 PZP458481:PZQ458524 QJL458481:QJM458524 QTH458481:QTI458524 RDD458481:RDE458524 RMZ458481:RNA458524 RWV458481:RWW458524 SGR458481:SGS458524 SQN458481:SQO458524 TAJ458481:TAK458524 TKF458481:TKG458524 TUB458481:TUC458524 UDX458481:UDY458524 UNT458481:UNU458524 UXP458481:UXQ458524 VHL458481:VHM458524 VRH458481:VRI458524 WBD458481:WBE458524 WKZ458481:WLA458524 WUV458481:WUW458524 IJ524017:IK524060 SF524017:SG524060 ACB524017:ACC524060 ALX524017:ALY524060 AVT524017:AVU524060 BFP524017:BFQ524060 BPL524017:BPM524060 BZH524017:BZI524060 CJD524017:CJE524060 CSZ524017:CTA524060 DCV524017:DCW524060 DMR524017:DMS524060 DWN524017:DWO524060 EGJ524017:EGK524060 EQF524017:EQG524060 FAB524017:FAC524060 FJX524017:FJY524060 FTT524017:FTU524060 GDP524017:GDQ524060 GNL524017:GNM524060 GXH524017:GXI524060 HHD524017:HHE524060 HQZ524017:HRA524060 IAV524017:IAW524060 IKR524017:IKS524060 IUN524017:IUO524060 JEJ524017:JEK524060 JOF524017:JOG524060 JYB524017:JYC524060 KHX524017:KHY524060 KRT524017:KRU524060 LBP524017:LBQ524060 LLL524017:LLM524060 LVH524017:LVI524060 MFD524017:MFE524060 MOZ524017:MPA524060 MYV524017:MYW524060 NIR524017:NIS524060 NSN524017:NSO524060 OCJ524017:OCK524060 OMF524017:OMG524060 OWB524017:OWC524060 PFX524017:PFY524060 PPT524017:PPU524060 PZP524017:PZQ524060 QJL524017:QJM524060 QTH524017:QTI524060 RDD524017:RDE524060 RMZ524017:RNA524060 RWV524017:RWW524060 SGR524017:SGS524060 SQN524017:SQO524060 TAJ524017:TAK524060 TKF524017:TKG524060 TUB524017:TUC524060 UDX524017:UDY524060 UNT524017:UNU524060 UXP524017:UXQ524060 VHL524017:VHM524060 VRH524017:VRI524060 WBD524017:WBE524060 WKZ524017:WLA524060 WUV524017:WUW524060 IJ589553:IK589596 SF589553:SG589596 ACB589553:ACC589596 ALX589553:ALY589596 AVT589553:AVU589596 BFP589553:BFQ589596 BPL589553:BPM589596 BZH589553:BZI589596 CJD589553:CJE589596 CSZ589553:CTA589596 DCV589553:DCW589596 DMR589553:DMS589596 DWN589553:DWO589596 EGJ589553:EGK589596 EQF589553:EQG589596 FAB589553:FAC589596 FJX589553:FJY589596 FTT589553:FTU589596 GDP589553:GDQ589596 GNL589553:GNM589596 GXH589553:GXI589596 HHD589553:HHE589596 HQZ589553:HRA589596 IAV589553:IAW589596 IKR589553:IKS589596 IUN589553:IUO589596 JEJ589553:JEK589596 JOF589553:JOG589596 JYB589553:JYC589596 KHX589553:KHY589596 KRT589553:KRU589596 LBP589553:LBQ589596 LLL589553:LLM589596 LVH589553:LVI589596 MFD589553:MFE589596 MOZ589553:MPA589596 MYV589553:MYW589596 NIR589553:NIS589596 NSN589553:NSO589596 OCJ589553:OCK589596 OMF589553:OMG589596 OWB589553:OWC589596 PFX589553:PFY589596 PPT589553:PPU589596 PZP589553:PZQ589596 QJL589553:QJM589596 QTH589553:QTI589596 RDD589553:RDE589596 RMZ589553:RNA589596 RWV589553:RWW589596 SGR589553:SGS589596 SQN589553:SQO589596 TAJ589553:TAK589596 TKF589553:TKG589596 TUB589553:TUC589596 UDX589553:UDY589596 UNT589553:UNU589596 UXP589553:UXQ589596 VHL589553:VHM589596 VRH589553:VRI589596 WBD589553:WBE589596 WKZ589553:WLA589596 WUV589553:WUW589596 IJ655089:IK655132 SF655089:SG655132 ACB655089:ACC655132 ALX655089:ALY655132 AVT655089:AVU655132 BFP655089:BFQ655132 BPL655089:BPM655132 BZH655089:BZI655132 CJD655089:CJE655132 CSZ655089:CTA655132 DCV655089:DCW655132 DMR655089:DMS655132 DWN655089:DWO655132 EGJ655089:EGK655132 EQF655089:EQG655132 FAB655089:FAC655132 FJX655089:FJY655132 FTT655089:FTU655132 GDP655089:GDQ655132 GNL655089:GNM655132 GXH655089:GXI655132 HHD655089:HHE655132 HQZ655089:HRA655132 IAV655089:IAW655132 IKR655089:IKS655132 IUN655089:IUO655132 JEJ655089:JEK655132 JOF655089:JOG655132 JYB655089:JYC655132 KHX655089:KHY655132 KRT655089:KRU655132 LBP655089:LBQ655132 LLL655089:LLM655132 LVH655089:LVI655132 MFD655089:MFE655132 MOZ655089:MPA655132 MYV655089:MYW655132 NIR655089:NIS655132 NSN655089:NSO655132 OCJ655089:OCK655132 OMF655089:OMG655132 OWB655089:OWC655132 PFX655089:PFY655132 PPT655089:PPU655132 PZP655089:PZQ655132 QJL655089:QJM655132 QTH655089:QTI655132 RDD655089:RDE655132 RMZ655089:RNA655132 RWV655089:RWW655132 SGR655089:SGS655132 SQN655089:SQO655132 TAJ655089:TAK655132 TKF655089:TKG655132 TUB655089:TUC655132 UDX655089:UDY655132 UNT655089:UNU655132 UXP655089:UXQ655132 VHL655089:VHM655132 VRH655089:VRI655132 WBD655089:WBE655132 WKZ655089:WLA655132 WUV655089:WUW655132 IJ720625:IK720668 SF720625:SG720668 ACB720625:ACC720668 ALX720625:ALY720668 AVT720625:AVU720668 BFP720625:BFQ720668 BPL720625:BPM720668 BZH720625:BZI720668 CJD720625:CJE720668 CSZ720625:CTA720668 DCV720625:DCW720668 DMR720625:DMS720668 DWN720625:DWO720668 EGJ720625:EGK720668 EQF720625:EQG720668 FAB720625:FAC720668 FJX720625:FJY720668 FTT720625:FTU720668 GDP720625:GDQ720668 GNL720625:GNM720668 GXH720625:GXI720668 HHD720625:HHE720668 HQZ720625:HRA720668 IAV720625:IAW720668 IKR720625:IKS720668 IUN720625:IUO720668 JEJ720625:JEK720668 JOF720625:JOG720668 JYB720625:JYC720668 KHX720625:KHY720668 KRT720625:KRU720668 LBP720625:LBQ720668 LLL720625:LLM720668 LVH720625:LVI720668 MFD720625:MFE720668 MOZ720625:MPA720668 MYV720625:MYW720668 NIR720625:NIS720668 NSN720625:NSO720668 OCJ720625:OCK720668 OMF720625:OMG720668 OWB720625:OWC720668 PFX720625:PFY720668 PPT720625:PPU720668 PZP720625:PZQ720668 QJL720625:QJM720668 QTH720625:QTI720668 RDD720625:RDE720668 RMZ720625:RNA720668 RWV720625:RWW720668 SGR720625:SGS720668 SQN720625:SQO720668 TAJ720625:TAK720668 TKF720625:TKG720668 TUB720625:TUC720668 UDX720625:UDY720668 UNT720625:UNU720668 UXP720625:UXQ720668 VHL720625:VHM720668 VRH720625:VRI720668 WBD720625:WBE720668 WKZ720625:WLA720668 WUV720625:WUW720668 IJ786161:IK786204 SF786161:SG786204 ACB786161:ACC786204 ALX786161:ALY786204 AVT786161:AVU786204 BFP786161:BFQ786204 BPL786161:BPM786204 BZH786161:BZI786204 CJD786161:CJE786204 CSZ786161:CTA786204 DCV786161:DCW786204 DMR786161:DMS786204 DWN786161:DWO786204 EGJ786161:EGK786204 EQF786161:EQG786204 FAB786161:FAC786204 FJX786161:FJY786204 FTT786161:FTU786204 GDP786161:GDQ786204 GNL786161:GNM786204 GXH786161:GXI786204 HHD786161:HHE786204 HQZ786161:HRA786204 IAV786161:IAW786204 IKR786161:IKS786204 IUN786161:IUO786204 JEJ786161:JEK786204 JOF786161:JOG786204 JYB786161:JYC786204 KHX786161:KHY786204 KRT786161:KRU786204 LBP786161:LBQ786204 LLL786161:LLM786204 LVH786161:LVI786204 MFD786161:MFE786204 MOZ786161:MPA786204 MYV786161:MYW786204 NIR786161:NIS786204 NSN786161:NSO786204 OCJ786161:OCK786204 OMF786161:OMG786204 OWB786161:OWC786204 PFX786161:PFY786204 PPT786161:PPU786204 PZP786161:PZQ786204 QJL786161:QJM786204 QTH786161:QTI786204 RDD786161:RDE786204 RMZ786161:RNA786204 RWV786161:RWW786204 SGR786161:SGS786204 SQN786161:SQO786204 TAJ786161:TAK786204 TKF786161:TKG786204 TUB786161:TUC786204 UDX786161:UDY786204 UNT786161:UNU786204 UXP786161:UXQ786204 VHL786161:VHM786204 VRH786161:VRI786204 WBD786161:WBE786204 WKZ786161:WLA786204 WUV786161:WUW786204 IJ851697:IK851740 SF851697:SG851740 ACB851697:ACC851740 ALX851697:ALY851740 AVT851697:AVU851740 BFP851697:BFQ851740 BPL851697:BPM851740 BZH851697:BZI851740 CJD851697:CJE851740 CSZ851697:CTA851740 DCV851697:DCW851740 DMR851697:DMS851740 DWN851697:DWO851740 EGJ851697:EGK851740 EQF851697:EQG851740 FAB851697:FAC851740 FJX851697:FJY851740 FTT851697:FTU851740 GDP851697:GDQ851740 GNL851697:GNM851740 GXH851697:GXI851740 HHD851697:HHE851740 HQZ851697:HRA851740 IAV851697:IAW851740 IKR851697:IKS851740 IUN851697:IUO851740 JEJ851697:JEK851740 JOF851697:JOG851740 JYB851697:JYC851740 KHX851697:KHY851740 KRT851697:KRU851740 LBP851697:LBQ851740 LLL851697:LLM851740 LVH851697:LVI851740 MFD851697:MFE851740 MOZ851697:MPA851740 MYV851697:MYW851740 NIR851697:NIS851740 NSN851697:NSO851740 OCJ851697:OCK851740 OMF851697:OMG851740 OWB851697:OWC851740 PFX851697:PFY851740 PPT851697:PPU851740 PZP851697:PZQ851740 QJL851697:QJM851740 QTH851697:QTI851740 RDD851697:RDE851740 RMZ851697:RNA851740 RWV851697:RWW851740 SGR851697:SGS851740 SQN851697:SQO851740 TAJ851697:TAK851740 TKF851697:TKG851740 TUB851697:TUC851740 UDX851697:UDY851740 UNT851697:UNU851740 UXP851697:UXQ851740 VHL851697:VHM851740 VRH851697:VRI851740 WBD851697:WBE851740 WKZ851697:WLA851740 WUV851697:WUW851740 IJ917233:IK917276 SF917233:SG917276 ACB917233:ACC917276 ALX917233:ALY917276 AVT917233:AVU917276 BFP917233:BFQ917276 BPL917233:BPM917276 BZH917233:BZI917276 CJD917233:CJE917276 CSZ917233:CTA917276 DCV917233:DCW917276 DMR917233:DMS917276 DWN917233:DWO917276 EGJ917233:EGK917276 EQF917233:EQG917276 FAB917233:FAC917276 FJX917233:FJY917276 FTT917233:FTU917276 GDP917233:GDQ917276 GNL917233:GNM917276 GXH917233:GXI917276 HHD917233:HHE917276 HQZ917233:HRA917276 IAV917233:IAW917276 IKR917233:IKS917276 IUN917233:IUO917276 JEJ917233:JEK917276 JOF917233:JOG917276 JYB917233:JYC917276 KHX917233:KHY917276 KRT917233:KRU917276 LBP917233:LBQ917276 LLL917233:LLM917276 LVH917233:LVI917276 MFD917233:MFE917276 MOZ917233:MPA917276 MYV917233:MYW917276 NIR917233:NIS917276 NSN917233:NSO917276 OCJ917233:OCK917276 OMF917233:OMG917276 OWB917233:OWC917276 PFX917233:PFY917276 PPT917233:PPU917276 PZP917233:PZQ917276 QJL917233:QJM917276 QTH917233:QTI917276 RDD917233:RDE917276 RMZ917233:RNA917276 RWV917233:RWW917276 SGR917233:SGS917276 SQN917233:SQO917276 TAJ917233:TAK917276 TKF917233:TKG917276 TUB917233:TUC917276 UDX917233:UDY917276 UNT917233:UNU917276 UXP917233:UXQ917276 VHL917233:VHM917276 VRH917233:VRI917276 WBD917233:WBE917276 WKZ917233:WLA917276 WUV917233:WUW917276 IJ982769:IK982812 SF982769:SG982812 ACB982769:ACC982812 ALX982769:ALY982812 AVT982769:AVU982812 BFP982769:BFQ982812 BPL982769:BPM982812 BZH982769:BZI982812 CJD982769:CJE982812 CSZ982769:CTA982812 DCV982769:DCW982812 DMR982769:DMS982812 DWN982769:DWO982812 EGJ982769:EGK982812 EQF982769:EQG982812 FAB982769:FAC982812 FJX982769:FJY982812 FTT982769:FTU982812 GDP982769:GDQ982812 GNL982769:GNM982812 GXH982769:GXI982812 HHD982769:HHE982812 HQZ982769:HRA982812 IAV982769:IAW982812 IKR982769:IKS982812 IUN982769:IUO982812 JEJ982769:JEK982812 JOF982769:JOG982812 JYB982769:JYC982812 KHX982769:KHY982812 KRT982769:KRU982812 LBP982769:LBQ982812 LLL982769:LLM982812 LVH982769:LVI982812 MFD982769:MFE982812 MOZ982769:MPA982812 MYV982769:MYW982812 NIR982769:NIS982812 NSN982769:NSO982812 OCJ982769:OCK982812 OMF982769:OMG982812 OWB982769:OWC982812 PFX982769:PFY982812 PPT982769:PPU982812 PZP982769:PZQ982812 QJL982769:QJM982812 QTH982769:QTI982812 RDD982769:RDE982812 RMZ982769:RNA982812 RWV982769:RWW982812 SGR982769:SGS982812 SQN982769:SQO982812 TAJ982769:TAK982812 TKF982769:TKG982812 TUB982769:TUC982812 UDX982769:UDY982812 UNT982769:UNU982812 UXP982769:UXQ982812 VHL982769:VHM982812 VRH982769:VRI982812 WBD982769:WBE982812 WKZ982769:WLA982812 WUV10:WUW15 WKZ10:WLA15 WBD10:WBE15 VRH10:VRI15 VHL10:VHM15 UXP10:UXQ15 UNT10:UNU15 UDX10:UDY15 TUB10:TUC15 TKF10:TKG15 TAJ10:TAK15 SQN10:SQO15 SGR10:SGS15 RWV10:RWW15 RMZ10:RNA15 RDD10:RDE15 QTH10:QTI15 QJL10:QJM15 PZP10:PZQ15 PPT10:PPU15 PFX10:PFY15 OWB10:OWC15 OMF10:OMG15 OCJ10:OCK15 NSN10:NSO15 NIR10:NIS15 MYV10:MYW15 MOZ10:MPA15 MFD10:MFE15 LVH10:LVI15 LLL10:LLM15 LBP10:LBQ15 KRT10:KRU15 KHX10:KHY15 JYB10:JYC15 JOF10:JOG15 JEJ10:JEK15 IUN10:IUO15 IKR10:IKS15 IAV10:IAW15 HQZ10:HRA15 HHD10:HHE15 GXH10:GXI15 GNL10:GNM15 GDP10:GDQ15 FTT10:FTU15 FJX10:FJY15 FAB10:FAC15 EQF10:EQG15 EGJ10:EGK15 DWN10:DWO15 DMR10:DMS15 DCV10:DCW15 CSZ10:CTA15 CJD10:CJE15 BZH10:BZI15 BPL10:BPM15 BFP10:BFQ15 AVT10:AVU15 ALX10:ALY15 ACB10:ACC15 SF10:SG15 IJ10:IK15 IJ17:IK34 WUV17:WUW34 WKZ17:WLA34 WBD17:WBE34 VRH17:VRI34 VHL17:VHM34 UXP17:UXQ34 UNT17:UNU34 UDX17:UDY34 TUB17:TUC34 TKF17:TKG34 TAJ17:TAK34 SQN17:SQO34 SGR17:SGS34 RWV17:RWW34 RMZ17:RNA34 RDD17:RDE34 QTH17:QTI34 QJL17:QJM34 PZP17:PZQ34 PPT17:PPU34 PFX17:PFY34 OWB17:OWC34 OMF17:OMG34 OCJ17:OCK34 NSN17:NSO34 NIR17:NIS34 MYV17:MYW34 MOZ17:MPA34 MFD17:MFE34 LVH17:LVI34 LLL17:LLM34 LBP17:LBQ34 KRT17:KRU34 KHX17:KHY34 JYB17:JYC34 JOF17:JOG34 JEJ17:JEK34 IUN17:IUO34 IKR17:IKS34 IAV17:IAW34 HQZ17:HRA34 HHD17:HHE34 GXH17:GXI34 GNL17:GNM34 GDP17:GDQ34 FTT17:FTU34 FJX17:FJY34 FAB17:FAC34 EQF17:EQG34 EGJ17:EGK34 DWN17:DWO34 DMR17:DMS34 DCV17:DCW34 CSZ17:CTA34 CJD17:CJE34 BZH17:BZI34 BPL17:BPM34 BFP17:BFQ34 AVT17:AVU34 ALX17:ALY34 ACB17:ACC34 SF17:SG34 IU17:IU34 WVE17:WVE34 WLI17:WLI34 WBM17:WBM34 VRQ17:VRQ34 VHU17:VHU34 UXY17:UXY34 UOC17:UOC34 UEG17:UEG34 TUK17:TUK34 TKO17:TKO34 TAS17:TAS34 SQW17:SQW34 SHA17:SHA34 RXE17:RXE34 RNI17:RNI34 RDM17:RDM34 QTQ17:QTQ34 QJU17:QJU34 PZY17:PZY34 PQC17:PQC34 PGG17:PGG34 OWK17:OWK34 OMO17:OMO34 OCS17:OCS34 NSW17:NSW34 NJA17:NJA34 MZE17:MZE34 MPI17:MPI34 MFM17:MFM34 LVQ17:LVQ34 LLU17:LLU34 LBY17:LBY34 KSC17:KSC34 KIG17:KIG34 JYK17:JYK34 JOO17:JOO34 JES17:JES34 IUW17:IUW34 ILA17:ILA34 IBE17:IBE34 HRI17:HRI34 HHM17:HHM34 GXQ17:GXQ34 GNU17:GNU34 GDY17:GDY34 FUC17:FUC34 FKG17:FKG34 FAK17:FAK34 EQO17:EQO34 EGS17:EGS34 DWW17:DWW34 DNA17:DNA34 DDE17:DDE34 CTI17:CTI34 CJM17:CJM34 BZQ17:BZQ34 BPU17:BPU34 BFY17:BFY34 AWC17:AWC34 AMG17:AMG34 ACK17:ACK34 SO17:SO34 IS17:IS34 WVG17:WVG34 WLK17:WLK34 WBO17:WBO34 VRS17:VRS34 VHW17:VHW34 UYA17:UYA34 UOE17:UOE34 UEI17:UEI34 TUM17:TUM34 TKQ17:TKQ34 TAU17:TAU34 SQY17:SQY34 SHC17:SHC34 RXG17:RXG34 RNK17:RNK34 RDO17:RDO34 QTS17:QTS34 QJW17:QJW34 QAA17:QAA34 PQE17:PQE34 PGI17:PGI34 OWM17:OWM34 OMQ17:OMQ34 OCU17:OCU34 NSY17:NSY34 NJC17:NJC34 MZG17:MZG34 MPK17:MPK34 MFO17:MFO34 LVS17:LVS34 LLW17:LLW34 LCA17:LCA34 KSE17:KSE34 KII17:KII34 JYM17:JYM34 JOQ17:JOQ34 JEU17:JEU34 IUY17:IUY34 ILC17:ILC34 IBG17:IBG34 HRK17:HRK34 HHO17:HHO34 GXS17:GXS34 GNW17:GNW34 GEA17:GEA34 FUE17:FUE34 FKI17:FKI34 FAM17:FAM34 EQQ17:EQQ34 EGU17:EGU34 DWY17:DWY34 DNC17:DNC34 DDG17:DDG34 CTK17:CTK34 CJO17:CJO34 BZS17:BZS34 BPW17:BPW34 BGA17:BGA34 AWE17:AWE34 AMI17:AMI34 ACM17:ACM34 SQ17:SQ34 IM17:IQ34 WUY17:WVC34 WLC17:WLG34 WBG17:WBK34 VRK17:VRO34 VHO17:VHS34 UXS17:UXW34 UNW17:UOA34 UEA17:UEE34 TUE17:TUI34 TKI17:TKM34 TAM17:TAQ34 SQQ17:SQU34 SGU17:SGY34 RWY17:RXC34 RNC17:RNG34 RDG17:RDK34 QTK17:QTO34 QJO17:QJS34 PZS17:PZW34 PPW17:PQA34 PGA17:PGE34 OWE17:OWI34 OMI17:OMM34 OCM17:OCQ34 NSQ17:NSU34 NIU17:NIY34 MYY17:MZC34 MPC17:MPG34 MFG17:MFK34 LVK17:LVO34 LLO17:LLS34 LBS17:LBW34 KRW17:KSA34 KIA17:KIE34 JYE17:JYI34 JOI17:JOM34 JEM17:JEQ34 IUQ17:IUU34 IKU17:IKY34 IAY17:IBC34 HRC17:HRG34 HHG17:HHK34 GXK17:GXO34 GNO17:GNS34 GDS17:GDW34 FTW17:FUA34 FKA17:FKE34 FAE17:FAI34 EQI17:EQM34 EGM17:EGQ34 DWQ17:DWU34 DMU17:DMY34 DCY17:DDC34 CTC17:CTG34 CJG17:CJK34 BZK17:BZO34 BPO17:BPS34 BFS17:BFW34 AVW17:AWA34 AMA17:AME34 ACE17:ACI34 SI17:SM34 IC36:IC43 RY36:RY43 ABU36:ABU43 ALQ36:ALQ43 AVM36:AVM43 BFI36:BFI43 BPE36:BPE43 BZA36:BZA43 CIW36:CIW43 CSS36:CSS43 DCO36:DCO43 DMK36:DMK43 DWG36:DWG43 EGC36:EGC43 EPY36:EPY43 EZU36:EZU43 FJQ36:FJQ43 FTM36:FTM43 GDI36:GDI43 GNE36:GNE43 GXA36:GXA43 HGW36:HGW43 HQS36:HQS43 IAO36:IAO43 IKK36:IKK43 IUG36:IUG43 JEC36:JEC43 JNY36:JNY43 JXU36:JXU43 KHQ36:KHQ43 KRM36:KRM43 LBI36:LBI43 LLE36:LLE43 LVA36:LVA43 MEW36:MEW43 MOS36:MOS43 MYO36:MYO43 NIK36:NIK43 NSG36:NSG43 OCC36:OCC43 OLY36:OLY43 OVU36:OVU43 PFQ36:PFQ43 PPM36:PPM43 PZI36:PZI43 QJE36:QJE43 QTA36:QTA43 RCW36:RCW43 RMS36:RMS43 RWO36:RWO43 SGK36:SGK43 SQG36:SQG43 TAC36:TAC43 TJY36:TJY43 TTU36:TTU43 UDQ36:UDQ43 UNM36:UNM43 UXI36:UXI43 VHE36:VHE43 VRA36:VRA43 WAW36:WAW43 WKS36:WKS43 WUO36:WUO43 BFS36:BFW43 BPO36:BPS43 BZK36:BZO43 CJG36:CJK43 CTC36:CTG43 DCY36:DDC43 DMU36:DMY43 DWQ36:DWU43 EGM36:EGQ43 EQI36:EQM43 FAE36:FAI43 FKA36:FKE43 FTW36:FUA43 GDS36:GDW43 GNO36:GNS43 GXK36:GXO43 HHG36:HHK43 HRC36:HRG43 IAY36:IBC43 IKU36:IKY43 IUQ36:IUU43 JEM36:JEQ43 JOI36:JOM43 JYE36:JYI43 KIA36:KIE43 KRW36:KSA43 LBS36:LBW43 LLO36:LLS43 LVK36:LVO43 MFG36:MFK43 MPC36:MPG43 MYY36:MZC43 NIU36:NIY43 NSQ36:NSU43 OCM36:OCQ43 OMI36:OMM43 OWE36:OWI43 PGA36:PGE43 PPW36:PQA43 PZS36:PZW43 QJO36:QJS43 QTK36:QTO43 RDG36:RDK43 RNC36:RNG43 RWY36:RXC43 SGU36:SGY43 SQQ36:SQU43 TAM36:TAQ43 TKI36:TKM43 TUE36:TUI43 UEA36:UEE43 UNW36:UOA43 UXS36:UXW43 VHO36:VHS43 VRK36:VRO43 WBG36:WBK43 WLC36:WLG43 WUY36:WVC43 IM36:IQ43 SQ36:SQ43 ACM36:ACM43 AMI36:AMI43 AWE36:AWE43 BGA36:BGA43 BPW36:BPW43 BZS36:BZS43 CJO36:CJO43 CTK36:CTK43 DDG36:DDG43 DNC36:DNC43 DWY36:DWY43 EGU36:EGU43 EQQ36:EQQ43 FAM36:FAM43 FKI36:FKI43 FUE36:FUE43 GEA36:GEA43 GNW36:GNW43 GXS36:GXS43 HHO36:HHO43 HRK36:HRK43 IBG36:IBG43 ILC36:ILC43 IUY36:IUY43 JEU36:JEU43 JOQ36:JOQ43 JYM36:JYM43 KII36:KII43 KSE36:KSE43 LCA36:LCA43 LLW36:LLW43 LVS36:LVS43 MFO36:MFO43 MPK36:MPK43 MZG36:MZG43 NJC36:NJC43 NSY36:NSY43 OCU36:OCU43 OMQ36:OMQ43 OWM36:OWM43 PGI36:PGI43 PQE36:PQE43 QAA36:QAA43 QJW36:QJW43 QTS36:QTS43 RDO36:RDO43 RNK36:RNK43 RXG36:RXG43 SHC36:SHC43 SQY36:SQY43 TAU36:TAU43 TKQ36:TKQ43 TUM36:TUM43 UEI36:UEI43 UOE36:UOE43 UYA36:UYA43 VHW36:VHW43 VRS36:VRS43 WBO36:WBO43 WLK36:WLK43 WVG36:WVG43 IS36:IS43 SO36:SO43 ACK36:ACK43 AMG36:AMG43 AWC36:AWC43 BFY36:BFY43 BPU36:BPU43 BZQ36:BZQ43 CJM36:CJM43 CTI36:CTI43 DDE36:DDE43 DNA36:DNA43 DWW36:DWW43 EGS36:EGS43 EQO36:EQO43 FAK36:FAK43 FKG36:FKG43 FUC36:FUC43 GDY36:GDY43 GNU36:GNU43 GXQ36:GXQ43 HHM36:HHM43 HRI36:HRI43 IBE36:IBE43 ILA36:ILA43 IUW36:IUW43 JES36:JES43 JOO36:JOO43 JYK36:JYK43 KIG36:KIG43 KSC36:KSC43 LBY36:LBY43 LLU36:LLU43 LVQ36:LVQ43 MFM36:MFM43 MPI36:MPI43 MZE36:MZE43 NJA36:NJA43 NSW36:NSW43 OCS36:OCS43 OMO36:OMO43 OWK36:OWK43 PGG36:PGG43 PQC36:PQC43 PZY36:PZY43 QJU36:QJU43 QTQ36:QTQ43 RDM36:RDM43 RNI36:RNI43 RXE36:RXE43 SHA36:SHA43 SQW36:SQW43 TAS36:TAS43 TKO36:TKO43 TUK36:TUK43 UEG36:UEG43 UOC36:UOC43 UXY36:UXY43 VHU36:VHU43 VRQ36:VRQ43 WBM36:WBM43 WLI36:WLI43 WVE36:WVE43 IU36:IU43 SF36:SG43 ACB36:ACC43 ALX36:ALY43 AVT36:AVU43 BFP36:BFQ43 BPL36:BPM43 BZH36:BZI43 CJD36:CJE43 CSZ36:CTA43 DCV36:DCW43 DMR36:DMS43 DWN36:DWO43 EGJ36:EGK43 EQF36:EQG43 FAB36:FAC43 FJX36:FJY43 FTT36:FTU43 GDP36:GDQ43 GNL36:GNM43 GXH36:GXI43 HHD36:HHE43 HQZ36:HRA43 IAV36:IAW43 IKR36:IKS43 IUN36:IUO43 JEJ36:JEK43 JOF36:JOG43 JYB36:JYC43 KHX36:KHY43 KRT36:KRU43 LBP36:LBQ43 LLL36:LLM43 LVH36:LVI43 MFD36:MFE43 MOZ36:MPA43 MYV36:MYW43 NIR36:NIS43 NSN36:NSO43 OCJ36:OCK43 OMF36:OMG43 OWB36:OWC43 PFX36:PFY43 PPT36:PPU43 PZP36:PZQ43 QJL36:QJM43 QTH36:QTI43 RDD36:RDE43 RMZ36:RNA43 RWV36:RWW43 SGR36:SGS43 SQN36:SQO43 TAJ36:TAK43 TKF36:TKG43 TUB36:TUC43 UDX36:UDY43 UNT36:UNU43 UXP36:UXQ43 VHL36:VHM43 VRH36:VRI43 WBD36:WBE43 WKZ36:WLA43 WUV36:WUW43 IJ36:IK43 SI36:SM43 ACE36:ACI43 AMA36:AME43 AVW36:AWA43" xr:uid="{00000000-0002-0000-0A00-000002000000}">
      <formula1>#REF!</formula1>
    </dataValidation>
  </dataValidations>
  <pageMargins left="0.23622047244094491" right="0.23622047244094491" top="0.74803149606299213" bottom="0.74803149606299213" header="0.31496062992125984" footer="0.31496062992125984"/>
  <pageSetup paperSize="9" scale="72" orientation="portrait" r:id="rId1"/>
  <rowBreaks count="1" manualBreakCount="1">
    <brk id="40" max="16383" man="1"/>
  </rowBreak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A00-000003000000}">
          <x14:formula1>
            <xm:f>リスト!$J$2:$J$5</xm:f>
          </x14:formula1>
          <xm:sqref>D9:D108</xm:sqref>
        </x14:dataValidation>
        <x14:dataValidation type="list" allowBlank="1" showInputMessage="1" showErrorMessage="1" xr:uid="{00000000-0002-0000-0A00-000004000000}">
          <x14:formula1>
            <xm:f>リスト!$I$2:$I$5</xm:f>
          </x14:formula1>
          <xm:sqref>B9:C107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2" tint="-9.9978637043366805E-2"/>
  </sheetPr>
  <dimension ref="A1:EI149"/>
  <sheetViews>
    <sheetView workbookViewId="0">
      <selection sqref="A1:BQ2"/>
    </sheetView>
  </sheetViews>
  <sheetFormatPr defaultColWidth="2.88671875" defaultRowHeight="13.2"/>
  <cols>
    <col min="1" max="16384" width="2.88671875" style="125"/>
  </cols>
  <sheetData>
    <row r="1" spans="1:139" ht="13.5" customHeight="1">
      <c r="A1" s="908" t="s">
        <v>593</v>
      </c>
      <c r="B1" s="908"/>
      <c r="C1" s="908"/>
      <c r="D1" s="908"/>
      <c r="E1" s="908"/>
      <c r="F1" s="908"/>
      <c r="G1" s="908"/>
      <c r="H1" s="908"/>
      <c r="I1" s="908"/>
      <c r="J1" s="908"/>
      <c r="K1" s="908"/>
      <c r="L1" s="908"/>
      <c r="M1" s="908"/>
      <c r="N1" s="908"/>
      <c r="O1" s="908"/>
      <c r="P1" s="908"/>
      <c r="Q1" s="908"/>
      <c r="R1" s="908"/>
      <c r="S1" s="908"/>
      <c r="T1" s="908"/>
      <c r="U1" s="908"/>
      <c r="V1" s="908"/>
      <c r="W1" s="908"/>
      <c r="X1" s="908"/>
      <c r="Y1" s="908"/>
      <c r="Z1" s="908"/>
      <c r="AA1" s="908"/>
      <c r="AB1" s="908"/>
      <c r="AC1" s="908"/>
      <c r="AD1" s="908"/>
      <c r="AE1" s="908"/>
      <c r="AF1" s="908"/>
      <c r="AG1" s="908"/>
      <c r="AH1" s="908"/>
      <c r="AI1" s="908"/>
      <c r="AJ1" s="908"/>
      <c r="AK1" s="908"/>
      <c r="AL1" s="908"/>
      <c r="AM1" s="908"/>
      <c r="AN1" s="908"/>
      <c r="AO1" s="908"/>
      <c r="AP1" s="908"/>
      <c r="AQ1" s="908"/>
      <c r="AR1" s="908"/>
      <c r="AS1" s="908"/>
      <c r="AT1" s="908"/>
      <c r="AU1" s="908"/>
      <c r="AV1" s="908"/>
      <c r="AW1" s="908"/>
      <c r="AX1" s="908"/>
      <c r="AY1" s="908"/>
      <c r="AZ1" s="908"/>
      <c r="BA1" s="908"/>
      <c r="BB1" s="908"/>
      <c r="BC1" s="908"/>
      <c r="BD1" s="908"/>
      <c r="BE1" s="908"/>
      <c r="BF1" s="908"/>
      <c r="BG1" s="908"/>
      <c r="BH1" s="908"/>
      <c r="BI1" s="908"/>
      <c r="BJ1" s="908"/>
      <c r="BK1" s="908"/>
      <c r="BL1" s="908"/>
      <c r="BM1" s="908"/>
      <c r="BN1" s="908"/>
      <c r="BO1" s="908"/>
      <c r="BP1" s="908"/>
      <c r="BQ1" s="908"/>
      <c r="CG1" s="126"/>
      <c r="CJ1" s="127"/>
      <c r="CK1" s="128"/>
      <c r="CL1" s="128"/>
      <c r="CM1" s="128"/>
      <c r="CN1" s="129"/>
      <c r="CO1" s="128"/>
      <c r="CQ1" s="129" t="s">
        <v>170</v>
      </c>
    </row>
    <row r="2" spans="1:139" ht="13.5" customHeight="1">
      <c r="A2" s="908"/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  <c r="V2" s="908"/>
      <c r="W2" s="908"/>
      <c r="X2" s="908"/>
      <c r="Y2" s="908"/>
      <c r="Z2" s="908"/>
      <c r="AA2" s="908"/>
      <c r="AB2" s="908"/>
      <c r="AC2" s="908"/>
      <c r="AD2" s="908"/>
      <c r="AE2" s="908"/>
      <c r="AF2" s="908"/>
      <c r="AG2" s="908"/>
      <c r="AH2" s="908"/>
      <c r="AI2" s="908"/>
      <c r="AJ2" s="908"/>
      <c r="AK2" s="908"/>
      <c r="AL2" s="908"/>
      <c r="AM2" s="908"/>
      <c r="AN2" s="908"/>
      <c r="AO2" s="908"/>
      <c r="AP2" s="908"/>
      <c r="AQ2" s="908"/>
      <c r="AR2" s="908"/>
      <c r="AS2" s="908"/>
      <c r="AT2" s="908"/>
      <c r="AU2" s="908"/>
      <c r="AV2" s="908"/>
      <c r="AW2" s="908"/>
      <c r="AX2" s="908"/>
      <c r="AY2" s="908"/>
      <c r="AZ2" s="908"/>
      <c r="BA2" s="908"/>
      <c r="BB2" s="908"/>
      <c r="BC2" s="908"/>
      <c r="BD2" s="908"/>
      <c r="BE2" s="908"/>
      <c r="BF2" s="908"/>
      <c r="BG2" s="908"/>
      <c r="BH2" s="908"/>
      <c r="BI2" s="908"/>
      <c r="BJ2" s="908"/>
      <c r="BK2" s="908"/>
      <c r="BL2" s="908"/>
      <c r="BM2" s="908"/>
      <c r="BN2" s="908"/>
      <c r="BO2" s="908"/>
      <c r="BP2" s="908"/>
      <c r="BQ2" s="908"/>
      <c r="CG2" s="126"/>
      <c r="CJ2" s="127"/>
      <c r="CK2" s="128"/>
      <c r="CL2" s="128"/>
      <c r="CM2" s="128"/>
      <c r="CN2" s="129"/>
      <c r="CO2" s="128"/>
      <c r="CQ2" s="129" t="s">
        <v>174</v>
      </c>
    </row>
    <row r="3" spans="1:139" ht="13.8" thickBot="1">
      <c r="CG3" s="126"/>
      <c r="CJ3" s="127"/>
      <c r="CK3" s="128"/>
      <c r="CL3" s="128"/>
      <c r="CM3" s="128"/>
      <c r="CN3" s="128"/>
      <c r="CO3" s="128"/>
    </row>
    <row r="4" spans="1:139">
      <c r="B4" s="909" t="s">
        <v>741</v>
      </c>
      <c r="C4" s="910"/>
      <c r="D4" s="910"/>
      <c r="E4" s="910"/>
      <c r="F4" s="910"/>
      <c r="G4" s="910"/>
      <c r="H4" s="910"/>
      <c r="I4" s="910"/>
      <c r="J4" s="910"/>
      <c r="K4" s="910"/>
      <c r="L4" s="910"/>
      <c r="M4" s="910"/>
      <c r="N4" s="910"/>
      <c r="O4" s="910"/>
      <c r="P4" s="910"/>
      <c r="Q4" s="910"/>
      <c r="R4" s="910"/>
      <c r="S4" s="910"/>
      <c r="T4" s="910"/>
      <c r="U4" s="910"/>
      <c r="V4" s="910"/>
      <c r="W4" s="910"/>
      <c r="X4" s="910"/>
      <c r="Y4" s="910"/>
      <c r="Z4" s="910"/>
      <c r="AA4" s="910"/>
      <c r="AB4" s="910"/>
      <c r="AC4" s="910"/>
      <c r="AD4" s="910"/>
      <c r="AE4" s="910"/>
      <c r="AF4" s="910"/>
      <c r="AG4" s="910"/>
      <c r="AH4" s="910"/>
      <c r="AI4" s="910"/>
      <c r="AJ4" s="910"/>
      <c r="AK4" s="910"/>
      <c r="AL4" s="910"/>
      <c r="AM4" s="910"/>
      <c r="AN4" s="910"/>
      <c r="AO4" s="910"/>
      <c r="AP4" s="910"/>
      <c r="AQ4" s="910"/>
      <c r="AR4" s="910"/>
      <c r="AS4" s="910"/>
      <c r="AT4" s="910"/>
      <c r="AU4" s="910"/>
      <c r="AV4" s="910"/>
      <c r="AW4" s="910"/>
      <c r="AX4" s="910"/>
      <c r="AY4" s="910"/>
      <c r="AZ4" s="910"/>
      <c r="BA4" s="910"/>
      <c r="BB4" s="910"/>
      <c r="BC4" s="910"/>
      <c r="BD4" s="910"/>
      <c r="BE4" s="910"/>
      <c r="BF4" s="910"/>
      <c r="BG4" s="910"/>
      <c r="BH4" s="910"/>
      <c r="BI4" s="910"/>
      <c r="BJ4" s="910"/>
      <c r="BK4" s="910"/>
      <c r="BL4" s="910"/>
      <c r="BM4" s="910"/>
      <c r="BN4" s="910"/>
      <c r="BO4" s="910"/>
      <c r="BP4" s="910"/>
      <c r="BQ4" s="911"/>
      <c r="CG4" s="126"/>
      <c r="CJ4" s="127"/>
      <c r="CK4" s="128"/>
      <c r="CL4" s="128"/>
      <c r="CM4" s="128"/>
      <c r="CN4" s="128"/>
      <c r="CO4" s="128"/>
    </row>
    <row r="5" spans="1:139">
      <c r="B5" s="912"/>
      <c r="C5" s="913"/>
      <c r="D5" s="913"/>
      <c r="E5" s="913"/>
      <c r="F5" s="913"/>
      <c r="G5" s="913"/>
      <c r="H5" s="913"/>
      <c r="I5" s="913"/>
      <c r="J5" s="913"/>
      <c r="K5" s="913"/>
      <c r="L5" s="913"/>
      <c r="M5" s="913"/>
      <c r="N5" s="913"/>
      <c r="O5" s="913"/>
      <c r="P5" s="913"/>
      <c r="Q5" s="913"/>
      <c r="R5" s="913"/>
      <c r="S5" s="913"/>
      <c r="T5" s="913"/>
      <c r="U5" s="913"/>
      <c r="V5" s="913"/>
      <c r="W5" s="913"/>
      <c r="X5" s="913"/>
      <c r="Y5" s="913"/>
      <c r="Z5" s="913"/>
      <c r="AA5" s="913"/>
      <c r="AB5" s="913"/>
      <c r="AC5" s="913"/>
      <c r="AD5" s="913"/>
      <c r="AE5" s="913"/>
      <c r="AF5" s="913"/>
      <c r="AG5" s="913"/>
      <c r="AH5" s="913"/>
      <c r="AI5" s="913"/>
      <c r="AJ5" s="913"/>
      <c r="AK5" s="913"/>
      <c r="AL5" s="913"/>
      <c r="AM5" s="913"/>
      <c r="AN5" s="913"/>
      <c r="AO5" s="913"/>
      <c r="AP5" s="913"/>
      <c r="AQ5" s="913"/>
      <c r="AR5" s="913"/>
      <c r="AS5" s="913"/>
      <c r="AT5" s="913"/>
      <c r="AU5" s="913"/>
      <c r="AV5" s="913"/>
      <c r="AW5" s="913"/>
      <c r="AX5" s="913"/>
      <c r="AY5" s="913"/>
      <c r="AZ5" s="913"/>
      <c r="BA5" s="913"/>
      <c r="BB5" s="913"/>
      <c r="BC5" s="913"/>
      <c r="BD5" s="913"/>
      <c r="BE5" s="913"/>
      <c r="BF5" s="913"/>
      <c r="BG5" s="913"/>
      <c r="BH5" s="913"/>
      <c r="BI5" s="913"/>
      <c r="BJ5" s="913"/>
      <c r="BK5" s="913"/>
      <c r="BL5" s="913"/>
      <c r="BM5" s="913"/>
      <c r="BN5" s="913"/>
      <c r="BO5" s="913"/>
      <c r="BP5" s="913"/>
      <c r="BQ5" s="914"/>
      <c r="CG5" s="126"/>
      <c r="CJ5" s="127"/>
      <c r="CK5" s="128"/>
      <c r="CL5" s="128"/>
      <c r="CM5" s="128"/>
      <c r="CN5" s="128"/>
      <c r="CO5" s="128"/>
    </row>
    <row r="6" spans="1:139">
      <c r="B6" s="912"/>
      <c r="C6" s="913"/>
      <c r="D6" s="913"/>
      <c r="E6" s="913"/>
      <c r="F6" s="913"/>
      <c r="G6" s="913"/>
      <c r="H6" s="913"/>
      <c r="I6" s="913"/>
      <c r="J6" s="913"/>
      <c r="K6" s="913"/>
      <c r="L6" s="913"/>
      <c r="M6" s="913"/>
      <c r="N6" s="913"/>
      <c r="O6" s="913"/>
      <c r="P6" s="913"/>
      <c r="Q6" s="913"/>
      <c r="R6" s="913"/>
      <c r="S6" s="913"/>
      <c r="T6" s="913"/>
      <c r="U6" s="913"/>
      <c r="V6" s="913"/>
      <c r="W6" s="913"/>
      <c r="X6" s="913"/>
      <c r="Y6" s="913"/>
      <c r="Z6" s="913"/>
      <c r="AA6" s="913"/>
      <c r="AB6" s="913"/>
      <c r="AC6" s="913"/>
      <c r="AD6" s="913"/>
      <c r="AE6" s="913"/>
      <c r="AF6" s="913"/>
      <c r="AG6" s="913"/>
      <c r="AH6" s="913"/>
      <c r="AI6" s="913"/>
      <c r="AJ6" s="913"/>
      <c r="AK6" s="913"/>
      <c r="AL6" s="913"/>
      <c r="AM6" s="913"/>
      <c r="AN6" s="913"/>
      <c r="AO6" s="913"/>
      <c r="AP6" s="913"/>
      <c r="AQ6" s="913"/>
      <c r="AR6" s="913"/>
      <c r="AS6" s="913"/>
      <c r="AT6" s="913"/>
      <c r="AU6" s="913"/>
      <c r="AV6" s="913"/>
      <c r="AW6" s="913"/>
      <c r="AX6" s="913"/>
      <c r="AY6" s="913"/>
      <c r="AZ6" s="913"/>
      <c r="BA6" s="913"/>
      <c r="BB6" s="913"/>
      <c r="BC6" s="913"/>
      <c r="BD6" s="913"/>
      <c r="BE6" s="913"/>
      <c r="BF6" s="913"/>
      <c r="BG6" s="913"/>
      <c r="BH6" s="913"/>
      <c r="BI6" s="913"/>
      <c r="BJ6" s="913"/>
      <c r="BK6" s="913"/>
      <c r="BL6" s="913"/>
      <c r="BM6" s="913"/>
      <c r="BN6" s="913"/>
      <c r="BO6" s="913"/>
      <c r="BP6" s="913"/>
      <c r="BQ6" s="914"/>
      <c r="CJ6" s="127"/>
      <c r="CK6" s="128"/>
      <c r="CL6" s="128"/>
      <c r="CM6" s="128"/>
      <c r="CN6" s="128"/>
      <c r="CO6" s="128"/>
    </row>
    <row r="7" spans="1:139">
      <c r="B7" s="912"/>
      <c r="C7" s="913"/>
      <c r="D7" s="913"/>
      <c r="E7" s="913"/>
      <c r="F7" s="913"/>
      <c r="G7" s="913"/>
      <c r="H7" s="913"/>
      <c r="I7" s="913"/>
      <c r="J7" s="913"/>
      <c r="K7" s="913"/>
      <c r="L7" s="913"/>
      <c r="M7" s="913"/>
      <c r="N7" s="913"/>
      <c r="O7" s="913"/>
      <c r="P7" s="913"/>
      <c r="Q7" s="913"/>
      <c r="R7" s="913"/>
      <c r="S7" s="913"/>
      <c r="T7" s="913"/>
      <c r="U7" s="913"/>
      <c r="V7" s="913"/>
      <c r="W7" s="913"/>
      <c r="X7" s="913"/>
      <c r="Y7" s="913"/>
      <c r="Z7" s="913"/>
      <c r="AA7" s="913"/>
      <c r="AB7" s="913"/>
      <c r="AC7" s="913"/>
      <c r="AD7" s="913"/>
      <c r="AE7" s="913"/>
      <c r="AF7" s="913"/>
      <c r="AG7" s="913"/>
      <c r="AH7" s="913"/>
      <c r="AI7" s="913"/>
      <c r="AJ7" s="913"/>
      <c r="AK7" s="913"/>
      <c r="AL7" s="913"/>
      <c r="AM7" s="913"/>
      <c r="AN7" s="913"/>
      <c r="AO7" s="913"/>
      <c r="AP7" s="913"/>
      <c r="AQ7" s="913"/>
      <c r="AR7" s="913"/>
      <c r="AS7" s="913"/>
      <c r="AT7" s="913"/>
      <c r="AU7" s="913"/>
      <c r="AV7" s="913"/>
      <c r="AW7" s="913"/>
      <c r="AX7" s="913"/>
      <c r="AY7" s="913"/>
      <c r="AZ7" s="913"/>
      <c r="BA7" s="913"/>
      <c r="BB7" s="913"/>
      <c r="BC7" s="913"/>
      <c r="BD7" s="913"/>
      <c r="BE7" s="913"/>
      <c r="BF7" s="913"/>
      <c r="BG7" s="913"/>
      <c r="BH7" s="913"/>
      <c r="BI7" s="913"/>
      <c r="BJ7" s="913"/>
      <c r="BK7" s="913"/>
      <c r="BL7" s="913"/>
      <c r="BM7" s="913"/>
      <c r="BN7" s="913"/>
      <c r="BO7" s="913"/>
      <c r="BP7" s="913"/>
      <c r="BQ7" s="914"/>
      <c r="CJ7" s="127"/>
      <c r="CK7" s="128"/>
      <c r="CL7" s="128"/>
      <c r="CM7" s="128"/>
      <c r="CN7" s="128"/>
      <c r="CO7" s="128"/>
    </row>
    <row r="8" spans="1:139">
      <c r="B8" s="912"/>
      <c r="C8" s="913"/>
      <c r="D8" s="913"/>
      <c r="E8" s="913"/>
      <c r="F8" s="913"/>
      <c r="G8" s="913"/>
      <c r="H8" s="913"/>
      <c r="I8" s="913"/>
      <c r="J8" s="913"/>
      <c r="K8" s="913"/>
      <c r="L8" s="913"/>
      <c r="M8" s="913"/>
      <c r="N8" s="913"/>
      <c r="O8" s="913"/>
      <c r="P8" s="913"/>
      <c r="Q8" s="913"/>
      <c r="R8" s="913"/>
      <c r="S8" s="913"/>
      <c r="T8" s="913"/>
      <c r="U8" s="913"/>
      <c r="V8" s="913"/>
      <c r="W8" s="913"/>
      <c r="X8" s="913"/>
      <c r="Y8" s="913"/>
      <c r="Z8" s="913"/>
      <c r="AA8" s="913"/>
      <c r="AB8" s="913"/>
      <c r="AC8" s="913"/>
      <c r="AD8" s="913"/>
      <c r="AE8" s="913"/>
      <c r="AF8" s="913"/>
      <c r="AG8" s="913"/>
      <c r="AH8" s="913"/>
      <c r="AI8" s="913"/>
      <c r="AJ8" s="913"/>
      <c r="AK8" s="913"/>
      <c r="AL8" s="913"/>
      <c r="AM8" s="913"/>
      <c r="AN8" s="913"/>
      <c r="AO8" s="913"/>
      <c r="AP8" s="913"/>
      <c r="AQ8" s="913"/>
      <c r="AR8" s="913"/>
      <c r="AS8" s="913"/>
      <c r="AT8" s="913"/>
      <c r="AU8" s="913"/>
      <c r="AV8" s="913"/>
      <c r="AW8" s="913"/>
      <c r="AX8" s="913"/>
      <c r="AY8" s="913"/>
      <c r="AZ8" s="913"/>
      <c r="BA8" s="913"/>
      <c r="BB8" s="913"/>
      <c r="BC8" s="913"/>
      <c r="BD8" s="913"/>
      <c r="BE8" s="913"/>
      <c r="BF8" s="913"/>
      <c r="BG8" s="913"/>
      <c r="BH8" s="913"/>
      <c r="BI8" s="913"/>
      <c r="BJ8" s="913"/>
      <c r="BK8" s="913"/>
      <c r="BL8" s="913"/>
      <c r="BM8" s="913"/>
      <c r="BN8" s="913"/>
      <c r="BO8" s="913"/>
      <c r="BP8" s="913"/>
      <c r="BQ8" s="914"/>
      <c r="CJ8" s="127"/>
      <c r="CK8" s="128"/>
      <c r="CL8" s="128"/>
      <c r="CM8" s="128"/>
      <c r="CN8" s="128"/>
      <c r="CO8" s="128"/>
    </row>
    <row r="9" spans="1:139">
      <c r="B9" s="912"/>
      <c r="C9" s="913"/>
      <c r="D9" s="913"/>
      <c r="E9" s="913"/>
      <c r="F9" s="913"/>
      <c r="G9" s="913"/>
      <c r="H9" s="913"/>
      <c r="I9" s="913"/>
      <c r="J9" s="913"/>
      <c r="K9" s="913"/>
      <c r="L9" s="913"/>
      <c r="M9" s="913"/>
      <c r="N9" s="913"/>
      <c r="O9" s="913"/>
      <c r="P9" s="913"/>
      <c r="Q9" s="913"/>
      <c r="R9" s="913"/>
      <c r="S9" s="913"/>
      <c r="T9" s="913"/>
      <c r="U9" s="913"/>
      <c r="V9" s="913"/>
      <c r="W9" s="913"/>
      <c r="X9" s="913"/>
      <c r="Y9" s="913"/>
      <c r="Z9" s="913"/>
      <c r="AA9" s="913"/>
      <c r="AB9" s="913"/>
      <c r="AC9" s="913"/>
      <c r="AD9" s="913"/>
      <c r="AE9" s="913"/>
      <c r="AF9" s="913"/>
      <c r="AG9" s="913"/>
      <c r="AH9" s="913"/>
      <c r="AI9" s="913"/>
      <c r="AJ9" s="913"/>
      <c r="AK9" s="913"/>
      <c r="AL9" s="913"/>
      <c r="AM9" s="913"/>
      <c r="AN9" s="913"/>
      <c r="AO9" s="913"/>
      <c r="AP9" s="913"/>
      <c r="AQ9" s="913"/>
      <c r="AR9" s="913"/>
      <c r="AS9" s="913"/>
      <c r="AT9" s="913"/>
      <c r="AU9" s="913"/>
      <c r="AV9" s="913"/>
      <c r="AW9" s="913"/>
      <c r="AX9" s="913"/>
      <c r="AY9" s="913"/>
      <c r="AZ9" s="913"/>
      <c r="BA9" s="913"/>
      <c r="BB9" s="913"/>
      <c r="BC9" s="913"/>
      <c r="BD9" s="913"/>
      <c r="BE9" s="913"/>
      <c r="BF9" s="913"/>
      <c r="BG9" s="913"/>
      <c r="BH9" s="913"/>
      <c r="BI9" s="913"/>
      <c r="BJ9" s="913"/>
      <c r="BK9" s="913"/>
      <c r="BL9" s="913"/>
      <c r="BM9" s="913"/>
      <c r="BN9" s="913"/>
      <c r="BO9" s="913"/>
      <c r="BP9" s="913"/>
      <c r="BQ9" s="914"/>
      <c r="CJ9" s="128"/>
      <c r="CK9" s="128"/>
      <c r="CL9" s="128"/>
      <c r="CM9" s="128"/>
      <c r="CN9" s="128"/>
      <c r="CO9" s="128"/>
    </row>
    <row r="10" spans="1:139" ht="13.8" thickBot="1">
      <c r="B10" s="915"/>
      <c r="C10" s="916"/>
      <c r="D10" s="916"/>
      <c r="E10" s="916"/>
      <c r="F10" s="916"/>
      <c r="G10" s="916"/>
      <c r="H10" s="916"/>
      <c r="I10" s="916"/>
      <c r="J10" s="916"/>
      <c r="K10" s="916"/>
      <c r="L10" s="916"/>
      <c r="M10" s="916"/>
      <c r="N10" s="916"/>
      <c r="O10" s="916"/>
      <c r="P10" s="916"/>
      <c r="Q10" s="916"/>
      <c r="R10" s="916"/>
      <c r="S10" s="916"/>
      <c r="T10" s="916"/>
      <c r="U10" s="916"/>
      <c r="V10" s="916"/>
      <c r="W10" s="916"/>
      <c r="X10" s="916"/>
      <c r="Y10" s="916"/>
      <c r="Z10" s="916"/>
      <c r="AA10" s="916"/>
      <c r="AB10" s="916"/>
      <c r="AC10" s="916"/>
      <c r="AD10" s="916"/>
      <c r="AE10" s="916"/>
      <c r="AF10" s="916"/>
      <c r="AG10" s="916"/>
      <c r="AH10" s="916"/>
      <c r="AI10" s="916"/>
      <c r="AJ10" s="916"/>
      <c r="AK10" s="916"/>
      <c r="AL10" s="916"/>
      <c r="AM10" s="916"/>
      <c r="AN10" s="916"/>
      <c r="AO10" s="916"/>
      <c r="AP10" s="916"/>
      <c r="AQ10" s="916"/>
      <c r="AR10" s="916"/>
      <c r="AS10" s="916"/>
      <c r="AT10" s="916"/>
      <c r="AU10" s="916"/>
      <c r="AV10" s="916"/>
      <c r="AW10" s="916"/>
      <c r="AX10" s="916"/>
      <c r="AY10" s="916"/>
      <c r="AZ10" s="916"/>
      <c r="BA10" s="916"/>
      <c r="BB10" s="916"/>
      <c r="BC10" s="916"/>
      <c r="BD10" s="916"/>
      <c r="BE10" s="916"/>
      <c r="BF10" s="916"/>
      <c r="BG10" s="916"/>
      <c r="BH10" s="916"/>
      <c r="BI10" s="916"/>
      <c r="BJ10" s="916"/>
      <c r="BK10" s="916"/>
      <c r="BL10" s="916"/>
      <c r="BM10" s="916"/>
      <c r="BN10" s="916"/>
      <c r="BO10" s="916"/>
      <c r="BP10" s="916"/>
      <c r="BQ10" s="917"/>
    </row>
    <row r="12" spans="1:139">
      <c r="B12" s="130" t="s">
        <v>184</v>
      </c>
    </row>
    <row r="13" spans="1:139" s="37" customFormat="1" ht="18.75" customHeight="1">
      <c r="A13" s="34"/>
      <c r="B13" s="918" t="s">
        <v>39</v>
      </c>
      <c r="C13" s="918"/>
      <c r="D13" s="918"/>
      <c r="E13" s="918"/>
      <c r="F13" s="918"/>
      <c r="G13" s="918"/>
      <c r="H13" s="918"/>
      <c r="I13" s="919" t="s">
        <v>38</v>
      </c>
      <c r="J13" s="919"/>
      <c r="K13" s="919"/>
      <c r="L13" s="919"/>
      <c r="M13" s="919"/>
      <c r="N13" s="919"/>
      <c r="O13" s="919"/>
      <c r="P13" s="919"/>
      <c r="Q13" s="919"/>
      <c r="R13" s="919"/>
      <c r="S13" s="919"/>
      <c r="T13" s="919"/>
      <c r="U13" s="920" t="s">
        <v>185</v>
      </c>
      <c r="V13" s="920"/>
      <c r="W13" s="920"/>
      <c r="X13" s="920"/>
      <c r="Y13" s="919" t="s">
        <v>402</v>
      </c>
      <c r="Z13" s="919"/>
      <c r="AA13" s="919"/>
      <c r="AB13" s="919"/>
      <c r="AC13" s="919"/>
      <c r="AD13" s="919"/>
      <c r="AE13" s="919"/>
      <c r="AF13" s="919"/>
      <c r="AG13" s="919"/>
      <c r="AH13" s="919"/>
      <c r="AI13" s="919"/>
      <c r="AJ13" s="919"/>
      <c r="AK13" s="919"/>
      <c r="AL13" s="919"/>
      <c r="AM13" s="919"/>
      <c r="AN13" s="919"/>
      <c r="AO13" s="34"/>
      <c r="AP13" s="35"/>
      <c r="AQ13" s="35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110"/>
      <c r="BY13" s="110"/>
      <c r="BZ13" s="110"/>
      <c r="CA13" s="110"/>
      <c r="CB13" s="110"/>
      <c r="CC13" s="110"/>
      <c r="CD13" s="110"/>
      <c r="CE13" s="110"/>
      <c r="CF13" s="110"/>
      <c r="CG13" s="110"/>
      <c r="CH13" s="110"/>
      <c r="CI13" s="110"/>
      <c r="CJ13" s="110"/>
      <c r="CK13" s="110"/>
      <c r="CL13" s="110"/>
      <c r="CM13" s="110"/>
      <c r="CN13" s="110"/>
      <c r="CO13" s="110"/>
      <c r="CP13" s="110"/>
      <c r="CQ13" s="110"/>
      <c r="CR13" s="110"/>
      <c r="CS13" s="110"/>
      <c r="CT13" s="110"/>
      <c r="CU13" s="110"/>
      <c r="CV13" s="110"/>
      <c r="CW13" s="110"/>
      <c r="CX13" s="110"/>
      <c r="CY13" s="110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0"/>
      <c r="DT13" s="110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</row>
    <row r="14" spans="1:139" ht="18.75" customHeight="1">
      <c r="B14" s="897" t="s">
        <v>186</v>
      </c>
      <c r="C14" s="898"/>
      <c r="D14" s="898"/>
      <c r="E14" s="898"/>
      <c r="F14" s="898"/>
      <c r="G14" s="898"/>
      <c r="H14" s="899"/>
      <c r="I14" s="900"/>
      <c r="J14" s="901"/>
      <c r="K14" s="901"/>
      <c r="L14" s="901"/>
      <c r="M14" s="901"/>
      <c r="N14" s="901"/>
      <c r="O14" s="901"/>
      <c r="P14" s="901"/>
      <c r="Q14" s="901"/>
      <c r="R14" s="901"/>
      <c r="S14" s="901"/>
      <c r="T14" s="901"/>
      <c r="U14" s="901"/>
      <c r="V14" s="901"/>
      <c r="W14" s="901"/>
      <c r="X14" s="902"/>
      <c r="Y14" s="131"/>
      <c r="Z14" s="132"/>
      <c r="AA14" s="132"/>
      <c r="AB14" s="132"/>
      <c r="AC14" s="132"/>
      <c r="AD14" s="132"/>
      <c r="AE14" s="132"/>
      <c r="AF14" s="133"/>
      <c r="AG14" s="133"/>
      <c r="AH14" s="133"/>
      <c r="AI14" s="133"/>
      <c r="AJ14" s="134"/>
      <c r="AK14" s="134"/>
      <c r="AL14" s="134"/>
      <c r="AM14" s="134"/>
      <c r="AN14" s="134"/>
      <c r="AO14" s="134"/>
      <c r="AP14" s="134"/>
      <c r="AQ14" s="134"/>
      <c r="AR14" s="134"/>
      <c r="AS14" s="134"/>
      <c r="AT14" s="134"/>
      <c r="AU14" s="134"/>
      <c r="AV14" s="135"/>
      <c r="AW14" s="135"/>
      <c r="AX14" s="135"/>
      <c r="AY14" s="135"/>
      <c r="AZ14" s="135"/>
    </row>
    <row r="15" spans="1:139" ht="18.75" customHeight="1">
      <c r="I15" s="900"/>
      <c r="J15" s="901"/>
      <c r="K15" s="901"/>
      <c r="L15" s="901"/>
      <c r="M15" s="901"/>
      <c r="N15" s="901"/>
      <c r="O15" s="901"/>
      <c r="P15" s="901"/>
      <c r="Q15" s="901"/>
      <c r="R15" s="901"/>
      <c r="S15" s="901"/>
      <c r="T15" s="901"/>
      <c r="U15" s="901"/>
      <c r="V15" s="901"/>
      <c r="W15" s="901"/>
      <c r="X15" s="902"/>
      <c r="Y15" s="903" t="s">
        <v>187</v>
      </c>
      <c r="Z15" s="904"/>
      <c r="AA15" s="904"/>
      <c r="AB15" s="904"/>
      <c r="AC15" s="904"/>
      <c r="AD15" s="904"/>
      <c r="AE15" s="904"/>
      <c r="AF15" s="904"/>
      <c r="AG15" s="904"/>
      <c r="AH15" s="904"/>
      <c r="AI15" s="904"/>
      <c r="AJ15" s="904"/>
      <c r="AK15" s="904"/>
      <c r="AL15" s="904"/>
      <c r="AM15" s="904"/>
      <c r="AN15" s="904"/>
      <c r="AO15" s="904"/>
      <c r="AP15" s="904"/>
      <c r="AQ15" s="904"/>
      <c r="AR15" s="904"/>
      <c r="AS15" s="904"/>
      <c r="AT15" s="904"/>
      <c r="AU15" s="904"/>
      <c r="AV15" s="904"/>
      <c r="AW15" s="904"/>
      <c r="AX15" s="904"/>
      <c r="AY15" s="904"/>
      <c r="AZ15" s="904"/>
    </row>
    <row r="16" spans="1:139" ht="18.75" customHeight="1">
      <c r="B16" s="897" t="s">
        <v>37</v>
      </c>
      <c r="C16" s="898"/>
      <c r="D16" s="898"/>
      <c r="E16" s="898"/>
      <c r="F16" s="898"/>
      <c r="G16" s="898"/>
      <c r="H16" s="899"/>
      <c r="I16" s="905"/>
      <c r="J16" s="906"/>
      <c r="K16" s="906"/>
      <c r="L16" s="906"/>
      <c r="M16" s="906"/>
      <c r="N16" s="906"/>
      <c r="O16" s="906"/>
      <c r="P16" s="906"/>
      <c r="Q16" s="906"/>
      <c r="R16" s="906"/>
      <c r="S16" s="906"/>
      <c r="T16" s="906"/>
      <c r="U16" s="906"/>
      <c r="V16" s="906"/>
      <c r="W16" s="906"/>
      <c r="X16" s="907"/>
    </row>
    <row r="18" spans="2:68">
      <c r="B18" s="130" t="s">
        <v>188</v>
      </c>
      <c r="J18" s="125" t="s">
        <v>189</v>
      </c>
    </row>
    <row r="19" spans="2:68" s="136" customFormat="1" ht="16.2">
      <c r="C19" s="926" t="s">
        <v>190</v>
      </c>
      <c r="D19" s="926"/>
      <c r="E19" s="926"/>
      <c r="F19" s="926"/>
      <c r="G19" s="926"/>
      <c r="H19" s="926"/>
      <c r="I19" s="926"/>
      <c r="Z19" s="926" t="s">
        <v>191</v>
      </c>
      <c r="AA19" s="926"/>
      <c r="AB19" s="926"/>
      <c r="AC19" s="926"/>
      <c r="AD19" s="926"/>
      <c r="AE19" s="926"/>
      <c r="AF19" s="926"/>
      <c r="AW19" s="137" t="s">
        <v>192</v>
      </c>
      <c r="AX19" s="137"/>
      <c r="AY19" s="137"/>
      <c r="AZ19" s="137"/>
      <c r="BA19" s="137"/>
      <c r="BB19" s="137"/>
      <c r="BC19" s="137"/>
    </row>
    <row r="20" spans="2:68" s="136" customFormat="1" ht="16.2">
      <c r="B20" s="921" t="s">
        <v>591</v>
      </c>
      <c r="C20" s="921"/>
      <c r="D20" s="927" t="s">
        <v>594</v>
      </c>
      <c r="E20" s="925"/>
      <c r="F20" s="925"/>
      <c r="G20" s="925"/>
      <c r="H20" s="925"/>
      <c r="I20" s="925"/>
      <c r="J20" s="925"/>
      <c r="K20" s="925"/>
      <c r="L20" s="925"/>
      <c r="M20" s="925"/>
      <c r="N20" s="925"/>
      <c r="O20" s="925"/>
      <c r="P20" s="925"/>
      <c r="Q20" s="925"/>
      <c r="R20" s="925"/>
      <c r="S20" s="925"/>
      <c r="T20" s="925"/>
      <c r="U20" s="925"/>
      <c r="V20" s="925"/>
      <c r="W20" s="187"/>
      <c r="X20" s="187"/>
      <c r="Y20" s="921" t="s">
        <v>591</v>
      </c>
      <c r="Z20" s="921"/>
      <c r="AA20" s="922" t="s">
        <v>595</v>
      </c>
      <c r="AB20" s="923"/>
      <c r="AC20" s="923"/>
      <c r="AD20" s="923"/>
      <c r="AE20" s="923"/>
      <c r="AF20" s="923"/>
      <c r="AG20" s="923"/>
      <c r="AH20" s="923"/>
      <c r="AI20" s="923"/>
      <c r="AJ20" s="923"/>
      <c r="AK20" s="923"/>
      <c r="AL20" s="923"/>
      <c r="AM20" s="923"/>
      <c r="AN20" s="923"/>
      <c r="AO20" s="923"/>
      <c r="AP20" s="923"/>
      <c r="AQ20" s="923"/>
      <c r="AR20" s="923"/>
      <c r="AS20" s="924"/>
      <c r="AT20" s="188"/>
      <c r="AU20" s="187"/>
      <c r="AV20" s="921" t="s">
        <v>591</v>
      </c>
      <c r="AW20" s="921"/>
      <c r="AX20" s="922" t="s">
        <v>596</v>
      </c>
      <c r="AY20" s="923"/>
      <c r="AZ20" s="923"/>
      <c r="BA20" s="923"/>
      <c r="BB20" s="923"/>
      <c r="BC20" s="923"/>
      <c r="BD20" s="923"/>
      <c r="BE20" s="923"/>
      <c r="BF20" s="923"/>
      <c r="BG20" s="923"/>
      <c r="BH20" s="923"/>
      <c r="BI20" s="923"/>
      <c r="BJ20" s="923"/>
      <c r="BK20" s="923"/>
      <c r="BL20" s="923"/>
      <c r="BM20" s="923"/>
      <c r="BN20" s="923"/>
      <c r="BO20" s="923"/>
      <c r="BP20" s="924"/>
    </row>
    <row r="21" spans="2:68" s="136" customFormat="1" ht="16.2">
      <c r="B21" s="921" t="s">
        <v>591</v>
      </c>
      <c r="C21" s="921"/>
      <c r="D21" s="925" t="s">
        <v>597</v>
      </c>
      <c r="E21" s="925"/>
      <c r="F21" s="925"/>
      <c r="G21" s="925"/>
      <c r="H21" s="925"/>
      <c r="I21" s="925"/>
      <c r="J21" s="925"/>
      <c r="K21" s="925"/>
      <c r="L21" s="925"/>
      <c r="M21" s="925"/>
      <c r="N21" s="925"/>
      <c r="O21" s="925"/>
      <c r="P21" s="925"/>
      <c r="Q21" s="925"/>
      <c r="R21" s="925"/>
      <c r="S21" s="925"/>
      <c r="T21" s="925"/>
      <c r="U21" s="925"/>
      <c r="V21" s="925"/>
      <c r="W21" s="187"/>
      <c r="X21" s="187"/>
      <c r="Y21" s="921" t="s">
        <v>591</v>
      </c>
      <c r="Z21" s="921"/>
      <c r="AA21" s="922" t="s">
        <v>598</v>
      </c>
      <c r="AB21" s="923"/>
      <c r="AC21" s="923"/>
      <c r="AD21" s="923"/>
      <c r="AE21" s="923"/>
      <c r="AF21" s="923"/>
      <c r="AG21" s="923"/>
      <c r="AH21" s="923"/>
      <c r="AI21" s="923"/>
      <c r="AJ21" s="923"/>
      <c r="AK21" s="923"/>
      <c r="AL21" s="923"/>
      <c r="AM21" s="923"/>
      <c r="AN21" s="923"/>
      <c r="AO21" s="923"/>
      <c r="AP21" s="923"/>
      <c r="AQ21" s="923"/>
      <c r="AR21" s="923"/>
      <c r="AS21" s="924"/>
      <c r="AT21" s="188"/>
      <c r="AU21" s="187"/>
      <c r="AV21" s="921" t="s">
        <v>591</v>
      </c>
      <c r="AW21" s="921"/>
      <c r="AX21" s="922" t="s">
        <v>599</v>
      </c>
      <c r="AY21" s="923"/>
      <c r="AZ21" s="923"/>
      <c r="BA21" s="923"/>
      <c r="BB21" s="923"/>
      <c r="BC21" s="923"/>
      <c r="BD21" s="923"/>
      <c r="BE21" s="923"/>
      <c r="BF21" s="923"/>
      <c r="BG21" s="923"/>
      <c r="BH21" s="923"/>
      <c r="BI21" s="923"/>
      <c r="BJ21" s="923"/>
      <c r="BK21" s="923"/>
      <c r="BL21" s="923"/>
      <c r="BM21" s="923"/>
      <c r="BN21" s="923"/>
      <c r="BO21" s="923"/>
      <c r="BP21" s="924"/>
    </row>
    <row r="22" spans="2:68" s="136" customFormat="1" ht="16.2">
      <c r="B22" s="187"/>
      <c r="C22" s="187"/>
      <c r="D22" s="187"/>
      <c r="E22" s="187"/>
      <c r="F22" s="187"/>
      <c r="G22" s="187"/>
      <c r="H22" s="187"/>
      <c r="I22" s="187"/>
      <c r="J22" s="187"/>
      <c r="K22" s="187"/>
      <c r="L22" s="187"/>
      <c r="M22" s="187"/>
      <c r="N22" s="187"/>
      <c r="O22" s="187"/>
      <c r="P22" s="187"/>
      <c r="Q22" s="187"/>
      <c r="R22" s="187"/>
      <c r="S22" s="187"/>
      <c r="T22" s="187"/>
      <c r="U22" s="187"/>
      <c r="V22" s="187"/>
      <c r="W22" s="187"/>
      <c r="X22" s="187"/>
      <c r="Y22" s="921" t="s">
        <v>591</v>
      </c>
      <c r="Z22" s="921"/>
      <c r="AA22" s="922" t="s">
        <v>600</v>
      </c>
      <c r="AB22" s="923"/>
      <c r="AC22" s="923"/>
      <c r="AD22" s="923"/>
      <c r="AE22" s="923"/>
      <c r="AF22" s="923"/>
      <c r="AG22" s="923"/>
      <c r="AH22" s="923"/>
      <c r="AI22" s="923"/>
      <c r="AJ22" s="923"/>
      <c r="AK22" s="923"/>
      <c r="AL22" s="923"/>
      <c r="AM22" s="923"/>
      <c r="AN22" s="923"/>
      <c r="AO22" s="923"/>
      <c r="AP22" s="923"/>
      <c r="AQ22" s="923"/>
      <c r="AR22" s="923"/>
      <c r="AS22" s="924"/>
      <c r="AT22" s="188"/>
      <c r="AU22" s="187"/>
      <c r="AV22" s="921" t="s">
        <v>591</v>
      </c>
      <c r="AW22" s="921"/>
      <c r="AX22" s="922" t="s">
        <v>601</v>
      </c>
      <c r="AY22" s="923"/>
      <c r="AZ22" s="923"/>
      <c r="BA22" s="923"/>
      <c r="BB22" s="923"/>
      <c r="BC22" s="923"/>
      <c r="BD22" s="923"/>
      <c r="BE22" s="923"/>
      <c r="BF22" s="923"/>
      <c r="BG22" s="923"/>
      <c r="BH22" s="923"/>
      <c r="BI22" s="923"/>
      <c r="BJ22" s="923"/>
      <c r="BK22" s="923"/>
      <c r="BL22" s="923"/>
      <c r="BM22" s="923"/>
      <c r="BN22" s="923"/>
      <c r="BO22" s="923"/>
      <c r="BP22" s="924"/>
    </row>
    <row r="23" spans="2:68" s="136" customFormat="1" ht="16.2">
      <c r="B23" s="187"/>
      <c r="C23" s="187"/>
      <c r="D23" s="187"/>
      <c r="E23" s="187"/>
      <c r="F23" s="187"/>
      <c r="G23" s="187"/>
      <c r="H23" s="187"/>
      <c r="I23" s="187"/>
      <c r="J23" s="187"/>
      <c r="K23" s="187"/>
      <c r="L23" s="187"/>
      <c r="M23" s="187"/>
      <c r="N23" s="187"/>
      <c r="O23" s="187"/>
      <c r="P23" s="187"/>
      <c r="Q23" s="187"/>
      <c r="R23" s="187"/>
      <c r="S23" s="187"/>
      <c r="T23" s="187"/>
      <c r="U23" s="187"/>
      <c r="V23" s="187"/>
      <c r="W23" s="187"/>
      <c r="X23" s="187"/>
      <c r="Y23" s="921" t="s">
        <v>591</v>
      </c>
      <c r="Z23" s="921"/>
      <c r="AA23" s="922" t="s">
        <v>602</v>
      </c>
      <c r="AB23" s="923"/>
      <c r="AC23" s="923"/>
      <c r="AD23" s="923"/>
      <c r="AE23" s="923"/>
      <c r="AF23" s="923"/>
      <c r="AG23" s="923"/>
      <c r="AH23" s="923"/>
      <c r="AI23" s="923"/>
      <c r="AJ23" s="923"/>
      <c r="AK23" s="923"/>
      <c r="AL23" s="923"/>
      <c r="AM23" s="923"/>
      <c r="AN23" s="923"/>
      <c r="AO23" s="923"/>
      <c r="AP23" s="923"/>
      <c r="AQ23" s="923"/>
      <c r="AR23" s="923"/>
      <c r="AS23" s="924"/>
      <c r="AT23" s="188"/>
      <c r="AU23" s="187"/>
      <c r="AV23" s="921" t="s">
        <v>591</v>
      </c>
      <c r="AW23" s="921"/>
      <c r="AX23" s="922" t="s">
        <v>603</v>
      </c>
      <c r="AY23" s="923"/>
      <c r="AZ23" s="923"/>
      <c r="BA23" s="923"/>
      <c r="BB23" s="923"/>
      <c r="BC23" s="923"/>
      <c r="BD23" s="923"/>
      <c r="BE23" s="923"/>
      <c r="BF23" s="923"/>
      <c r="BG23" s="923"/>
      <c r="BH23" s="923"/>
      <c r="BI23" s="923"/>
      <c r="BJ23" s="923"/>
      <c r="BK23" s="923"/>
      <c r="BL23" s="923"/>
      <c r="BM23" s="923"/>
      <c r="BN23" s="923"/>
      <c r="BO23" s="923"/>
      <c r="BP23" s="924"/>
    </row>
    <row r="24" spans="2:68" s="136" customFormat="1" ht="16.2">
      <c r="B24" s="187"/>
      <c r="C24" s="187"/>
      <c r="D24" s="187"/>
      <c r="E24" s="187"/>
      <c r="F24" s="187"/>
      <c r="G24" s="187"/>
      <c r="H24" s="187"/>
      <c r="I24" s="187"/>
      <c r="J24" s="187"/>
      <c r="K24" s="187"/>
      <c r="L24" s="187"/>
      <c r="M24" s="187"/>
      <c r="N24" s="187"/>
      <c r="O24" s="187"/>
      <c r="P24" s="187"/>
      <c r="Q24" s="187"/>
      <c r="R24" s="187"/>
      <c r="S24" s="187"/>
      <c r="T24" s="187"/>
      <c r="U24" s="187"/>
      <c r="V24" s="187"/>
      <c r="W24" s="187"/>
      <c r="X24" s="187"/>
      <c r="Y24" s="921" t="s">
        <v>591</v>
      </c>
      <c r="Z24" s="921"/>
      <c r="AA24" s="922" t="s">
        <v>604</v>
      </c>
      <c r="AB24" s="923"/>
      <c r="AC24" s="923"/>
      <c r="AD24" s="923"/>
      <c r="AE24" s="923"/>
      <c r="AF24" s="923"/>
      <c r="AG24" s="923"/>
      <c r="AH24" s="923"/>
      <c r="AI24" s="923"/>
      <c r="AJ24" s="923"/>
      <c r="AK24" s="923"/>
      <c r="AL24" s="923"/>
      <c r="AM24" s="923"/>
      <c r="AN24" s="923"/>
      <c r="AO24" s="923"/>
      <c r="AP24" s="923"/>
      <c r="AQ24" s="923"/>
      <c r="AR24" s="923"/>
      <c r="AS24" s="924"/>
      <c r="AT24" s="188"/>
      <c r="AU24" s="187"/>
      <c r="AV24" s="921" t="s">
        <v>591</v>
      </c>
      <c r="AW24" s="921"/>
      <c r="AX24" s="922" t="s">
        <v>605</v>
      </c>
      <c r="AY24" s="923"/>
      <c r="AZ24" s="923"/>
      <c r="BA24" s="923"/>
      <c r="BB24" s="923"/>
      <c r="BC24" s="923"/>
      <c r="BD24" s="923"/>
      <c r="BE24" s="923"/>
      <c r="BF24" s="923"/>
      <c r="BG24" s="923"/>
      <c r="BH24" s="923"/>
      <c r="BI24" s="923"/>
      <c r="BJ24" s="923"/>
      <c r="BK24" s="923"/>
      <c r="BL24" s="923"/>
      <c r="BM24" s="923"/>
      <c r="BN24" s="923"/>
      <c r="BO24" s="923"/>
      <c r="BP24" s="924"/>
    </row>
    <row r="25" spans="2:68" s="136" customFormat="1" ht="16.2">
      <c r="B25" s="187"/>
      <c r="C25" s="187"/>
      <c r="D25" s="187"/>
      <c r="E25" s="187"/>
      <c r="F25" s="187"/>
      <c r="G25" s="187"/>
      <c r="H25" s="187"/>
      <c r="I25" s="187"/>
      <c r="J25" s="187"/>
      <c r="K25" s="187"/>
      <c r="L25" s="187"/>
      <c r="M25" s="187"/>
      <c r="N25" s="187"/>
      <c r="O25" s="187"/>
      <c r="P25" s="187"/>
      <c r="Q25" s="187"/>
      <c r="R25" s="187"/>
      <c r="S25" s="187"/>
      <c r="T25" s="187"/>
      <c r="U25" s="187"/>
      <c r="V25" s="187"/>
      <c r="W25" s="187"/>
      <c r="X25" s="187"/>
      <c r="Y25" s="921" t="s">
        <v>591</v>
      </c>
      <c r="Z25" s="921"/>
      <c r="AA25" s="922" t="s">
        <v>606</v>
      </c>
      <c r="AB25" s="923"/>
      <c r="AC25" s="923"/>
      <c r="AD25" s="923"/>
      <c r="AE25" s="923"/>
      <c r="AF25" s="923"/>
      <c r="AG25" s="923"/>
      <c r="AH25" s="923"/>
      <c r="AI25" s="923"/>
      <c r="AJ25" s="923"/>
      <c r="AK25" s="923"/>
      <c r="AL25" s="923"/>
      <c r="AM25" s="923"/>
      <c r="AN25" s="923"/>
      <c r="AO25" s="923"/>
      <c r="AP25" s="923"/>
      <c r="AQ25" s="923"/>
      <c r="AR25" s="923"/>
      <c r="AS25" s="924"/>
      <c r="AT25" s="188"/>
      <c r="AU25" s="187"/>
      <c r="AV25" s="921" t="s">
        <v>591</v>
      </c>
      <c r="AW25" s="921"/>
      <c r="AX25" s="922" t="s">
        <v>607</v>
      </c>
      <c r="AY25" s="923"/>
      <c r="AZ25" s="923"/>
      <c r="BA25" s="923"/>
      <c r="BB25" s="923"/>
      <c r="BC25" s="923"/>
      <c r="BD25" s="923"/>
      <c r="BE25" s="923"/>
      <c r="BF25" s="923"/>
      <c r="BG25" s="923"/>
      <c r="BH25" s="923"/>
      <c r="BI25" s="923"/>
      <c r="BJ25" s="923"/>
      <c r="BK25" s="923"/>
      <c r="BL25" s="923"/>
      <c r="BM25" s="923"/>
      <c r="BN25" s="923"/>
      <c r="BO25" s="923"/>
      <c r="BP25" s="924"/>
    </row>
    <row r="26" spans="2:68" s="136" customFormat="1" ht="16.2">
      <c r="B26" s="187"/>
      <c r="C26" s="187"/>
      <c r="D26" s="187"/>
      <c r="E26" s="187"/>
      <c r="F26" s="187"/>
      <c r="G26" s="187"/>
      <c r="H26" s="187"/>
      <c r="I26" s="187"/>
      <c r="J26" s="187"/>
      <c r="K26" s="187"/>
      <c r="L26" s="187"/>
      <c r="M26" s="187"/>
      <c r="N26" s="187"/>
      <c r="O26" s="187"/>
      <c r="P26" s="187"/>
      <c r="Q26" s="187"/>
      <c r="R26" s="187"/>
      <c r="S26" s="187"/>
      <c r="T26" s="187"/>
      <c r="U26" s="187"/>
      <c r="V26" s="187"/>
      <c r="W26" s="187"/>
      <c r="X26" s="187"/>
      <c r="Y26" s="921" t="s">
        <v>591</v>
      </c>
      <c r="Z26" s="921"/>
      <c r="AA26" s="928" t="s">
        <v>608</v>
      </c>
      <c r="AB26" s="929"/>
      <c r="AC26" s="929"/>
      <c r="AD26" s="929"/>
      <c r="AE26" s="929"/>
      <c r="AF26" s="929"/>
      <c r="AG26" s="929"/>
      <c r="AH26" s="929"/>
      <c r="AI26" s="929"/>
      <c r="AJ26" s="929"/>
      <c r="AK26" s="929"/>
      <c r="AL26" s="929"/>
      <c r="AM26" s="929"/>
      <c r="AN26" s="929"/>
      <c r="AO26" s="929"/>
      <c r="AP26" s="929"/>
      <c r="AQ26" s="929"/>
      <c r="AR26" s="929"/>
      <c r="AS26" s="930"/>
      <c r="AT26" s="189"/>
      <c r="AU26" s="187"/>
      <c r="AV26" s="187"/>
      <c r="AW26" s="187"/>
      <c r="AX26" s="187"/>
      <c r="AY26" s="187"/>
      <c r="AZ26" s="187"/>
      <c r="BA26" s="187"/>
      <c r="BB26" s="187"/>
      <c r="BC26" s="187"/>
      <c r="BD26" s="187"/>
      <c r="BE26" s="187"/>
      <c r="BF26" s="187"/>
      <c r="BG26" s="187"/>
      <c r="BH26" s="187"/>
      <c r="BI26" s="187"/>
      <c r="BJ26" s="187"/>
      <c r="BK26" s="187"/>
      <c r="BL26" s="187"/>
      <c r="BM26" s="187"/>
      <c r="BN26" s="187"/>
      <c r="BO26" s="187"/>
      <c r="BP26" s="187"/>
    </row>
    <row r="27" spans="2:68" s="136" customFormat="1" ht="16.2">
      <c r="B27" s="921" t="s">
        <v>68</v>
      </c>
      <c r="C27" s="921"/>
      <c r="D27" s="922" t="s">
        <v>193</v>
      </c>
      <c r="E27" s="923"/>
      <c r="F27" s="923"/>
      <c r="G27" s="923"/>
      <c r="H27" s="923"/>
      <c r="I27" s="923"/>
      <c r="J27" s="923"/>
      <c r="K27" s="923"/>
      <c r="L27" s="923"/>
      <c r="M27" s="923"/>
      <c r="N27" s="923"/>
      <c r="O27" s="923"/>
      <c r="P27" s="923"/>
      <c r="Q27" s="923"/>
      <c r="R27" s="923"/>
      <c r="S27" s="923"/>
      <c r="T27" s="923"/>
      <c r="U27" s="923"/>
      <c r="V27" s="924"/>
      <c r="W27" s="187"/>
      <c r="X27" s="187"/>
      <c r="Y27" s="921" t="s">
        <v>591</v>
      </c>
      <c r="Z27" s="921"/>
      <c r="AA27" s="922" t="s">
        <v>609</v>
      </c>
      <c r="AB27" s="923"/>
      <c r="AC27" s="923"/>
      <c r="AD27" s="923"/>
      <c r="AE27" s="923"/>
      <c r="AF27" s="923"/>
      <c r="AG27" s="923"/>
      <c r="AH27" s="923"/>
      <c r="AI27" s="923"/>
      <c r="AJ27" s="923"/>
      <c r="AK27" s="923"/>
      <c r="AL27" s="923"/>
      <c r="AM27" s="923"/>
      <c r="AN27" s="923"/>
      <c r="AO27" s="923"/>
      <c r="AP27" s="923"/>
      <c r="AQ27" s="923"/>
      <c r="AR27" s="923"/>
      <c r="AS27" s="924"/>
      <c r="AT27" s="188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</row>
    <row r="28" spans="2:68" s="136" customFormat="1" ht="16.2">
      <c r="Y28" s="138"/>
      <c r="Z28" s="138"/>
      <c r="AA28" s="139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</row>
    <row r="29" spans="2:68" s="136" customFormat="1" ht="16.2">
      <c r="Y29" s="138"/>
      <c r="Z29" s="138"/>
      <c r="AA29" s="139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</row>
    <row r="30" spans="2:68" s="136" customFormat="1" ht="16.2">
      <c r="Y30" s="138"/>
      <c r="Z30" s="138"/>
      <c r="AA30" s="139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</row>
    <row r="31" spans="2:68" s="136" customFormat="1" ht="16.2">
      <c r="Y31" s="138"/>
      <c r="Z31" s="138"/>
      <c r="AA31" s="139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</row>
    <row r="32" spans="2:68" s="136" customFormat="1" ht="16.2">
      <c r="Y32" s="138"/>
      <c r="Z32" s="138"/>
      <c r="AA32" s="139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</row>
    <row r="33" spans="2:68" s="136" customFormat="1" ht="16.2"/>
    <row r="34" spans="2:68" s="136" customFormat="1" ht="16.2">
      <c r="B34" s="141" t="s">
        <v>194</v>
      </c>
      <c r="J34" s="125" t="s">
        <v>189</v>
      </c>
    </row>
    <row r="35" spans="2:68" s="136" customFormat="1" ht="16.2">
      <c r="B35" s="142"/>
      <c r="C35" s="926" t="s">
        <v>190</v>
      </c>
      <c r="D35" s="926"/>
      <c r="E35" s="926"/>
      <c r="F35" s="926"/>
      <c r="G35" s="926"/>
      <c r="H35" s="926"/>
      <c r="I35" s="926"/>
      <c r="Z35" s="926" t="s">
        <v>191</v>
      </c>
      <c r="AA35" s="926"/>
      <c r="AB35" s="926"/>
      <c r="AC35" s="926"/>
      <c r="AD35" s="926"/>
      <c r="AE35" s="926"/>
      <c r="AF35" s="926"/>
      <c r="AW35" s="137" t="s">
        <v>192</v>
      </c>
      <c r="AX35" s="137"/>
      <c r="AY35" s="137"/>
      <c r="AZ35" s="137"/>
      <c r="BA35" s="137"/>
      <c r="BB35" s="137"/>
      <c r="BC35" s="137"/>
    </row>
    <row r="36" spans="2:68" s="136" customFormat="1" ht="16.2">
      <c r="B36" s="921" t="s">
        <v>591</v>
      </c>
      <c r="C36" s="921"/>
      <c r="D36" s="922" t="s">
        <v>594</v>
      </c>
      <c r="E36" s="923"/>
      <c r="F36" s="923"/>
      <c r="G36" s="923"/>
      <c r="H36" s="923"/>
      <c r="I36" s="923"/>
      <c r="J36" s="923"/>
      <c r="K36" s="923"/>
      <c r="L36" s="923"/>
      <c r="M36" s="923"/>
      <c r="N36" s="923"/>
      <c r="O36" s="923"/>
      <c r="P36" s="923"/>
      <c r="Q36" s="923"/>
      <c r="R36" s="923"/>
      <c r="S36" s="923"/>
      <c r="T36" s="923"/>
      <c r="U36" s="923"/>
      <c r="V36" s="924"/>
      <c r="W36" s="187"/>
      <c r="X36" s="187"/>
      <c r="Y36" s="921" t="s">
        <v>591</v>
      </c>
      <c r="Z36" s="921"/>
      <c r="AA36" s="922" t="s">
        <v>595</v>
      </c>
      <c r="AB36" s="923"/>
      <c r="AC36" s="923"/>
      <c r="AD36" s="923"/>
      <c r="AE36" s="923"/>
      <c r="AF36" s="923"/>
      <c r="AG36" s="923"/>
      <c r="AH36" s="923"/>
      <c r="AI36" s="923"/>
      <c r="AJ36" s="923"/>
      <c r="AK36" s="923"/>
      <c r="AL36" s="923"/>
      <c r="AM36" s="923"/>
      <c r="AN36" s="923"/>
      <c r="AO36" s="923"/>
      <c r="AP36" s="923"/>
      <c r="AQ36" s="923"/>
      <c r="AR36" s="923"/>
      <c r="AS36" s="924"/>
      <c r="AT36" s="188"/>
      <c r="AU36" s="187"/>
      <c r="AV36" s="921" t="s">
        <v>591</v>
      </c>
      <c r="AW36" s="921"/>
      <c r="AX36" s="922" t="s">
        <v>596</v>
      </c>
      <c r="AY36" s="923"/>
      <c r="AZ36" s="923"/>
      <c r="BA36" s="923"/>
      <c r="BB36" s="923"/>
      <c r="BC36" s="923"/>
      <c r="BD36" s="923"/>
      <c r="BE36" s="923"/>
      <c r="BF36" s="923"/>
      <c r="BG36" s="923"/>
      <c r="BH36" s="923"/>
      <c r="BI36" s="923"/>
      <c r="BJ36" s="923"/>
      <c r="BK36" s="923"/>
      <c r="BL36" s="923"/>
      <c r="BM36" s="923"/>
      <c r="BN36" s="923"/>
      <c r="BO36" s="923"/>
      <c r="BP36" s="924"/>
    </row>
    <row r="37" spans="2:68" s="136" customFormat="1" ht="16.2">
      <c r="B37" s="921" t="s">
        <v>591</v>
      </c>
      <c r="C37" s="921"/>
      <c r="D37" s="931" t="s">
        <v>597</v>
      </c>
      <c r="E37" s="923"/>
      <c r="F37" s="923"/>
      <c r="G37" s="923"/>
      <c r="H37" s="923"/>
      <c r="I37" s="923"/>
      <c r="J37" s="923"/>
      <c r="K37" s="923"/>
      <c r="L37" s="923"/>
      <c r="M37" s="923"/>
      <c r="N37" s="923"/>
      <c r="O37" s="923"/>
      <c r="P37" s="923"/>
      <c r="Q37" s="923"/>
      <c r="R37" s="923"/>
      <c r="S37" s="923"/>
      <c r="T37" s="923"/>
      <c r="U37" s="923"/>
      <c r="V37" s="924"/>
      <c r="W37" s="187"/>
      <c r="X37" s="187"/>
      <c r="Y37" s="921" t="s">
        <v>591</v>
      </c>
      <c r="Z37" s="921"/>
      <c r="AA37" s="922" t="s">
        <v>598</v>
      </c>
      <c r="AB37" s="923"/>
      <c r="AC37" s="923"/>
      <c r="AD37" s="923"/>
      <c r="AE37" s="923"/>
      <c r="AF37" s="923"/>
      <c r="AG37" s="923"/>
      <c r="AH37" s="923"/>
      <c r="AI37" s="923"/>
      <c r="AJ37" s="923"/>
      <c r="AK37" s="923"/>
      <c r="AL37" s="923"/>
      <c r="AM37" s="923"/>
      <c r="AN37" s="923"/>
      <c r="AO37" s="923"/>
      <c r="AP37" s="923"/>
      <c r="AQ37" s="923"/>
      <c r="AR37" s="923"/>
      <c r="AS37" s="924"/>
      <c r="AT37" s="188"/>
      <c r="AU37" s="187"/>
      <c r="AV37" s="921" t="s">
        <v>591</v>
      </c>
      <c r="AW37" s="921"/>
      <c r="AX37" s="922" t="s">
        <v>599</v>
      </c>
      <c r="AY37" s="923"/>
      <c r="AZ37" s="923"/>
      <c r="BA37" s="923"/>
      <c r="BB37" s="923"/>
      <c r="BC37" s="923"/>
      <c r="BD37" s="923"/>
      <c r="BE37" s="923"/>
      <c r="BF37" s="923"/>
      <c r="BG37" s="923"/>
      <c r="BH37" s="923"/>
      <c r="BI37" s="923"/>
      <c r="BJ37" s="923"/>
      <c r="BK37" s="923"/>
      <c r="BL37" s="923"/>
      <c r="BM37" s="923"/>
      <c r="BN37" s="923"/>
      <c r="BO37" s="923"/>
      <c r="BP37" s="924"/>
    </row>
    <row r="38" spans="2:68" s="136" customFormat="1" ht="16.2">
      <c r="B38" s="187"/>
      <c r="C38" s="187"/>
      <c r="D38" s="187"/>
      <c r="E38" s="187"/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921" t="s">
        <v>591</v>
      </c>
      <c r="Z38" s="921"/>
      <c r="AA38" s="922" t="s">
        <v>600</v>
      </c>
      <c r="AB38" s="923"/>
      <c r="AC38" s="923"/>
      <c r="AD38" s="923"/>
      <c r="AE38" s="923"/>
      <c r="AF38" s="923"/>
      <c r="AG38" s="923"/>
      <c r="AH38" s="923"/>
      <c r="AI38" s="923"/>
      <c r="AJ38" s="923"/>
      <c r="AK38" s="923"/>
      <c r="AL38" s="923"/>
      <c r="AM38" s="923"/>
      <c r="AN38" s="923"/>
      <c r="AO38" s="923"/>
      <c r="AP38" s="923"/>
      <c r="AQ38" s="923"/>
      <c r="AR38" s="923"/>
      <c r="AS38" s="924"/>
      <c r="AT38" s="188"/>
      <c r="AU38" s="187"/>
      <c r="AV38" s="921" t="s">
        <v>591</v>
      </c>
      <c r="AW38" s="921"/>
      <c r="AX38" s="922" t="s">
        <v>601</v>
      </c>
      <c r="AY38" s="923"/>
      <c r="AZ38" s="923"/>
      <c r="BA38" s="923"/>
      <c r="BB38" s="923"/>
      <c r="BC38" s="923"/>
      <c r="BD38" s="923"/>
      <c r="BE38" s="923"/>
      <c r="BF38" s="923"/>
      <c r="BG38" s="923"/>
      <c r="BH38" s="923"/>
      <c r="BI38" s="923"/>
      <c r="BJ38" s="923"/>
      <c r="BK38" s="923"/>
      <c r="BL38" s="923"/>
      <c r="BM38" s="923"/>
      <c r="BN38" s="923"/>
      <c r="BO38" s="923"/>
      <c r="BP38" s="924"/>
    </row>
    <row r="39" spans="2:68" s="136" customFormat="1" ht="16.2"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87"/>
      <c r="N39" s="187"/>
      <c r="O39" s="187"/>
      <c r="P39" s="187"/>
      <c r="Q39" s="187"/>
      <c r="R39" s="187"/>
      <c r="S39" s="187"/>
      <c r="T39" s="187"/>
      <c r="U39" s="187"/>
      <c r="V39" s="187"/>
      <c r="W39" s="187"/>
      <c r="X39" s="187"/>
      <c r="Y39" s="921" t="s">
        <v>591</v>
      </c>
      <c r="Z39" s="921"/>
      <c r="AA39" s="922" t="s">
        <v>602</v>
      </c>
      <c r="AB39" s="923"/>
      <c r="AC39" s="923"/>
      <c r="AD39" s="923"/>
      <c r="AE39" s="923"/>
      <c r="AF39" s="923"/>
      <c r="AG39" s="923"/>
      <c r="AH39" s="923"/>
      <c r="AI39" s="923"/>
      <c r="AJ39" s="923"/>
      <c r="AK39" s="923"/>
      <c r="AL39" s="923"/>
      <c r="AM39" s="923"/>
      <c r="AN39" s="923"/>
      <c r="AO39" s="923"/>
      <c r="AP39" s="923"/>
      <c r="AQ39" s="923"/>
      <c r="AR39" s="923"/>
      <c r="AS39" s="924"/>
      <c r="AT39" s="188"/>
      <c r="AU39" s="187"/>
      <c r="AV39" s="921" t="s">
        <v>591</v>
      </c>
      <c r="AW39" s="921"/>
      <c r="AX39" s="922" t="s">
        <v>603</v>
      </c>
      <c r="AY39" s="923"/>
      <c r="AZ39" s="923"/>
      <c r="BA39" s="923"/>
      <c r="BB39" s="923"/>
      <c r="BC39" s="923"/>
      <c r="BD39" s="923"/>
      <c r="BE39" s="923"/>
      <c r="BF39" s="923"/>
      <c r="BG39" s="923"/>
      <c r="BH39" s="923"/>
      <c r="BI39" s="923"/>
      <c r="BJ39" s="923"/>
      <c r="BK39" s="923"/>
      <c r="BL39" s="923"/>
      <c r="BM39" s="923"/>
      <c r="BN39" s="923"/>
      <c r="BO39" s="923"/>
      <c r="BP39" s="924"/>
    </row>
    <row r="40" spans="2:68" s="136" customFormat="1" ht="16.2"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87"/>
      <c r="N40" s="187"/>
      <c r="O40" s="187"/>
      <c r="P40" s="187"/>
      <c r="Q40" s="187"/>
      <c r="R40" s="187"/>
      <c r="S40" s="187"/>
      <c r="T40" s="187"/>
      <c r="U40" s="187"/>
      <c r="V40" s="187"/>
      <c r="W40" s="187"/>
      <c r="X40" s="187"/>
      <c r="Y40" s="921" t="s">
        <v>591</v>
      </c>
      <c r="Z40" s="921"/>
      <c r="AA40" s="922" t="s">
        <v>604</v>
      </c>
      <c r="AB40" s="923"/>
      <c r="AC40" s="923"/>
      <c r="AD40" s="923"/>
      <c r="AE40" s="923"/>
      <c r="AF40" s="923"/>
      <c r="AG40" s="923"/>
      <c r="AH40" s="923"/>
      <c r="AI40" s="923"/>
      <c r="AJ40" s="923"/>
      <c r="AK40" s="923"/>
      <c r="AL40" s="923"/>
      <c r="AM40" s="923"/>
      <c r="AN40" s="923"/>
      <c r="AO40" s="923"/>
      <c r="AP40" s="923"/>
      <c r="AQ40" s="923"/>
      <c r="AR40" s="923"/>
      <c r="AS40" s="924"/>
      <c r="AT40" s="188"/>
      <c r="AU40" s="187"/>
      <c r="AV40" s="921" t="s">
        <v>591</v>
      </c>
      <c r="AW40" s="921"/>
      <c r="AX40" s="922" t="s">
        <v>605</v>
      </c>
      <c r="AY40" s="923"/>
      <c r="AZ40" s="923"/>
      <c r="BA40" s="923"/>
      <c r="BB40" s="923"/>
      <c r="BC40" s="923"/>
      <c r="BD40" s="923"/>
      <c r="BE40" s="923"/>
      <c r="BF40" s="923"/>
      <c r="BG40" s="923"/>
      <c r="BH40" s="923"/>
      <c r="BI40" s="923"/>
      <c r="BJ40" s="923"/>
      <c r="BK40" s="923"/>
      <c r="BL40" s="923"/>
      <c r="BM40" s="923"/>
      <c r="BN40" s="923"/>
      <c r="BO40" s="923"/>
      <c r="BP40" s="924"/>
    </row>
    <row r="41" spans="2:68" s="136" customFormat="1" ht="16.2">
      <c r="B41" s="187"/>
      <c r="C41" s="187"/>
      <c r="D41" s="187"/>
      <c r="E41" s="187"/>
      <c r="F41" s="187"/>
      <c r="G41" s="187"/>
      <c r="H41" s="187"/>
      <c r="I41" s="187"/>
      <c r="J41" s="187"/>
      <c r="K41" s="187"/>
      <c r="L41" s="187"/>
      <c r="M41" s="187"/>
      <c r="N41" s="187"/>
      <c r="O41" s="187"/>
      <c r="P41" s="187"/>
      <c r="Q41" s="187"/>
      <c r="R41" s="187"/>
      <c r="S41" s="187"/>
      <c r="T41" s="187"/>
      <c r="U41" s="187"/>
      <c r="V41" s="187"/>
      <c r="W41" s="187"/>
      <c r="X41" s="187"/>
      <c r="Y41" s="921" t="s">
        <v>591</v>
      </c>
      <c r="Z41" s="921"/>
      <c r="AA41" s="922" t="s">
        <v>606</v>
      </c>
      <c r="AB41" s="923"/>
      <c r="AC41" s="923"/>
      <c r="AD41" s="923"/>
      <c r="AE41" s="923"/>
      <c r="AF41" s="923"/>
      <c r="AG41" s="923"/>
      <c r="AH41" s="923"/>
      <c r="AI41" s="923"/>
      <c r="AJ41" s="923"/>
      <c r="AK41" s="923"/>
      <c r="AL41" s="923"/>
      <c r="AM41" s="923"/>
      <c r="AN41" s="923"/>
      <c r="AO41" s="923"/>
      <c r="AP41" s="923"/>
      <c r="AQ41" s="923"/>
      <c r="AR41" s="923"/>
      <c r="AS41" s="924"/>
      <c r="AT41" s="188"/>
      <c r="AU41" s="187"/>
      <c r="AV41" s="921" t="s">
        <v>591</v>
      </c>
      <c r="AW41" s="921"/>
      <c r="AX41" s="922" t="s">
        <v>607</v>
      </c>
      <c r="AY41" s="923"/>
      <c r="AZ41" s="923"/>
      <c r="BA41" s="923"/>
      <c r="BB41" s="923"/>
      <c r="BC41" s="923"/>
      <c r="BD41" s="923"/>
      <c r="BE41" s="923"/>
      <c r="BF41" s="923"/>
      <c r="BG41" s="923"/>
      <c r="BH41" s="923"/>
      <c r="BI41" s="923"/>
      <c r="BJ41" s="923"/>
      <c r="BK41" s="923"/>
      <c r="BL41" s="923"/>
      <c r="BM41" s="923"/>
      <c r="BN41" s="923"/>
      <c r="BO41" s="923"/>
      <c r="BP41" s="924"/>
    </row>
    <row r="42" spans="2:68" s="136" customFormat="1" ht="16.2">
      <c r="B42" s="187"/>
      <c r="C42" s="187"/>
      <c r="D42" s="187"/>
      <c r="E42" s="187"/>
      <c r="F42" s="187"/>
      <c r="G42" s="187"/>
      <c r="H42" s="187"/>
      <c r="I42" s="187"/>
      <c r="J42" s="187"/>
      <c r="K42" s="187"/>
      <c r="L42" s="187"/>
      <c r="M42" s="187"/>
      <c r="N42" s="187"/>
      <c r="O42" s="187"/>
      <c r="P42" s="187"/>
      <c r="Q42" s="187"/>
      <c r="R42" s="187"/>
      <c r="S42" s="187"/>
      <c r="T42" s="187"/>
      <c r="U42" s="187"/>
      <c r="V42" s="187"/>
      <c r="W42" s="187"/>
      <c r="X42" s="187"/>
      <c r="Y42" s="921" t="s">
        <v>591</v>
      </c>
      <c r="Z42" s="921"/>
      <c r="AA42" s="928" t="s">
        <v>608</v>
      </c>
      <c r="AB42" s="929"/>
      <c r="AC42" s="929"/>
      <c r="AD42" s="929"/>
      <c r="AE42" s="929"/>
      <c r="AF42" s="929"/>
      <c r="AG42" s="929"/>
      <c r="AH42" s="929"/>
      <c r="AI42" s="929"/>
      <c r="AJ42" s="929"/>
      <c r="AK42" s="929"/>
      <c r="AL42" s="929"/>
      <c r="AM42" s="929"/>
      <c r="AN42" s="929" t="b">
        <v>1</v>
      </c>
      <c r="AO42" s="929"/>
      <c r="AP42" s="929"/>
      <c r="AQ42" s="929"/>
      <c r="AR42" s="929"/>
      <c r="AS42" s="930"/>
      <c r="AT42" s="189"/>
      <c r="AU42" s="187"/>
      <c r="AV42" s="187"/>
      <c r="AW42" s="187"/>
      <c r="AX42" s="187"/>
      <c r="AY42" s="187"/>
      <c r="AZ42" s="187"/>
      <c r="BA42" s="187"/>
      <c r="BB42" s="187"/>
      <c r="BC42" s="187"/>
      <c r="BD42" s="187"/>
      <c r="BE42" s="187"/>
      <c r="BF42" s="187"/>
      <c r="BG42" s="187"/>
      <c r="BH42" s="187"/>
      <c r="BI42" s="187"/>
      <c r="BJ42" s="187"/>
      <c r="BK42" s="187"/>
      <c r="BL42" s="187"/>
      <c r="BM42" s="187"/>
      <c r="BN42" s="187"/>
      <c r="BO42" s="187"/>
      <c r="BP42" s="187"/>
    </row>
    <row r="43" spans="2:68" s="136" customFormat="1" ht="16.2">
      <c r="B43" s="921" t="s">
        <v>68</v>
      </c>
      <c r="C43" s="921"/>
      <c r="D43" s="922" t="s">
        <v>193</v>
      </c>
      <c r="E43" s="923"/>
      <c r="F43" s="923"/>
      <c r="G43" s="923"/>
      <c r="H43" s="923"/>
      <c r="I43" s="923"/>
      <c r="J43" s="923"/>
      <c r="K43" s="923"/>
      <c r="L43" s="923"/>
      <c r="M43" s="923"/>
      <c r="N43" s="923"/>
      <c r="O43" s="923"/>
      <c r="P43" s="923"/>
      <c r="Q43" s="923"/>
      <c r="R43" s="923"/>
      <c r="S43" s="923"/>
      <c r="T43" s="923"/>
      <c r="U43" s="923"/>
      <c r="V43" s="924"/>
      <c r="W43" s="187"/>
      <c r="X43" s="187"/>
      <c r="Y43" s="921" t="s">
        <v>591</v>
      </c>
      <c r="Z43" s="921"/>
      <c r="AA43" s="922" t="s">
        <v>609</v>
      </c>
      <c r="AB43" s="923"/>
      <c r="AC43" s="923"/>
      <c r="AD43" s="923"/>
      <c r="AE43" s="923"/>
      <c r="AF43" s="923"/>
      <c r="AG43" s="923"/>
      <c r="AH43" s="923"/>
      <c r="AI43" s="923"/>
      <c r="AJ43" s="923"/>
      <c r="AK43" s="923"/>
      <c r="AL43" s="923"/>
      <c r="AM43" s="923"/>
      <c r="AN43" s="923"/>
      <c r="AO43" s="923"/>
      <c r="AP43" s="923"/>
      <c r="AQ43" s="923"/>
      <c r="AR43" s="923"/>
      <c r="AS43" s="924"/>
      <c r="AT43" s="188"/>
      <c r="AU43" s="187"/>
      <c r="AV43" s="187"/>
      <c r="AW43" s="187"/>
      <c r="AX43" s="187"/>
      <c r="AY43" s="187"/>
      <c r="AZ43" s="187"/>
      <c r="BA43" s="187"/>
      <c r="BB43" s="187"/>
      <c r="BC43" s="187"/>
      <c r="BD43" s="187"/>
      <c r="BE43" s="187"/>
      <c r="BF43" s="187"/>
      <c r="BG43" s="187"/>
      <c r="BH43" s="187"/>
      <c r="BI43" s="187"/>
      <c r="BJ43" s="187"/>
      <c r="BK43" s="187"/>
      <c r="BL43" s="187"/>
      <c r="BM43" s="187"/>
      <c r="BN43" s="187"/>
      <c r="BO43" s="187"/>
      <c r="BP43" s="187"/>
    </row>
    <row r="44" spans="2:68" s="136" customFormat="1" ht="16.2"/>
    <row r="45" spans="2:68" s="136" customFormat="1" ht="16.2"/>
    <row r="46" spans="2:68" s="136" customFormat="1" ht="16.2"/>
    <row r="47" spans="2:68" s="136" customFormat="1" ht="16.2"/>
    <row r="48" spans="2:68" s="136" customFormat="1" ht="16.2"/>
    <row r="49" spans="2:54" s="136" customFormat="1" ht="16.2"/>
    <row r="50" spans="2:54" s="136" customFormat="1" ht="16.2">
      <c r="B50" s="141" t="s">
        <v>195</v>
      </c>
    </row>
    <row r="51" spans="2:54" s="136" customFormat="1" ht="19.2">
      <c r="B51" s="897" t="s">
        <v>196</v>
      </c>
      <c r="C51" s="898"/>
      <c r="D51" s="898"/>
      <c r="E51" s="898"/>
      <c r="F51" s="898"/>
      <c r="G51" s="898"/>
      <c r="H51" s="899"/>
      <c r="I51" s="905"/>
      <c r="J51" s="906"/>
      <c r="K51" s="906"/>
      <c r="L51" s="906"/>
      <c r="M51" s="906"/>
      <c r="N51" s="906"/>
      <c r="O51" s="906"/>
      <c r="P51" s="906"/>
      <c r="Q51" s="906"/>
      <c r="R51" s="906"/>
      <c r="S51" s="906"/>
      <c r="T51" s="906"/>
      <c r="U51" s="906"/>
      <c r="V51" s="906"/>
      <c r="W51" s="906"/>
      <c r="X51" s="907"/>
    </row>
    <row r="52" spans="2:54" s="136" customFormat="1" ht="19.2">
      <c r="I52" s="905"/>
      <c r="J52" s="906"/>
      <c r="K52" s="906"/>
      <c r="L52" s="906"/>
      <c r="M52" s="906"/>
      <c r="N52" s="906"/>
      <c r="O52" s="906"/>
      <c r="P52" s="906"/>
      <c r="Q52" s="906"/>
      <c r="R52" s="906"/>
      <c r="S52" s="906"/>
      <c r="T52" s="906"/>
      <c r="U52" s="906"/>
      <c r="V52" s="906"/>
      <c r="W52" s="906"/>
      <c r="X52" s="907"/>
      <c r="Y52" s="38" t="s">
        <v>197</v>
      </c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200"/>
      <c r="BA52" s="199"/>
      <c r="BB52" s="199"/>
    </row>
    <row r="53" spans="2:54" s="136" customFormat="1" ht="16.2"/>
    <row r="54" spans="2:54" s="136" customFormat="1" ht="16.2"/>
    <row r="55" spans="2:54" s="136" customFormat="1" ht="16.2">
      <c r="B55" s="141" t="s">
        <v>198</v>
      </c>
      <c r="K55" s="125" t="s">
        <v>189</v>
      </c>
    </row>
    <row r="56" spans="2:54" s="136" customFormat="1" ht="16.2">
      <c r="B56" s="921" t="s">
        <v>68</v>
      </c>
      <c r="C56" s="921"/>
      <c r="D56" s="922" t="s">
        <v>199</v>
      </c>
      <c r="E56" s="923"/>
      <c r="F56" s="923"/>
      <c r="G56" s="923"/>
      <c r="H56" s="923"/>
      <c r="I56" s="923"/>
      <c r="J56" s="923"/>
      <c r="K56" s="923"/>
      <c r="L56" s="923"/>
      <c r="M56" s="923"/>
      <c r="N56" s="923"/>
      <c r="O56" s="923"/>
      <c r="P56" s="923"/>
      <c r="Q56" s="923"/>
      <c r="R56" s="923"/>
      <c r="S56" s="923"/>
      <c r="T56" s="923"/>
      <c r="U56" s="923"/>
      <c r="V56" s="924"/>
    </row>
    <row r="57" spans="2:54" s="136" customFormat="1" ht="16.2">
      <c r="B57" s="921" t="s">
        <v>68</v>
      </c>
      <c r="C57" s="921"/>
      <c r="D57" s="922" t="s">
        <v>200</v>
      </c>
      <c r="E57" s="923"/>
      <c r="F57" s="923"/>
      <c r="G57" s="923"/>
      <c r="H57" s="923"/>
      <c r="I57" s="923"/>
      <c r="J57" s="923"/>
      <c r="K57" s="923"/>
      <c r="L57" s="923"/>
      <c r="M57" s="923"/>
      <c r="N57" s="923"/>
      <c r="O57" s="923"/>
      <c r="P57" s="923"/>
      <c r="Q57" s="923"/>
      <c r="R57" s="923"/>
      <c r="S57" s="923"/>
      <c r="T57" s="923"/>
      <c r="U57" s="923"/>
      <c r="V57" s="924"/>
    </row>
    <row r="58" spans="2:54" s="136" customFormat="1" ht="16.2">
      <c r="B58" s="921" t="s">
        <v>68</v>
      </c>
      <c r="C58" s="921"/>
      <c r="D58" s="922" t="s">
        <v>610</v>
      </c>
      <c r="E58" s="923"/>
      <c r="F58" s="923"/>
      <c r="G58" s="923"/>
      <c r="H58" s="923"/>
      <c r="I58" s="923"/>
      <c r="J58" s="923"/>
      <c r="K58" s="923"/>
      <c r="L58" s="923"/>
      <c r="M58" s="923"/>
      <c r="N58" s="923"/>
      <c r="O58" s="923"/>
      <c r="P58" s="923"/>
      <c r="Q58" s="923"/>
      <c r="R58" s="923"/>
      <c r="S58" s="923"/>
      <c r="T58" s="923"/>
      <c r="U58" s="923"/>
      <c r="V58" s="924"/>
    </row>
    <row r="59" spans="2:54" s="136" customFormat="1" ht="16.2">
      <c r="B59" s="921" t="s">
        <v>68</v>
      </c>
      <c r="C59" s="921"/>
      <c r="D59" s="932" t="s">
        <v>201</v>
      </c>
      <c r="E59" s="933"/>
      <c r="F59" s="933"/>
      <c r="G59" s="933"/>
      <c r="H59" s="933"/>
      <c r="I59" s="933"/>
      <c r="J59" s="933"/>
      <c r="K59" s="933"/>
      <c r="L59" s="933"/>
      <c r="M59" s="933"/>
      <c r="N59" s="933"/>
      <c r="O59" s="933"/>
      <c r="P59" s="933"/>
      <c r="Q59" s="933"/>
      <c r="R59" s="933"/>
      <c r="S59" s="933"/>
      <c r="T59" s="933"/>
      <c r="U59" s="933"/>
      <c r="V59" s="934"/>
    </row>
    <row r="60" spans="2:54" s="136" customFormat="1" ht="16.2">
      <c r="B60" s="935" t="s">
        <v>68</v>
      </c>
      <c r="C60" s="936"/>
      <c r="D60" s="927" t="s">
        <v>202</v>
      </c>
      <c r="E60" s="927"/>
      <c r="F60" s="927"/>
      <c r="G60" s="927"/>
      <c r="H60" s="941"/>
      <c r="I60" s="942"/>
      <c r="J60" s="942"/>
      <c r="K60" s="942"/>
      <c r="L60" s="942"/>
      <c r="M60" s="942"/>
      <c r="N60" s="942"/>
      <c r="O60" s="942"/>
      <c r="P60" s="942"/>
      <c r="Q60" s="942"/>
      <c r="R60" s="942"/>
      <c r="S60" s="942"/>
      <c r="T60" s="942"/>
      <c r="U60" s="942"/>
      <c r="V60" s="943"/>
    </row>
    <row r="61" spans="2:54" s="136" customFormat="1" ht="16.2">
      <c r="B61" s="937"/>
      <c r="C61" s="938"/>
      <c r="D61" s="927"/>
      <c r="E61" s="927"/>
      <c r="F61" s="927"/>
      <c r="G61" s="927"/>
      <c r="H61" s="944"/>
      <c r="I61" s="945"/>
      <c r="J61" s="945"/>
      <c r="K61" s="945"/>
      <c r="L61" s="945"/>
      <c r="M61" s="945"/>
      <c r="N61" s="945"/>
      <c r="O61" s="945"/>
      <c r="P61" s="945"/>
      <c r="Q61" s="945"/>
      <c r="R61" s="945"/>
      <c r="S61" s="945"/>
      <c r="T61" s="945"/>
      <c r="U61" s="945"/>
      <c r="V61" s="946"/>
    </row>
    <row r="62" spans="2:54" s="136" customFormat="1" ht="16.2">
      <c r="B62" s="937"/>
      <c r="C62" s="938"/>
      <c r="D62" s="927"/>
      <c r="E62" s="927"/>
      <c r="F62" s="927"/>
      <c r="G62" s="927"/>
      <c r="H62" s="944"/>
      <c r="I62" s="945"/>
      <c r="J62" s="945"/>
      <c r="K62" s="945"/>
      <c r="L62" s="945"/>
      <c r="M62" s="945"/>
      <c r="N62" s="945"/>
      <c r="O62" s="945"/>
      <c r="P62" s="945"/>
      <c r="Q62" s="945"/>
      <c r="R62" s="945"/>
      <c r="S62" s="945"/>
      <c r="T62" s="945"/>
      <c r="U62" s="945"/>
      <c r="V62" s="946"/>
    </row>
    <row r="63" spans="2:54" s="136" customFormat="1" ht="16.2">
      <c r="B63" s="937"/>
      <c r="C63" s="938"/>
      <c r="D63" s="927"/>
      <c r="E63" s="927"/>
      <c r="F63" s="927"/>
      <c r="G63" s="927"/>
      <c r="H63" s="944"/>
      <c r="I63" s="945"/>
      <c r="J63" s="945"/>
      <c r="K63" s="945"/>
      <c r="L63" s="945"/>
      <c r="M63" s="945"/>
      <c r="N63" s="945"/>
      <c r="O63" s="945"/>
      <c r="P63" s="945"/>
      <c r="Q63" s="945"/>
      <c r="R63" s="945"/>
      <c r="S63" s="945"/>
      <c r="T63" s="945"/>
      <c r="U63" s="945"/>
      <c r="V63" s="946"/>
    </row>
    <row r="64" spans="2:54" s="136" customFormat="1" ht="16.2">
      <c r="B64" s="939"/>
      <c r="C64" s="940"/>
      <c r="D64" s="927"/>
      <c r="E64" s="927"/>
      <c r="F64" s="927"/>
      <c r="G64" s="927"/>
      <c r="H64" s="947"/>
      <c r="I64" s="948"/>
      <c r="J64" s="948"/>
      <c r="K64" s="948"/>
      <c r="L64" s="948"/>
      <c r="M64" s="948"/>
      <c r="N64" s="948"/>
      <c r="O64" s="948"/>
      <c r="P64" s="948"/>
      <c r="Q64" s="948"/>
      <c r="R64" s="948"/>
      <c r="S64" s="948"/>
      <c r="T64" s="948"/>
      <c r="U64" s="948"/>
      <c r="V64" s="949"/>
    </row>
    <row r="65" spans="2:51" s="136" customFormat="1" ht="16.2"/>
    <row r="66" spans="2:51" s="136" customFormat="1" ht="16.2">
      <c r="B66" s="141" t="s">
        <v>203</v>
      </c>
      <c r="D66" s="143"/>
    </row>
    <row r="67" spans="2:51" s="136" customFormat="1" ht="18.75" customHeight="1">
      <c r="B67" s="897" t="s">
        <v>204</v>
      </c>
      <c r="C67" s="898"/>
      <c r="D67" s="898"/>
      <c r="E67" s="898"/>
      <c r="F67" s="898"/>
      <c r="G67" s="898"/>
      <c r="H67" s="899"/>
      <c r="I67" s="905"/>
      <c r="J67" s="906"/>
      <c r="K67" s="906"/>
      <c r="L67" s="906"/>
      <c r="M67" s="906"/>
      <c r="N67" s="906"/>
      <c r="O67" s="906"/>
      <c r="P67" s="906"/>
      <c r="Q67" s="906"/>
      <c r="R67" s="906"/>
      <c r="S67" s="906"/>
      <c r="T67" s="906"/>
      <c r="U67" s="906"/>
      <c r="V67" s="906"/>
      <c r="W67" s="906"/>
      <c r="X67" s="907"/>
    </row>
    <row r="68" spans="2:51" s="136" customFormat="1" ht="19.2">
      <c r="I68" s="905"/>
      <c r="J68" s="906"/>
      <c r="K68" s="906"/>
      <c r="L68" s="906"/>
      <c r="M68" s="906"/>
      <c r="N68" s="906"/>
      <c r="O68" s="906"/>
      <c r="P68" s="906"/>
      <c r="Q68" s="906"/>
      <c r="R68" s="906"/>
      <c r="S68" s="906"/>
      <c r="T68" s="906"/>
      <c r="U68" s="906"/>
      <c r="V68" s="906"/>
      <c r="W68" s="906"/>
      <c r="X68" s="907"/>
      <c r="Y68" s="38" t="s">
        <v>205</v>
      </c>
      <c r="Z68" s="39"/>
      <c r="AA68" s="39"/>
      <c r="AB68" s="39"/>
      <c r="AC68" s="199"/>
      <c r="AD68" s="199"/>
      <c r="AE68" s="199"/>
      <c r="AF68" s="199"/>
      <c r="AG68" s="199"/>
      <c r="AH68" s="199"/>
      <c r="AI68" s="199"/>
      <c r="AJ68" s="199"/>
      <c r="AK68" s="199"/>
      <c r="AL68" s="199"/>
      <c r="AM68" s="199"/>
      <c r="AN68" s="199"/>
      <c r="AO68" s="199"/>
      <c r="AP68" s="199"/>
      <c r="AQ68" s="199"/>
      <c r="AR68" s="199"/>
      <c r="AS68" s="199"/>
      <c r="AT68" s="199"/>
      <c r="AU68" s="199"/>
      <c r="AV68" s="199"/>
      <c r="AW68" s="199"/>
      <c r="AX68" s="199"/>
      <c r="AY68" s="199"/>
    </row>
    <row r="69" spans="2:51" s="136" customFormat="1" ht="16.2"/>
    <row r="70" spans="2:51" s="136" customFormat="1" ht="16.2"/>
    <row r="71" spans="2:51" s="136" customFormat="1" ht="16.2">
      <c r="B71" s="141" t="s">
        <v>206</v>
      </c>
      <c r="K71" s="125" t="s">
        <v>189</v>
      </c>
    </row>
    <row r="72" spans="2:51" s="136" customFormat="1" ht="16.2">
      <c r="B72" s="921" t="s">
        <v>68</v>
      </c>
      <c r="C72" s="921"/>
      <c r="D72" s="932" t="s">
        <v>207</v>
      </c>
      <c r="E72" s="933"/>
      <c r="F72" s="923"/>
      <c r="G72" s="923"/>
      <c r="H72" s="923"/>
      <c r="I72" s="923"/>
      <c r="J72" s="923"/>
      <c r="K72" s="923"/>
      <c r="L72" s="923"/>
      <c r="M72" s="923"/>
      <c r="N72" s="923"/>
      <c r="O72" s="923"/>
      <c r="P72" s="923"/>
      <c r="Q72" s="923"/>
      <c r="R72" s="923"/>
      <c r="S72" s="923"/>
      <c r="T72" s="923"/>
      <c r="U72" s="923"/>
      <c r="V72" s="924"/>
    </row>
    <row r="73" spans="2:51" s="136" customFormat="1" ht="17.25" customHeight="1">
      <c r="B73" s="921" t="s">
        <v>68</v>
      </c>
      <c r="C73" s="921"/>
      <c r="D73" s="932" t="s">
        <v>208</v>
      </c>
      <c r="E73" s="934"/>
      <c r="F73" s="950" t="s">
        <v>209</v>
      </c>
      <c r="G73" s="950"/>
      <c r="H73" s="950"/>
      <c r="I73" s="950"/>
      <c r="J73" s="950"/>
      <c r="K73" s="950"/>
      <c r="L73" s="950"/>
      <c r="M73" s="950"/>
      <c r="N73" s="950"/>
      <c r="O73" s="950"/>
      <c r="P73" s="950"/>
      <c r="Q73" s="950"/>
      <c r="R73" s="950"/>
      <c r="S73" s="950"/>
      <c r="T73" s="950"/>
      <c r="U73" s="950"/>
      <c r="V73" s="951"/>
    </row>
    <row r="74" spans="2:51" s="136" customFormat="1" ht="17.25" customHeight="1">
      <c r="B74" s="921" t="s">
        <v>68</v>
      </c>
      <c r="C74" s="921"/>
      <c r="D74" s="952"/>
      <c r="E74" s="953"/>
      <c r="F74" s="950" t="s">
        <v>210</v>
      </c>
      <c r="G74" s="950"/>
      <c r="H74" s="950"/>
      <c r="I74" s="950"/>
      <c r="J74" s="950"/>
      <c r="K74" s="950"/>
      <c r="L74" s="950"/>
      <c r="M74" s="950"/>
      <c r="N74" s="950"/>
      <c r="O74" s="950"/>
      <c r="P74" s="950"/>
      <c r="Q74" s="950"/>
      <c r="R74" s="950"/>
      <c r="S74" s="950"/>
      <c r="T74" s="950"/>
      <c r="U74" s="950"/>
      <c r="V74" s="951"/>
    </row>
    <row r="75" spans="2:51" s="136" customFormat="1" ht="17.25" customHeight="1">
      <c r="B75" s="921" t="s">
        <v>68</v>
      </c>
      <c r="C75" s="921"/>
      <c r="D75" s="952"/>
      <c r="E75" s="953"/>
      <c r="F75" s="950" t="s">
        <v>211</v>
      </c>
      <c r="G75" s="950"/>
      <c r="H75" s="950"/>
      <c r="I75" s="950"/>
      <c r="J75" s="950"/>
      <c r="K75" s="950"/>
      <c r="L75" s="950"/>
      <c r="M75" s="950"/>
      <c r="N75" s="950"/>
      <c r="O75" s="950"/>
      <c r="P75" s="950"/>
      <c r="Q75" s="950"/>
      <c r="R75" s="950"/>
      <c r="S75" s="950"/>
      <c r="T75" s="950"/>
      <c r="U75" s="950"/>
      <c r="V75" s="951"/>
    </row>
    <row r="76" spans="2:51" s="136" customFormat="1" ht="17.25" customHeight="1">
      <c r="B76" s="921" t="s">
        <v>68</v>
      </c>
      <c r="C76" s="921"/>
      <c r="D76" s="952"/>
      <c r="E76" s="953"/>
      <c r="F76" s="950" t="s">
        <v>611</v>
      </c>
      <c r="G76" s="950"/>
      <c r="H76" s="950"/>
      <c r="I76" s="950"/>
      <c r="J76" s="950"/>
      <c r="K76" s="950"/>
      <c r="L76" s="950"/>
      <c r="M76" s="950"/>
      <c r="N76" s="950"/>
      <c r="O76" s="950"/>
      <c r="P76" s="950"/>
      <c r="Q76" s="950"/>
      <c r="R76" s="950"/>
      <c r="S76" s="950"/>
      <c r="T76" s="950"/>
      <c r="U76" s="950"/>
      <c r="V76" s="951"/>
    </row>
    <row r="77" spans="2:51" s="136" customFormat="1" ht="17.25" customHeight="1">
      <c r="B77" s="921" t="s">
        <v>68</v>
      </c>
      <c r="C77" s="921"/>
      <c r="D77" s="954"/>
      <c r="E77" s="955"/>
      <c r="F77" s="931" t="s">
        <v>212</v>
      </c>
      <c r="G77" s="923"/>
      <c r="H77" s="923"/>
      <c r="I77" s="923"/>
      <c r="J77" s="923"/>
      <c r="K77" s="923"/>
      <c r="L77" s="923"/>
      <c r="M77" s="923"/>
      <c r="N77" s="923"/>
      <c r="O77" s="923"/>
      <c r="P77" s="923"/>
      <c r="Q77" s="923"/>
      <c r="R77" s="923"/>
      <c r="S77" s="923"/>
      <c r="T77" s="923"/>
      <c r="U77" s="923"/>
      <c r="V77" s="924"/>
    </row>
    <row r="78" spans="2:51" s="136" customFormat="1" ht="17.25" customHeight="1">
      <c r="B78" s="921" t="s">
        <v>68</v>
      </c>
      <c r="C78" s="921"/>
      <c r="D78" s="932" t="s">
        <v>213</v>
      </c>
      <c r="E78" s="934"/>
      <c r="F78" s="923" t="s">
        <v>612</v>
      </c>
      <c r="G78" s="923"/>
      <c r="H78" s="923"/>
      <c r="I78" s="923"/>
      <c r="J78" s="923"/>
      <c r="K78" s="923"/>
      <c r="L78" s="923"/>
      <c r="M78" s="923"/>
      <c r="N78" s="923"/>
      <c r="O78" s="923"/>
      <c r="P78" s="923"/>
      <c r="Q78" s="923"/>
      <c r="R78" s="923"/>
      <c r="S78" s="923"/>
      <c r="T78" s="923"/>
      <c r="U78" s="923"/>
      <c r="V78" s="924"/>
    </row>
    <row r="79" spans="2:51" s="136" customFormat="1" ht="17.25" customHeight="1">
      <c r="B79" s="921" t="s">
        <v>68</v>
      </c>
      <c r="C79" s="921"/>
      <c r="D79" s="952"/>
      <c r="E79" s="953"/>
      <c r="F79" s="950" t="s">
        <v>613</v>
      </c>
      <c r="G79" s="950"/>
      <c r="H79" s="950"/>
      <c r="I79" s="950"/>
      <c r="J79" s="950"/>
      <c r="K79" s="950"/>
      <c r="L79" s="950"/>
      <c r="M79" s="950"/>
      <c r="N79" s="950"/>
      <c r="O79" s="950"/>
      <c r="P79" s="950"/>
      <c r="Q79" s="950"/>
      <c r="R79" s="950"/>
      <c r="S79" s="950"/>
      <c r="T79" s="950"/>
      <c r="U79" s="950"/>
      <c r="V79" s="951"/>
    </row>
    <row r="80" spans="2:51" s="136" customFormat="1" ht="17.25" customHeight="1">
      <c r="B80" s="921" t="s">
        <v>68</v>
      </c>
      <c r="C80" s="921"/>
      <c r="D80" s="952"/>
      <c r="E80" s="953"/>
      <c r="F80" s="956" t="s">
        <v>614</v>
      </c>
      <c r="G80" s="956"/>
      <c r="H80" s="956"/>
      <c r="I80" s="956"/>
      <c r="J80" s="956"/>
      <c r="K80" s="956"/>
      <c r="L80" s="956"/>
      <c r="M80" s="956"/>
      <c r="N80" s="956"/>
      <c r="O80" s="956"/>
      <c r="P80" s="956"/>
      <c r="Q80" s="956"/>
      <c r="R80" s="956"/>
      <c r="S80" s="956"/>
      <c r="T80" s="956"/>
      <c r="U80" s="956"/>
      <c r="V80" s="957"/>
    </row>
    <row r="81" spans="2:22" s="136" customFormat="1" ht="17.25" customHeight="1">
      <c r="B81" s="921" t="s">
        <v>68</v>
      </c>
      <c r="C81" s="921"/>
      <c r="D81" s="954"/>
      <c r="E81" s="955"/>
      <c r="F81" s="958" t="s">
        <v>615</v>
      </c>
      <c r="G81" s="958"/>
      <c r="H81" s="958"/>
      <c r="I81" s="958"/>
      <c r="J81" s="958"/>
      <c r="K81" s="958"/>
      <c r="L81" s="958"/>
      <c r="M81" s="958"/>
      <c r="N81" s="958"/>
      <c r="O81" s="958"/>
      <c r="P81" s="958"/>
      <c r="Q81" s="958"/>
      <c r="R81" s="958"/>
      <c r="S81" s="958"/>
      <c r="T81" s="958"/>
      <c r="U81" s="958"/>
      <c r="V81" s="959"/>
    </row>
    <row r="82" spans="2:22" s="136" customFormat="1" ht="17.25" customHeight="1">
      <c r="B82" s="921" t="s">
        <v>68</v>
      </c>
      <c r="C82" s="921"/>
      <c r="D82" s="928" t="s">
        <v>214</v>
      </c>
      <c r="E82" s="956"/>
      <c r="F82" s="956"/>
      <c r="G82" s="956"/>
      <c r="H82" s="956"/>
      <c r="I82" s="956"/>
      <c r="J82" s="956"/>
      <c r="K82" s="956"/>
      <c r="L82" s="956"/>
      <c r="M82" s="956"/>
      <c r="N82" s="956"/>
      <c r="O82" s="956"/>
      <c r="P82" s="956"/>
      <c r="Q82" s="956"/>
      <c r="R82" s="956"/>
      <c r="S82" s="956"/>
      <c r="T82" s="956"/>
      <c r="U82" s="956"/>
      <c r="V82" s="957"/>
    </row>
    <row r="83" spans="2:22" s="136" customFormat="1" ht="16.2"/>
    <row r="84" spans="2:22" s="136" customFormat="1" ht="16.2">
      <c r="B84" s="141" t="s">
        <v>215</v>
      </c>
      <c r="K84" s="125"/>
      <c r="Q84" s="125" t="s">
        <v>189</v>
      </c>
    </row>
    <row r="85" spans="2:22" s="136" customFormat="1" ht="16.2">
      <c r="B85" s="921" t="s">
        <v>68</v>
      </c>
      <c r="C85" s="921"/>
      <c r="D85" s="922" t="s">
        <v>216</v>
      </c>
      <c r="E85" s="923"/>
      <c r="F85" s="923"/>
      <c r="G85" s="923"/>
      <c r="H85" s="923"/>
      <c r="I85" s="923"/>
      <c r="J85" s="923"/>
      <c r="K85" s="923"/>
      <c r="L85" s="923"/>
      <c r="M85" s="923"/>
      <c r="N85" s="923"/>
      <c r="O85" s="923"/>
      <c r="P85" s="923"/>
      <c r="Q85" s="923"/>
      <c r="R85" s="923"/>
      <c r="S85" s="923"/>
      <c r="T85" s="923"/>
      <c r="U85" s="923"/>
      <c r="V85" s="924"/>
    </row>
    <row r="86" spans="2:22" s="136" customFormat="1" ht="16.2">
      <c r="B86" s="921" t="s">
        <v>68</v>
      </c>
      <c r="C86" s="921"/>
      <c r="D86" s="922" t="s">
        <v>217</v>
      </c>
      <c r="E86" s="923"/>
      <c r="F86" s="923"/>
      <c r="G86" s="923"/>
      <c r="H86" s="923"/>
      <c r="I86" s="923"/>
      <c r="J86" s="923"/>
      <c r="K86" s="923"/>
      <c r="L86" s="923"/>
      <c r="M86" s="923"/>
      <c r="N86" s="923"/>
      <c r="O86" s="923"/>
      <c r="P86" s="923"/>
      <c r="Q86" s="923"/>
      <c r="R86" s="923"/>
      <c r="S86" s="923"/>
      <c r="T86" s="923"/>
      <c r="U86" s="923"/>
      <c r="V86" s="924"/>
    </row>
    <row r="87" spans="2:22" s="136" customFormat="1" ht="16.2">
      <c r="B87" s="921" t="s">
        <v>68</v>
      </c>
      <c r="C87" s="921"/>
      <c r="D87" s="922" t="s">
        <v>218</v>
      </c>
      <c r="E87" s="923"/>
      <c r="F87" s="923"/>
      <c r="G87" s="923"/>
      <c r="H87" s="923"/>
      <c r="I87" s="923"/>
      <c r="J87" s="923"/>
      <c r="K87" s="923"/>
      <c r="L87" s="923"/>
      <c r="M87" s="923"/>
      <c r="N87" s="923"/>
      <c r="O87" s="923"/>
      <c r="P87" s="923"/>
      <c r="Q87" s="923"/>
      <c r="R87" s="923"/>
      <c r="S87" s="923"/>
      <c r="T87" s="923"/>
      <c r="U87" s="923"/>
      <c r="V87" s="924"/>
    </row>
    <row r="88" spans="2:22" s="136" customFormat="1" ht="16.2">
      <c r="B88" s="921" t="s">
        <v>68</v>
      </c>
      <c r="C88" s="921"/>
      <c r="D88" s="922" t="s">
        <v>616</v>
      </c>
      <c r="E88" s="923"/>
      <c r="F88" s="923"/>
      <c r="G88" s="923"/>
      <c r="H88" s="923"/>
      <c r="I88" s="923"/>
      <c r="J88" s="923"/>
      <c r="K88" s="923"/>
      <c r="L88" s="923"/>
      <c r="M88" s="923"/>
      <c r="N88" s="923"/>
      <c r="O88" s="923"/>
      <c r="P88" s="923"/>
      <c r="Q88" s="923"/>
      <c r="R88" s="923"/>
      <c r="S88" s="923"/>
      <c r="T88" s="923"/>
      <c r="U88" s="923"/>
      <c r="V88" s="924"/>
    </row>
    <row r="89" spans="2:22" s="136" customFormat="1" ht="16.2">
      <c r="B89" s="921" t="s">
        <v>68</v>
      </c>
      <c r="C89" s="921"/>
      <c r="D89" s="932" t="s">
        <v>219</v>
      </c>
      <c r="E89" s="933"/>
      <c r="F89" s="933"/>
      <c r="G89" s="923"/>
      <c r="H89" s="923"/>
      <c r="I89" s="923"/>
      <c r="J89" s="923"/>
      <c r="K89" s="923"/>
      <c r="L89" s="923"/>
      <c r="M89" s="923"/>
      <c r="N89" s="923"/>
      <c r="O89" s="923"/>
      <c r="P89" s="923"/>
      <c r="Q89" s="923"/>
      <c r="R89" s="923"/>
      <c r="S89" s="923"/>
      <c r="T89" s="923"/>
      <c r="U89" s="923"/>
      <c r="V89" s="924"/>
    </row>
    <row r="90" spans="2:22" s="136" customFormat="1" ht="17.25" customHeight="1">
      <c r="B90" s="960" t="s">
        <v>68</v>
      </c>
      <c r="C90" s="936"/>
      <c r="D90" s="927" t="s">
        <v>202</v>
      </c>
      <c r="E90" s="927"/>
      <c r="F90" s="927"/>
      <c r="G90" s="927"/>
      <c r="H90" s="941"/>
      <c r="I90" s="942"/>
      <c r="J90" s="942"/>
      <c r="K90" s="942"/>
      <c r="L90" s="942"/>
      <c r="M90" s="942"/>
      <c r="N90" s="942"/>
      <c r="O90" s="942"/>
      <c r="P90" s="942"/>
      <c r="Q90" s="942"/>
      <c r="R90" s="942"/>
      <c r="S90" s="942"/>
      <c r="T90" s="942"/>
      <c r="U90" s="942"/>
      <c r="V90" s="943"/>
    </row>
    <row r="91" spans="2:22" s="136" customFormat="1" ht="16.2">
      <c r="B91" s="937"/>
      <c r="C91" s="938"/>
      <c r="D91" s="927"/>
      <c r="E91" s="927"/>
      <c r="F91" s="927"/>
      <c r="G91" s="927"/>
      <c r="H91" s="944"/>
      <c r="I91" s="945"/>
      <c r="J91" s="945"/>
      <c r="K91" s="945"/>
      <c r="L91" s="945"/>
      <c r="M91" s="945"/>
      <c r="N91" s="945"/>
      <c r="O91" s="945"/>
      <c r="P91" s="945"/>
      <c r="Q91" s="945"/>
      <c r="R91" s="945"/>
      <c r="S91" s="945"/>
      <c r="T91" s="945"/>
      <c r="U91" s="945"/>
      <c r="V91" s="946"/>
    </row>
    <row r="92" spans="2:22" s="136" customFormat="1" ht="16.2">
      <c r="B92" s="937"/>
      <c r="C92" s="938"/>
      <c r="D92" s="927"/>
      <c r="E92" s="927"/>
      <c r="F92" s="927"/>
      <c r="G92" s="927"/>
      <c r="H92" s="944"/>
      <c r="I92" s="945"/>
      <c r="J92" s="945"/>
      <c r="K92" s="945"/>
      <c r="L92" s="945"/>
      <c r="M92" s="945"/>
      <c r="N92" s="945"/>
      <c r="O92" s="945"/>
      <c r="P92" s="945"/>
      <c r="Q92" s="945"/>
      <c r="R92" s="945"/>
      <c r="S92" s="945"/>
      <c r="T92" s="945"/>
      <c r="U92" s="945"/>
      <c r="V92" s="946"/>
    </row>
    <row r="93" spans="2:22" s="136" customFormat="1" ht="16.2">
      <c r="B93" s="937"/>
      <c r="C93" s="938"/>
      <c r="D93" s="927"/>
      <c r="E93" s="927"/>
      <c r="F93" s="927"/>
      <c r="G93" s="927"/>
      <c r="H93" s="944"/>
      <c r="I93" s="945"/>
      <c r="J93" s="945"/>
      <c r="K93" s="945"/>
      <c r="L93" s="945"/>
      <c r="M93" s="945"/>
      <c r="N93" s="945"/>
      <c r="O93" s="945"/>
      <c r="P93" s="945"/>
      <c r="Q93" s="945"/>
      <c r="R93" s="945"/>
      <c r="S93" s="945"/>
      <c r="T93" s="945"/>
      <c r="U93" s="945"/>
      <c r="V93" s="946"/>
    </row>
    <row r="94" spans="2:22" s="136" customFormat="1" ht="16.2">
      <c r="B94" s="939"/>
      <c r="C94" s="940"/>
      <c r="D94" s="927"/>
      <c r="E94" s="927"/>
      <c r="F94" s="927"/>
      <c r="G94" s="927"/>
      <c r="H94" s="947"/>
      <c r="I94" s="948"/>
      <c r="J94" s="948"/>
      <c r="K94" s="948"/>
      <c r="L94" s="948"/>
      <c r="M94" s="948"/>
      <c r="N94" s="948"/>
      <c r="O94" s="948"/>
      <c r="P94" s="948"/>
      <c r="Q94" s="948"/>
      <c r="R94" s="948"/>
      <c r="S94" s="948"/>
      <c r="T94" s="948"/>
      <c r="U94" s="948"/>
      <c r="V94" s="949"/>
    </row>
    <row r="95" spans="2:22" s="136" customFormat="1" ht="16.2"/>
    <row r="96" spans="2:22" s="136" customFormat="1" ht="16.2"/>
    <row r="97" s="136" customFormat="1" ht="16.2"/>
    <row r="98" s="136" customFormat="1" ht="16.2"/>
    <row r="99" s="136" customFormat="1" ht="16.2"/>
    <row r="100" s="136" customFormat="1" ht="16.2"/>
    <row r="101" s="136" customFormat="1" ht="16.2"/>
    <row r="102" s="136" customFormat="1" ht="16.2"/>
    <row r="103" s="136" customFormat="1" ht="16.2"/>
    <row r="104" s="136" customFormat="1" ht="16.2"/>
    <row r="105" s="136" customFormat="1" ht="16.2"/>
    <row r="106" s="136" customFormat="1" ht="16.2"/>
    <row r="107" s="136" customFormat="1" ht="16.2"/>
    <row r="108" s="136" customFormat="1" ht="16.2"/>
    <row r="109" s="136" customFormat="1" ht="16.2"/>
    <row r="110" s="136" customFormat="1" ht="16.2"/>
    <row r="111" s="136" customFormat="1" ht="16.2"/>
    <row r="112" s="136" customFormat="1" ht="16.2"/>
    <row r="113" s="136" customFormat="1" ht="16.2"/>
    <row r="114" s="136" customFormat="1" ht="16.2"/>
    <row r="115" s="136" customFormat="1" ht="16.2"/>
    <row r="116" s="136" customFormat="1" ht="16.2"/>
    <row r="117" s="136" customFormat="1" ht="16.2"/>
    <row r="118" s="136" customFormat="1" ht="16.2"/>
    <row r="119" s="136" customFormat="1" ht="16.2"/>
    <row r="120" s="136" customFormat="1" ht="16.2"/>
    <row r="121" s="136" customFormat="1" ht="16.2"/>
    <row r="122" s="136" customFormat="1" ht="16.2"/>
    <row r="123" s="136" customFormat="1" ht="16.2"/>
    <row r="124" s="136" customFormat="1" ht="16.2"/>
    <row r="125" s="136" customFormat="1" ht="16.2"/>
    <row r="126" s="136" customFormat="1" ht="16.2"/>
    <row r="127" s="136" customFormat="1" ht="16.2"/>
    <row r="128" s="136" customFormat="1" ht="16.2"/>
    <row r="129" s="136" customFormat="1" ht="16.2"/>
    <row r="130" s="136" customFormat="1" ht="16.2"/>
    <row r="131" s="136" customFormat="1" ht="16.2"/>
    <row r="132" s="136" customFormat="1" ht="16.2"/>
    <row r="133" s="136" customFormat="1" ht="16.2"/>
    <row r="134" s="136" customFormat="1" ht="16.2"/>
    <row r="135" s="136" customFormat="1" ht="16.2"/>
    <row r="136" s="136" customFormat="1" ht="16.2"/>
    <row r="137" s="136" customFormat="1" ht="16.2"/>
    <row r="138" s="136" customFormat="1" ht="16.2"/>
    <row r="139" s="136" customFormat="1" ht="16.2"/>
    <row r="140" s="136" customFormat="1" ht="16.2"/>
    <row r="141" s="136" customFormat="1" ht="16.2"/>
    <row r="142" s="136" customFormat="1" ht="16.2"/>
    <row r="143" s="136" customFormat="1" ht="16.2"/>
    <row r="144" s="136" customFormat="1" ht="16.2"/>
    <row r="145" s="136" customFormat="1" ht="16.2"/>
    <row r="146" s="136" customFormat="1" ht="16.2"/>
    <row r="147" s="136" customFormat="1" ht="16.2"/>
    <row r="148" s="136" customFormat="1" ht="16.2"/>
    <row r="149" s="136" customFormat="1" ht="16.2"/>
  </sheetData>
  <mergeCells count="138">
    <mergeCell ref="B14:H14"/>
    <mergeCell ref="I14:X14"/>
    <mergeCell ref="I15:X15"/>
    <mergeCell ref="Y15:AZ15"/>
    <mergeCell ref="B16:H16"/>
    <mergeCell ref="I16:X16"/>
    <mergeCell ref="A1:BQ2"/>
    <mergeCell ref="B4:BQ10"/>
    <mergeCell ref="B13:H13"/>
    <mergeCell ref="I13:T13"/>
    <mergeCell ref="U13:X13"/>
    <mergeCell ref="Y13:AN13"/>
    <mergeCell ref="AV20:AW20"/>
    <mergeCell ref="AX20:BP20"/>
    <mergeCell ref="B21:C21"/>
    <mergeCell ref="D21:V21"/>
    <mergeCell ref="Y21:Z21"/>
    <mergeCell ref="AA21:AS21"/>
    <mergeCell ref="AV21:AW21"/>
    <mergeCell ref="AX21:BP21"/>
    <mergeCell ref="C19:I19"/>
    <mergeCell ref="Z19:AF19"/>
    <mergeCell ref="B20:C20"/>
    <mergeCell ref="D20:V20"/>
    <mergeCell ref="Y20:Z20"/>
    <mergeCell ref="AA20:AS20"/>
    <mergeCell ref="AX24:BP24"/>
    <mergeCell ref="Y25:Z25"/>
    <mergeCell ref="AA25:AS25"/>
    <mergeCell ref="AV25:AW25"/>
    <mergeCell ref="AX25:BP25"/>
    <mergeCell ref="Y22:Z22"/>
    <mergeCell ref="AA22:AS22"/>
    <mergeCell ref="AV22:AW22"/>
    <mergeCell ref="AX22:BP22"/>
    <mergeCell ref="Y23:Z23"/>
    <mergeCell ref="AA23:AS23"/>
    <mergeCell ref="AV23:AW23"/>
    <mergeCell ref="AX23:BP23"/>
    <mergeCell ref="Y26:Z26"/>
    <mergeCell ref="AA26:AS26"/>
    <mergeCell ref="B27:C27"/>
    <mergeCell ref="D27:V27"/>
    <mergeCell ref="Y27:Z27"/>
    <mergeCell ref="AA27:AS27"/>
    <mergeCell ref="Y24:Z24"/>
    <mergeCell ref="AA24:AS24"/>
    <mergeCell ref="AV24:AW24"/>
    <mergeCell ref="AV36:AW36"/>
    <mergeCell ref="AX36:BP36"/>
    <mergeCell ref="B37:C37"/>
    <mergeCell ref="D37:V37"/>
    <mergeCell ref="Y37:Z37"/>
    <mergeCell ref="AA37:AS37"/>
    <mergeCell ref="AV37:AW37"/>
    <mergeCell ref="AX37:BP37"/>
    <mergeCell ref="C35:I35"/>
    <mergeCell ref="Z35:AF35"/>
    <mergeCell ref="B36:C36"/>
    <mergeCell ref="D36:V36"/>
    <mergeCell ref="Y36:Z36"/>
    <mergeCell ref="AA36:AS36"/>
    <mergeCell ref="AX40:BP40"/>
    <mergeCell ref="Y41:Z41"/>
    <mergeCell ref="AA41:AS41"/>
    <mergeCell ref="AV41:AW41"/>
    <mergeCell ref="AX41:BP41"/>
    <mergeCell ref="Y38:Z38"/>
    <mergeCell ref="AA38:AS38"/>
    <mergeCell ref="AV38:AW38"/>
    <mergeCell ref="AX38:BP38"/>
    <mergeCell ref="Y39:Z39"/>
    <mergeCell ref="AA39:AS39"/>
    <mergeCell ref="AV39:AW39"/>
    <mergeCell ref="AX39:BP39"/>
    <mergeCell ref="Y42:Z42"/>
    <mergeCell ref="AA42:AS42"/>
    <mergeCell ref="B43:C43"/>
    <mergeCell ref="D43:V43"/>
    <mergeCell ref="Y43:Z43"/>
    <mergeCell ref="AA43:AS43"/>
    <mergeCell ref="Y40:Z40"/>
    <mergeCell ref="AA40:AS40"/>
    <mergeCell ref="AV40:AW40"/>
    <mergeCell ref="B58:C58"/>
    <mergeCell ref="D58:V58"/>
    <mergeCell ref="B59:C59"/>
    <mergeCell ref="D59:V59"/>
    <mergeCell ref="B60:C64"/>
    <mergeCell ref="D60:G64"/>
    <mergeCell ref="H60:V64"/>
    <mergeCell ref="B51:H51"/>
    <mergeCell ref="I51:X51"/>
    <mergeCell ref="I52:X52"/>
    <mergeCell ref="B56:C56"/>
    <mergeCell ref="D56:V56"/>
    <mergeCell ref="B57:C57"/>
    <mergeCell ref="D57:V57"/>
    <mergeCell ref="B75:C75"/>
    <mergeCell ref="F75:V75"/>
    <mergeCell ref="B76:C76"/>
    <mergeCell ref="F76:V76"/>
    <mergeCell ref="B77:C77"/>
    <mergeCell ref="F77:V77"/>
    <mergeCell ref="B67:H67"/>
    <mergeCell ref="I67:X67"/>
    <mergeCell ref="I68:X68"/>
    <mergeCell ref="B72:C72"/>
    <mergeCell ref="D72:V72"/>
    <mergeCell ref="B73:C73"/>
    <mergeCell ref="D73:E77"/>
    <mergeCell ref="F73:V73"/>
    <mergeCell ref="B74:C74"/>
    <mergeCell ref="F74:V74"/>
    <mergeCell ref="B82:C82"/>
    <mergeCell ref="D82:V82"/>
    <mergeCell ref="B85:C85"/>
    <mergeCell ref="D85:V85"/>
    <mergeCell ref="B86:C86"/>
    <mergeCell ref="D86:V86"/>
    <mergeCell ref="B78:C78"/>
    <mergeCell ref="D78:E81"/>
    <mergeCell ref="F78:V78"/>
    <mergeCell ref="B79:C79"/>
    <mergeCell ref="F79:V79"/>
    <mergeCell ref="B80:C80"/>
    <mergeCell ref="F80:V80"/>
    <mergeCell ref="B81:C81"/>
    <mergeCell ref="F81:V81"/>
    <mergeCell ref="B90:C94"/>
    <mergeCell ref="D90:G94"/>
    <mergeCell ref="H90:V94"/>
    <mergeCell ref="B87:C87"/>
    <mergeCell ref="D87:V87"/>
    <mergeCell ref="B88:C88"/>
    <mergeCell ref="D88:V88"/>
    <mergeCell ref="B89:C89"/>
    <mergeCell ref="D89:V89"/>
  </mergeCells>
  <phoneticPr fontId="18"/>
  <conditionalFormatting sqref="I14">
    <cfRule type="expression" dxfId="39" priority="40">
      <formula>$BK$18=TRUE</formula>
    </cfRule>
  </conditionalFormatting>
  <conditionalFormatting sqref="I16">
    <cfRule type="expression" dxfId="38" priority="39">
      <formula>$BK$18=TRUE</formula>
    </cfRule>
  </conditionalFormatting>
  <conditionalFormatting sqref="AF14">
    <cfRule type="expression" dxfId="37" priority="38">
      <formula>$BK$18=TRUE</formula>
    </cfRule>
  </conditionalFormatting>
  <conditionalFormatting sqref="I15">
    <cfRule type="expression" dxfId="36" priority="37">
      <formula>$BK$18=TRUE</formula>
    </cfRule>
  </conditionalFormatting>
  <conditionalFormatting sqref="I51 AF14 I14:I16">
    <cfRule type="expression" dxfId="35" priority="35">
      <formula>$BK$19=TRUE</formula>
    </cfRule>
    <cfRule type="expression" dxfId="34" priority="36">
      <formula>#REF!=TRUE</formula>
    </cfRule>
  </conditionalFormatting>
  <conditionalFormatting sqref="I51">
    <cfRule type="expression" dxfId="33" priority="34">
      <formula>$BK$18=TRUE</formula>
    </cfRule>
  </conditionalFormatting>
  <conditionalFormatting sqref="I52">
    <cfRule type="expression" dxfId="32" priority="32">
      <formula>$BK$19=TRUE</formula>
    </cfRule>
    <cfRule type="expression" dxfId="31" priority="33">
      <formula>#REF!=TRUE</formula>
    </cfRule>
  </conditionalFormatting>
  <conditionalFormatting sqref="I52">
    <cfRule type="expression" dxfId="30" priority="31">
      <formula>$BK$18=TRUE</formula>
    </cfRule>
  </conditionalFormatting>
  <conditionalFormatting sqref="I67">
    <cfRule type="expression" dxfId="29" priority="29">
      <formula>$BK$19=TRUE</formula>
    </cfRule>
    <cfRule type="expression" dxfId="28" priority="30">
      <formula>#REF!=TRUE</formula>
    </cfRule>
  </conditionalFormatting>
  <conditionalFormatting sqref="I67">
    <cfRule type="expression" dxfId="27" priority="28">
      <formula>$BK$18=TRUE</formula>
    </cfRule>
  </conditionalFormatting>
  <conditionalFormatting sqref="I68">
    <cfRule type="expression" dxfId="26" priority="26">
      <formula>$BK$19=TRUE</formula>
    </cfRule>
    <cfRule type="expression" dxfId="25" priority="27">
      <formula>#REF!=TRUE</formula>
    </cfRule>
  </conditionalFormatting>
  <conditionalFormatting sqref="I68">
    <cfRule type="expression" dxfId="24" priority="25">
      <formula>$BK$18=TRUE</formula>
    </cfRule>
  </conditionalFormatting>
  <conditionalFormatting sqref="I13">
    <cfRule type="expression" dxfId="23" priority="23">
      <formula>#REF!=TRUE</formula>
    </cfRule>
    <cfRule type="expression" dxfId="22" priority="24">
      <formula>#REF!=TRUE</formula>
    </cfRule>
  </conditionalFormatting>
  <conditionalFormatting sqref="I13">
    <cfRule type="expression" dxfId="21" priority="22">
      <formula>#REF!=TRUE</formula>
    </cfRule>
  </conditionalFormatting>
  <conditionalFormatting sqref="Y13">
    <cfRule type="expression" dxfId="20" priority="20">
      <formula>#REF!=TRUE</formula>
    </cfRule>
    <cfRule type="expression" dxfId="19" priority="21">
      <formula>#REF!=TRUE</formula>
    </cfRule>
  </conditionalFormatting>
  <conditionalFormatting sqref="Y13">
    <cfRule type="expression" dxfId="18" priority="19">
      <formula>#REF!=TRUE</formula>
    </cfRule>
  </conditionalFormatting>
  <conditionalFormatting sqref="Y13:AN13 I13:T13 I16:X16 I51:X51 I67:X67">
    <cfRule type="cellIs" dxfId="17" priority="18" operator="equal">
      <formula>""</formula>
    </cfRule>
  </conditionalFormatting>
  <conditionalFormatting sqref="I13:T13">
    <cfRule type="expression" dxfId="16" priority="17">
      <formula>$I$13="産業をお選びください"</formula>
    </cfRule>
  </conditionalFormatting>
  <conditionalFormatting sqref="Y13:AN13">
    <cfRule type="expression" dxfId="15" priority="16">
      <formula>$Y$13="業種をお選びください"</formula>
    </cfRule>
  </conditionalFormatting>
  <conditionalFormatting sqref="B56:V64">
    <cfRule type="expression" dxfId="14" priority="15">
      <formula>AND($B$56="□",$B$57="□",$B$58="□",$B$59="□",$B$60="□")</formula>
    </cfRule>
  </conditionalFormatting>
  <conditionalFormatting sqref="B72:V82">
    <cfRule type="expression" dxfId="13" priority="14">
      <formula>AND($B$72="□",$B$73="□",$B$74="□",$B$75="□",$B$76="□",$B$77="□",$B$78="□",$B$79="□",$B$80="□",$B$81="□",$B$82="□")</formula>
    </cfRule>
  </conditionalFormatting>
  <conditionalFormatting sqref="B85:V94">
    <cfRule type="expression" dxfId="12" priority="13">
      <formula>AND($B$85="□",$B$86="□",$B$87="□",$B$88="□",$B$89="□",$B$90="□")</formula>
    </cfRule>
  </conditionalFormatting>
  <conditionalFormatting sqref="B20:V21 Y20:AS27 AV20:BP25">
    <cfRule type="expression" dxfId="11" priority="12">
      <formula>$B$27="■"</formula>
    </cfRule>
  </conditionalFormatting>
  <conditionalFormatting sqref="B36:V37 Y36:AS43 AV36:BP41">
    <cfRule type="expression" dxfId="10" priority="11">
      <formula>$B$43="■"</formula>
    </cfRule>
  </conditionalFormatting>
  <conditionalFormatting sqref="I15:X15">
    <cfRule type="notContainsBlanks" dxfId="9" priority="9">
      <formula>LEN(TRIM(I15))&gt;0</formula>
    </cfRule>
    <cfRule type="expression" dxfId="8" priority="10">
      <formula>$I$14="その他"</formula>
    </cfRule>
  </conditionalFormatting>
  <conditionalFormatting sqref="H60:V64">
    <cfRule type="notContainsBlanks" dxfId="7" priority="7">
      <formula>LEN(TRIM(H60))&gt;0</formula>
    </cfRule>
    <cfRule type="expression" dxfId="6" priority="8">
      <formula>$B$60="■"</formula>
    </cfRule>
  </conditionalFormatting>
  <conditionalFormatting sqref="I68:X68">
    <cfRule type="notContainsBlanks" dxfId="5" priority="5">
      <formula>LEN(TRIM(I68))&gt;0</formula>
    </cfRule>
    <cfRule type="expression" dxfId="4" priority="6">
      <formula>$I$67="有"</formula>
    </cfRule>
  </conditionalFormatting>
  <conditionalFormatting sqref="I52:X52">
    <cfRule type="notContainsBlanks" dxfId="3" priority="3">
      <formula>LEN(TRIM(I52))&gt;0</formula>
    </cfRule>
    <cfRule type="expression" dxfId="2" priority="4">
      <formula>$I$51="リプレース"</formula>
    </cfRule>
  </conditionalFormatting>
  <conditionalFormatting sqref="H90:V94">
    <cfRule type="notContainsBlanks" dxfId="1" priority="1">
      <formula>LEN(TRIM(H90))&gt;0</formula>
    </cfRule>
    <cfRule type="expression" dxfId="0" priority="2">
      <formula>$B$90="■"</formula>
    </cfRule>
  </conditionalFormatting>
  <dataValidations disablePrompts="1" count="5">
    <dataValidation type="list" showInputMessage="1" showErrorMessage="1" sqref="AF14" xr:uid="{00000000-0002-0000-0B00-000000000000}">
      <formula1>産業</formula1>
    </dataValidation>
    <dataValidation type="list" allowBlank="1" showInputMessage="1" showErrorMessage="1" sqref="B20:B21 B72:B82 Y20:Y32 B36:B37 B43 B56:B59 AV36:AV41 B90:C94 AV20:AV25 B27 Y36:Y43 B60:C64 B85:B89" xr:uid="{00000000-0002-0000-0B00-000001000000}">
      <formula1>"□,■"</formula1>
    </dataValidation>
    <dataValidation type="list" allowBlank="1" showInputMessage="1" showErrorMessage="1" sqref="AV14:AZ14" xr:uid="{00000000-0002-0000-0B00-000002000000}">
      <formula1>INDIRECT(#REF!)</formula1>
    </dataValidation>
    <dataValidation type="list" allowBlank="1" showInputMessage="1" showErrorMessage="1" sqref="Y13:AN13" xr:uid="{00000000-0002-0000-0B00-000003000000}">
      <formula1>INDIRECT($I$13)</formula1>
    </dataValidation>
    <dataValidation type="list" showInputMessage="1" showErrorMessage="1" sqref="I67:X67" xr:uid="{00000000-0002-0000-0B00-000004000000}">
      <formula1>$CQ$1:$CQ$2</formula1>
    </dataValidation>
  </dataValidations>
  <pageMargins left="0.7" right="0.7" top="0.75" bottom="0.75" header="0.3" footer="0.3"/>
  <pageSetup paperSize="9" scale="43" orientation="portrait" r:id="rId1"/>
  <colBreaks count="1" manualBreakCount="1">
    <brk id="70" max="95" man="1"/>
  </colBreaks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showInputMessage="1" showErrorMessage="1" xr:uid="{00000000-0002-0000-0B00-000005000000}">
          <x14:formula1>
            <xm:f>リスト!$Q$1:$Q$21</xm:f>
          </x14:formula1>
          <xm:sqref>I13:T13</xm:sqref>
        </x14:dataValidation>
        <x14:dataValidation type="list" showInputMessage="1" showErrorMessage="1" xr:uid="{00000000-0002-0000-0B00-000006000000}">
          <x14:formula1>
            <xm:f>リスト!$O$1:$O$8</xm:f>
          </x14:formula1>
          <xm:sqref>I16:X16</xm:sqref>
        </x14:dataValidation>
        <x14:dataValidation type="list" showInputMessage="1" showErrorMessage="1" xr:uid="{00000000-0002-0000-0B00-000007000000}">
          <x14:formula1>
            <xm:f>リスト!$P$1:$P$2</xm:f>
          </x14:formula1>
          <xm:sqref>I51:X51</xm:sqref>
        </x14:dataValidation>
        <x14:dataValidation type="list" showInputMessage="1" showErrorMessage="1" xr:uid="{00000000-0002-0000-0B00-000008000000}">
          <x14:formula1>
            <xm:f>リスト!$N$1:$N$6</xm:f>
          </x14:formula1>
          <xm:sqref>I14:X14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1"/>
  <dimension ref="A1:AL101"/>
  <sheetViews>
    <sheetView workbookViewId="0">
      <selection activeCell="G1" sqref="G1"/>
    </sheetView>
  </sheetViews>
  <sheetFormatPr defaultColWidth="9.109375" defaultRowHeight="13.2"/>
  <cols>
    <col min="1" max="1" width="39.88671875" style="40" bestFit="1" customWidth="1"/>
    <col min="2" max="2" width="68.44140625" style="40" customWidth="1"/>
    <col min="3" max="7" width="9.109375" style="40"/>
    <col min="8" max="8" width="14.5546875" style="40" bestFit="1" customWidth="1"/>
    <col min="9" max="16384" width="9.109375" style="40"/>
  </cols>
  <sheetData>
    <row r="1" spans="1:38">
      <c r="A1" s="40" t="s">
        <v>220</v>
      </c>
      <c r="B1" s="40" t="s">
        <v>221</v>
      </c>
      <c r="C1" s="40" t="s">
        <v>52</v>
      </c>
      <c r="D1" s="40" t="s">
        <v>222</v>
      </c>
      <c r="E1" s="40" t="s">
        <v>54</v>
      </c>
      <c r="F1" s="40" t="s">
        <v>223</v>
      </c>
      <c r="G1" s="40" t="s">
        <v>224</v>
      </c>
      <c r="H1" s="41" t="s">
        <v>225</v>
      </c>
      <c r="I1" s="40" t="s">
        <v>226</v>
      </c>
      <c r="J1" s="40" t="s">
        <v>227</v>
      </c>
      <c r="K1" s="40" t="s">
        <v>228</v>
      </c>
      <c r="L1" s="40" t="s">
        <v>229</v>
      </c>
      <c r="M1" s="40" t="s">
        <v>230</v>
      </c>
      <c r="N1" s="43" t="s">
        <v>167</v>
      </c>
      <c r="O1" s="44" t="s">
        <v>168</v>
      </c>
      <c r="P1" s="43" t="s">
        <v>169</v>
      </c>
      <c r="Q1" s="1" t="s">
        <v>38</v>
      </c>
      <c r="R1" s="1" t="s">
        <v>38</v>
      </c>
      <c r="S1" s="1" t="s">
        <v>2</v>
      </c>
      <c r="T1" s="1" t="s">
        <v>382</v>
      </c>
      <c r="U1" s="1" t="s">
        <v>386</v>
      </c>
      <c r="V1" s="1" t="s">
        <v>387</v>
      </c>
      <c r="W1" s="1" t="s">
        <v>388</v>
      </c>
      <c r="X1" s="1" t="s">
        <v>389</v>
      </c>
      <c r="Y1" s="1" t="s">
        <v>337</v>
      </c>
      <c r="Z1" s="1" t="s">
        <v>343</v>
      </c>
      <c r="AA1" s="1" t="s">
        <v>390</v>
      </c>
      <c r="AB1" s="1" t="s">
        <v>391</v>
      </c>
      <c r="AC1" s="1" t="s">
        <v>392</v>
      </c>
      <c r="AD1" s="1" t="s">
        <v>393</v>
      </c>
      <c r="AE1" s="1" t="s">
        <v>11</v>
      </c>
      <c r="AF1" s="1" t="s">
        <v>394</v>
      </c>
      <c r="AG1" s="1" t="s">
        <v>395</v>
      </c>
      <c r="AH1" s="1" t="s">
        <v>20</v>
      </c>
      <c r="AI1" s="1" t="s">
        <v>23</v>
      </c>
      <c r="AJ1" s="1" t="s">
        <v>396</v>
      </c>
      <c r="AK1" s="1" t="s">
        <v>397</v>
      </c>
      <c r="AL1" s="1" t="s">
        <v>398</v>
      </c>
    </row>
    <row r="2" spans="1:38">
      <c r="A2" s="40" t="s">
        <v>40</v>
      </c>
      <c r="B2" s="40" t="s">
        <v>40</v>
      </c>
      <c r="C2" s="40">
        <v>2018</v>
      </c>
      <c r="D2" s="40">
        <v>1</v>
      </c>
      <c r="E2" s="40">
        <v>1</v>
      </c>
      <c r="F2" s="40" t="s">
        <v>170</v>
      </c>
      <c r="G2" s="40">
        <v>1</v>
      </c>
      <c r="H2" s="41" t="s">
        <v>231</v>
      </c>
      <c r="I2" s="42" t="s">
        <v>243</v>
      </c>
      <c r="J2" s="42" t="s">
        <v>232</v>
      </c>
      <c r="K2" s="42" t="s">
        <v>233</v>
      </c>
      <c r="L2" s="40" t="s">
        <v>234</v>
      </c>
      <c r="M2" s="40" t="s">
        <v>235</v>
      </c>
      <c r="N2" s="43" t="s">
        <v>171</v>
      </c>
      <c r="O2" s="44" t="s">
        <v>172</v>
      </c>
      <c r="P2" s="43" t="s">
        <v>173</v>
      </c>
      <c r="Q2" s="1" t="s">
        <v>2</v>
      </c>
      <c r="R2" s="2" t="s">
        <v>402</v>
      </c>
      <c r="S2" s="2" t="s">
        <v>3</v>
      </c>
      <c r="T2" s="2" t="s">
        <v>303</v>
      </c>
      <c r="U2" s="2" t="s">
        <v>385</v>
      </c>
      <c r="V2" s="2" t="s">
        <v>307</v>
      </c>
      <c r="W2" s="2" t="s">
        <v>311</v>
      </c>
      <c r="X2" s="2" t="s">
        <v>333</v>
      </c>
      <c r="Y2" s="2" t="s">
        <v>338</v>
      </c>
      <c r="Z2" s="2" t="s">
        <v>344</v>
      </c>
      <c r="AA2" s="2" t="s">
        <v>353</v>
      </c>
      <c r="AB2" s="2" t="s">
        <v>365</v>
      </c>
      <c r="AC2" s="2" t="s">
        <v>372</v>
      </c>
      <c r="AD2" s="2" t="s">
        <v>376</v>
      </c>
      <c r="AE2" s="2" t="s">
        <v>12</v>
      </c>
      <c r="AF2" s="2" t="s">
        <v>16</v>
      </c>
      <c r="AG2" s="2" t="s">
        <v>19</v>
      </c>
      <c r="AH2" s="2" t="s">
        <v>380</v>
      </c>
      <c r="AI2" s="2" t="s">
        <v>381</v>
      </c>
      <c r="AJ2" s="2" t="s">
        <v>25</v>
      </c>
      <c r="AK2" s="2" t="s">
        <v>34</v>
      </c>
      <c r="AL2" s="2" t="s">
        <v>36</v>
      </c>
    </row>
    <row r="3" spans="1:38">
      <c r="A3" s="40" t="s">
        <v>44</v>
      </c>
      <c r="B3" s="211" t="s">
        <v>752</v>
      </c>
      <c r="C3" s="40">
        <v>2019</v>
      </c>
      <c r="D3" s="40">
        <v>2</v>
      </c>
      <c r="E3" s="40">
        <v>2</v>
      </c>
      <c r="F3" s="40" t="s">
        <v>174</v>
      </c>
      <c r="G3" s="40">
        <v>2</v>
      </c>
      <c r="H3" s="41" t="s">
        <v>236</v>
      </c>
      <c r="I3" s="42" t="s">
        <v>248</v>
      </c>
      <c r="J3" s="42" t="s">
        <v>165</v>
      </c>
      <c r="K3" s="42" t="s">
        <v>237</v>
      </c>
      <c r="L3" s="40" t="s">
        <v>238</v>
      </c>
      <c r="M3" s="40" t="s">
        <v>239</v>
      </c>
      <c r="N3" s="43" t="s">
        <v>175</v>
      </c>
      <c r="O3" s="44" t="s">
        <v>176</v>
      </c>
      <c r="P3" s="43"/>
      <c r="Q3" s="1" t="s">
        <v>302</v>
      </c>
      <c r="R3" s="2"/>
      <c r="S3" s="2" t="s">
        <v>4</v>
      </c>
      <c r="T3" s="2" t="s">
        <v>304</v>
      </c>
      <c r="U3" s="2" t="s">
        <v>383</v>
      </c>
      <c r="V3" s="2" t="s">
        <v>308</v>
      </c>
      <c r="W3" s="2" t="s">
        <v>312</v>
      </c>
      <c r="X3" s="2" t="s">
        <v>334</v>
      </c>
      <c r="Y3" s="2" t="s">
        <v>339</v>
      </c>
      <c r="Z3" s="2" t="s">
        <v>345</v>
      </c>
      <c r="AA3" s="2" t="s">
        <v>354</v>
      </c>
      <c r="AB3" s="2" t="s">
        <v>366</v>
      </c>
      <c r="AC3" s="2" t="s">
        <v>373</v>
      </c>
      <c r="AD3" s="2" t="s">
        <v>377</v>
      </c>
      <c r="AE3" s="2" t="s">
        <v>13</v>
      </c>
      <c r="AF3" s="2" t="s">
        <v>17</v>
      </c>
      <c r="AG3" s="2" t="s">
        <v>379</v>
      </c>
      <c r="AH3" s="2" t="s">
        <v>21</v>
      </c>
      <c r="AI3" s="2" t="s">
        <v>24</v>
      </c>
      <c r="AJ3" s="2" t="s">
        <v>26</v>
      </c>
      <c r="AK3" s="2" t="s">
        <v>35</v>
      </c>
      <c r="AL3" s="2"/>
    </row>
    <row r="4" spans="1:38">
      <c r="A4" s="40" t="s">
        <v>240</v>
      </c>
      <c r="B4" s="40" t="s">
        <v>241</v>
      </c>
      <c r="C4" s="40">
        <v>2020</v>
      </c>
      <c r="D4" s="40">
        <v>3</v>
      </c>
      <c r="E4" s="40">
        <v>3</v>
      </c>
      <c r="G4" s="40">
        <v>3</v>
      </c>
      <c r="H4" s="41" t="s">
        <v>242</v>
      </c>
      <c r="I4" s="42" t="s">
        <v>252</v>
      </c>
      <c r="J4" s="278" t="s">
        <v>785</v>
      </c>
      <c r="K4" s="42" t="s">
        <v>244</v>
      </c>
      <c r="L4" s="40" t="s">
        <v>245</v>
      </c>
      <c r="N4" s="43" t="s">
        <v>177</v>
      </c>
      <c r="O4" s="44" t="s">
        <v>178</v>
      </c>
      <c r="P4" s="43"/>
      <c r="Q4" s="1" t="s">
        <v>305</v>
      </c>
      <c r="R4" s="2"/>
      <c r="S4" s="2"/>
      <c r="T4" s="2"/>
      <c r="U4" s="2" t="s">
        <v>384</v>
      </c>
      <c r="V4" s="2" t="s">
        <v>309</v>
      </c>
      <c r="W4" s="2" t="s">
        <v>313</v>
      </c>
      <c r="X4" s="2" t="s">
        <v>335</v>
      </c>
      <c r="Y4" s="2" t="s">
        <v>340</v>
      </c>
      <c r="Z4" s="2" t="s">
        <v>346</v>
      </c>
      <c r="AA4" s="2" t="s">
        <v>355</v>
      </c>
      <c r="AB4" s="2" t="s">
        <v>367</v>
      </c>
      <c r="AC4" s="2" t="s">
        <v>374</v>
      </c>
      <c r="AD4" s="2" t="s">
        <v>9</v>
      </c>
      <c r="AE4" s="2" t="s">
        <v>14</v>
      </c>
      <c r="AF4" s="2" t="s">
        <v>18</v>
      </c>
      <c r="AG4" s="2"/>
      <c r="AH4" s="2" t="s">
        <v>22</v>
      </c>
      <c r="AI4" s="2"/>
      <c r="AJ4" s="2" t="s">
        <v>27</v>
      </c>
      <c r="AK4" s="2"/>
      <c r="AL4" s="2"/>
    </row>
    <row r="5" spans="1:38">
      <c r="A5" s="40" t="s">
        <v>246</v>
      </c>
      <c r="C5" s="40">
        <v>2021</v>
      </c>
      <c r="D5" s="40">
        <v>4</v>
      </c>
      <c r="E5" s="40">
        <v>4</v>
      </c>
      <c r="G5" s="40">
        <v>4</v>
      </c>
      <c r="H5" s="41" t="s">
        <v>247</v>
      </c>
      <c r="I5" s="42" t="s">
        <v>255</v>
      </c>
      <c r="J5" s="278" t="s">
        <v>786</v>
      </c>
      <c r="K5" s="42" t="s">
        <v>249</v>
      </c>
      <c r="L5" s="40" t="s">
        <v>250</v>
      </c>
      <c r="N5" s="43" t="s">
        <v>179</v>
      </c>
      <c r="O5" s="44" t="s">
        <v>180</v>
      </c>
      <c r="P5" s="43"/>
      <c r="Q5" s="1" t="s">
        <v>306</v>
      </c>
      <c r="R5" s="2"/>
      <c r="S5" s="2"/>
      <c r="T5" s="2"/>
      <c r="U5" s="2"/>
      <c r="V5" s="2"/>
      <c r="W5" s="2" t="s">
        <v>314</v>
      </c>
      <c r="X5" s="2" t="s">
        <v>336</v>
      </c>
      <c r="Y5" s="2" t="s">
        <v>341</v>
      </c>
      <c r="Z5" s="2" t="s">
        <v>347</v>
      </c>
      <c r="AA5" s="2" t="s">
        <v>356</v>
      </c>
      <c r="AB5" s="2" t="s">
        <v>368</v>
      </c>
      <c r="AC5" s="2"/>
      <c r="AD5" s="2" t="s">
        <v>10</v>
      </c>
      <c r="AE5" s="2"/>
      <c r="AF5" s="2"/>
      <c r="AG5" s="2"/>
      <c r="AH5" s="2"/>
      <c r="AI5" s="2"/>
      <c r="AJ5" s="2" t="s">
        <v>28</v>
      </c>
      <c r="AK5" s="2"/>
      <c r="AL5" s="2"/>
    </row>
    <row r="6" spans="1:38">
      <c r="C6" s="40">
        <v>2022</v>
      </c>
      <c r="D6" s="40">
        <v>5</v>
      </c>
      <c r="E6" s="40">
        <v>5</v>
      </c>
      <c r="G6" s="40">
        <v>5</v>
      </c>
      <c r="H6" s="41" t="s">
        <v>251</v>
      </c>
      <c r="I6" s="42"/>
      <c r="J6" s="42"/>
      <c r="L6" s="40" t="s">
        <v>253</v>
      </c>
      <c r="N6" s="43" t="s">
        <v>463</v>
      </c>
      <c r="O6" s="44" t="s">
        <v>181</v>
      </c>
      <c r="P6" s="43"/>
      <c r="Q6" s="1" t="s">
        <v>310</v>
      </c>
      <c r="R6" s="2"/>
      <c r="S6" s="2"/>
      <c r="T6" s="2"/>
      <c r="U6" s="2"/>
      <c r="V6" s="2"/>
      <c r="W6" s="2" t="s">
        <v>315</v>
      </c>
      <c r="X6" s="2"/>
      <c r="Y6" s="2" t="s">
        <v>342</v>
      </c>
      <c r="Z6" s="2" t="s">
        <v>348</v>
      </c>
      <c r="AA6" s="2" t="s">
        <v>357</v>
      </c>
      <c r="AB6" s="2" t="s">
        <v>369</v>
      </c>
      <c r="AC6" s="2"/>
      <c r="AD6" s="2"/>
      <c r="AE6" s="2"/>
      <c r="AF6" s="2"/>
      <c r="AG6" s="2"/>
      <c r="AH6" s="2"/>
      <c r="AI6" s="2"/>
      <c r="AJ6" s="2" t="s">
        <v>29</v>
      </c>
      <c r="AK6" s="2"/>
      <c r="AL6" s="2"/>
    </row>
    <row r="7" spans="1:38">
      <c r="C7" s="40">
        <v>2023</v>
      </c>
      <c r="D7" s="40">
        <v>6</v>
      </c>
      <c r="E7" s="40">
        <v>6</v>
      </c>
      <c r="G7" s="40">
        <v>6</v>
      </c>
      <c r="H7" s="41" t="s">
        <v>254</v>
      </c>
      <c r="I7" s="42"/>
      <c r="J7" s="42"/>
      <c r="L7" s="40" t="s">
        <v>256</v>
      </c>
      <c r="N7" s="45"/>
      <c r="O7" s="44" t="s">
        <v>182</v>
      </c>
      <c r="P7" s="43"/>
      <c r="Q7" s="1" t="s">
        <v>332</v>
      </c>
      <c r="R7" s="2"/>
      <c r="S7" s="2"/>
      <c r="T7" s="2"/>
      <c r="U7" s="2"/>
      <c r="V7" s="2"/>
      <c r="W7" s="2" t="s">
        <v>316</v>
      </c>
      <c r="X7" s="2"/>
      <c r="Y7" s="2"/>
      <c r="Z7" s="2" t="s">
        <v>349</v>
      </c>
      <c r="AA7" s="2" t="s">
        <v>358</v>
      </c>
      <c r="AB7" s="2" t="s">
        <v>370</v>
      </c>
      <c r="AC7" s="2"/>
      <c r="AD7" s="2"/>
      <c r="AE7" s="2"/>
      <c r="AF7" s="2"/>
      <c r="AG7" s="2"/>
      <c r="AH7" s="2"/>
      <c r="AI7" s="2"/>
      <c r="AJ7" s="2" t="s">
        <v>30</v>
      </c>
      <c r="AK7" s="2"/>
      <c r="AL7" s="2"/>
    </row>
    <row r="8" spans="1:38">
      <c r="C8" s="40">
        <v>2024</v>
      </c>
      <c r="D8" s="40">
        <v>7</v>
      </c>
      <c r="E8" s="40">
        <v>7</v>
      </c>
      <c r="G8" s="40">
        <v>7</v>
      </c>
      <c r="H8" s="41" t="s">
        <v>257</v>
      </c>
      <c r="L8" s="40" t="s">
        <v>258</v>
      </c>
      <c r="N8" s="45"/>
      <c r="O8" s="44" t="s">
        <v>183</v>
      </c>
      <c r="P8" s="43"/>
      <c r="Q8" s="1" t="s">
        <v>337</v>
      </c>
      <c r="R8" s="2"/>
      <c r="S8" s="2"/>
      <c r="T8" s="2"/>
      <c r="U8" s="2"/>
      <c r="V8" s="2"/>
      <c r="W8" s="2" t="s">
        <v>317</v>
      </c>
      <c r="X8" s="2"/>
      <c r="Y8" s="2"/>
      <c r="Z8" s="2" t="s">
        <v>350</v>
      </c>
      <c r="AA8" s="2" t="s">
        <v>359</v>
      </c>
      <c r="AB8" s="2"/>
      <c r="AC8" s="2"/>
      <c r="AD8" s="2"/>
      <c r="AE8" s="2"/>
      <c r="AF8" s="2"/>
      <c r="AG8" s="2"/>
      <c r="AH8" s="2"/>
      <c r="AI8" s="2"/>
      <c r="AJ8" s="2" t="s">
        <v>31</v>
      </c>
      <c r="AK8" s="2"/>
      <c r="AL8" s="2"/>
    </row>
    <row r="9" spans="1:38">
      <c r="C9" s="40">
        <v>2025</v>
      </c>
      <c r="D9" s="40">
        <v>8</v>
      </c>
      <c r="E9" s="40">
        <v>8</v>
      </c>
      <c r="G9" s="40">
        <v>8</v>
      </c>
      <c r="H9" s="41" t="s">
        <v>259</v>
      </c>
      <c r="L9" s="40" t="s">
        <v>260</v>
      </c>
      <c r="N9" s="46"/>
      <c r="O9" s="46"/>
      <c r="P9" s="46"/>
      <c r="Q9" s="1" t="s">
        <v>343</v>
      </c>
      <c r="R9" s="2"/>
      <c r="S9" s="2"/>
      <c r="T9" s="2"/>
      <c r="U9" s="2"/>
      <c r="V9" s="2"/>
      <c r="W9" s="2" t="s">
        <v>318</v>
      </c>
      <c r="X9" s="2"/>
      <c r="Y9" s="2"/>
      <c r="Z9" s="2" t="s">
        <v>351</v>
      </c>
      <c r="AA9" s="2" t="s">
        <v>360</v>
      </c>
      <c r="AB9" s="2"/>
      <c r="AC9" s="2"/>
      <c r="AD9" s="2"/>
      <c r="AE9" s="2"/>
      <c r="AF9" s="2"/>
      <c r="AG9" s="2"/>
      <c r="AH9" s="2"/>
      <c r="AI9" s="2"/>
      <c r="AJ9" s="2" t="s">
        <v>32</v>
      </c>
      <c r="AK9" s="2"/>
      <c r="AL9" s="2"/>
    </row>
    <row r="10" spans="1:38">
      <c r="C10" s="40">
        <v>2026</v>
      </c>
      <c r="D10" s="40">
        <v>9</v>
      </c>
      <c r="E10" s="40">
        <v>9</v>
      </c>
      <c r="G10" s="40">
        <v>9</v>
      </c>
      <c r="H10" s="41" t="s">
        <v>261</v>
      </c>
      <c r="L10" s="40" t="s">
        <v>262</v>
      </c>
      <c r="N10" s="42"/>
      <c r="O10" s="42"/>
      <c r="P10" s="42"/>
      <c r="Q10" s="1" t="s">
        <v>352</v>
      </c>
      <c r="R10" s="2"/>
      <c r="S10" s="2"/>
      <c r="T10" s="2"/>
      <c r="U10" s="2"/>
      <c r="V10" s="2"/>
      <c r="W10" s="2" t="s">
        <v>319</v>
      </c>
      <c r="X10" s="2"/>
      <c r="Y10" s="2"/>
      <c r="Z10" s="2"/>
      <c r="AA10" s="2" t="s">
        <v>361</v>
      </c>
      <c r="AB10" s="2"/>
      <c r="AC10" s="2"/>
      <c r="AD10" s="2"/>
      <c r="AE10" s="2"/>
      <c r="AF10" s="2"/>
      <c r="AG10" s="2"/>
      <c r="AH10" s="2"/>
      <c r="AI10" s="2"/>
      <c r="AJ10" s="2" t="s">
        <v>33</v>
      </c>
      <c r="AK10" s="2"/>
      <c r="AL10" s="2"/>
    </row>
    <row r="11" spans="1:38">
      <c r="C11" s="40">
        <v>2027</v>
      </c>
      <c r="D11" s="40">
        <v>10</v>
      </c>
      <c r="E11" s="40">
        <v>10</v>
      </c>
      <c r="G11" s="40">
        <v>10</v>
      </c>
      <c r="H11" s="41" t="s">
        <v>263</v>
      </c>
      <c r="L11" s="40" t="s">
        <v>264</v>
      </c>
      <c r="Q11" s="1" t="s">
        <v>364</v>
      </c>
      <c r="R11" s="2"/>
      <c r="S11" s="2"/>
      <c r="T11" s="2"/>
      <c r="U11" s="2"/>
      <c r="V11" s="2"/>
      <c r="W11" s="2" t="s">
        <v>320</v>
      </c>
      <c r="X11" s="2"/>
      <c r="Y11" s="2"/>
      <c r="Z11" s="2"/>
      <c r="AA11" s="2" t="s">
        <v>362</v>
      </c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</row>
    <row r="12" spans="1:38">
      <c r="C12" s="40">
        <v>2028</v>
      </c>
      <c r="D12" s="40">
        <v>11</v>
      </c>
      <c r="E12" s="40">
        <v>11</v>
      </c>
      <c r="G12" s="40">
        <v>11</v>
      </c>
      <c r="H12" s="41" t="s">
        <v>265</v>
      </c>
      <c r="Q12" s="1" t="s">
        <v>371</v>
      </c>
      <c r="R12" s="2"/>
      <c r="S12" s="2"/>
      <c r="T12" s="2"/>
      <c r="U12" s="2"/>
      <c r="V12" s="2"/>
      <c r="W12" s="2" t="s">
        <v>321</v>
      </c>
      <c r="X12" s="2"/>
      <c r="Y12" s="2"/>
      <c r="Z12" s="2"/>
      <c r="AA12" s="2" t="s">
        <v>363</v>
      </c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</row>
    <row r="13" spans="1:38" ht="24">
      <c r="C13" s="40">
        <v>2029</v>
      </c>
      <c r="D13" s="40">
        <v>12</v>
      </c>
      <c r="E13" s="40">
        <v>12</v>
      </c>
      <c r="G13" s="40">
        <v>12</v>
      </c>
      <c r="H13" s="41" t="s">
        <v>266</v>
      </c>
      <c r="Q13" s="1" t="s">
        <v>375</v>
      </c>
      <c r="R13" s="2"/>
      <c r="S13" s="2"/>
      <c r="T13" s="2"/>
      <c r="U13" s="2"/>
      <c r="V13" s="2"/>
      <c r="W13" s="2" t="s">
        <v>322</v>
      </c>
      <c r="X13" s="2"/>
      <c r="Y13" s="2"/>
      <c r="Z13" s="2"/>
      <c r="AA13" s="3" t="s">
        <v>8</v>
      </c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</row>
    <row r="14" spans="1:38">
      <c r="C14" s="40">
        <v>2030</v>
      </c>
      <c r="E14" s="40">
        <v>13</v>
      </c>
      <c r="G14" s="40">
        <v>13</v>
      </c>
      <c r="H14" s="41" t="s">
        <v>267</v>
      </c>
      <c r="Q14" s="1" t="s">
        <v>11</v>
      </c>
      <c r="R14" s="2"/>
      <c r="S14" s="2"/>
      <c r="T14" s="2"/>
      <c r="U14" s="2"/>
      <c r="V14" s="2"/>
      <c r="W14" s="2" t="s">
        <v>323</v>
      </c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</row>
    <row r="15" spans="1:38">
      <c r="E15" s="40">
        <v>14</v>
      </c>
      <c r="G15" s="40">
        <v>14</v>
      </c>
      <c r="H15" s="41" t="s">
        <v>268</v>
      </c>
      <c r="Q15" s="1" t="s">
        <v>15</v>
      </c>
      <c r="R15" s="2"/>
      <c r="S15" s="2"/>
      <c r="T15" s="2"/>
      <c r="U15" s="2"/>
      <c r="V15" s="2"/>
      <c r="W15" s="2" t="s">
        <v>324</v>
      </c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</row>
    <row r="16" spans="1:38">
      <c r="E16" s="40">
        <v>15</v>
      </c>
      <c r="G16" s="40">
        <v>15</v>
      </c>
      <c r="H16" s="41" t="s">
        <v>269</v>
      </c>
      <c r="Q16" s="1" t="s">
        <v>378</v>
      </c>
      <c r="R16" s="2"/>
      <c r="S16" s="2"/>
      <c r="T16" s="2"/>
      <c r="U16" s="2"/>
      <c r="V16" s="2"/>
      <c r="W16" s="2" t="s">
        <v>325</v>
      </c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</row>
    <row r="17" spans="5:38">
      <c r="E17" s="40">
        <v>16</v>
      </c>
      <c r="G17" s="40">
        <v>16</v>
      </c>
      <c r="H17" s="41" t="s">
        <v>270</v>
      </c>
      <c r="Q17" s="1" t="s">
        <v>20</v>
      </c>
      <c r="R17" s="2"/>
      <c r="S17" s="2"/>
      <c r="T17" s="2"/>
      <c r="U17" s="2"/>
      <c r="V17" s="2"/>
      <c r="W17" s="2" t="s">
        <v>326</v>
      </c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</row>
    <row r="18" spans="5:38">
      <c r="E18" s="40">
        <v>17</v>
      </c>
      <c r="G18" s="40">
        <v>17</v>
      </c>
      <c r="H18" s="41" t="s">
        <v>271</v>
      </c>
      <c r="Q18" s="1" t="s">
        <v>23</v>
      </c>
      <c r="R18" s="2"/>
      <c r="S18" s="2"/>
      <c r="T18" s="2"/>
      <c r="U18" s="2"/>
      <c r="V18" s="2"/>
      <c r="W18" s="2" t="s">
        <v>327</v>
      </c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</row>
    <row r="19" spans="5:38" ht="36">
      <c r="E19" s="40">
        <v>18</v>
      </c>
      <c r="G19" s="40">
        <v>18</v>
      </c>
      <c r="H19" s="41" t="s">
        <v>272</v>
      </c>
      <c r="Q19" s="1" t="s">
        <v>399</v>
      </c>
      <c r="R19" s="2"/>
      <c r="S19" s="2"/>
      <c r="T19" s="2"/>
      <c r="U19" s="2"/>
      <c r="V19" s="2"/>
      <c r="W19" s="3" t="s">
        <v>5</v>
      </c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</row>
    <row r="20" spans="5:38">
      <c r="E20" s="40">
        <v>19</v>
      </c>
      <c r="G20" s="40">
        <v>19</v>
      </c>
      <c r="H20" s="41" t="s">
        <v>273</v>
      </c>
      <c r="Q20" s="1" t="s">
        <v>400</v>
      </c>
      <c r="R20" s="2"/>
      <c r="S20" s="2"/>
      <c r="T20" s="2"/>
      <c r="U20" s="2"/>
      <c r="V20" s="2"/>
      <c r="W20" s="2" t="s">
        <v>328</v>
      </c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</row>
    <row r="21" spans="5:38">
      <c r="E21" s="40">
        <v>20</v>
      </c>
      <c r="G21" s="40">
        <v>20</v>
      </c>
      <c r="H21" s="41" t="s">
        <v>274</v>
      </c>
      <c r="Q21" s="1" t="s">
        <v>36</v>
      </c>
      <c r="R21" s="2"/>
      <c r="S21" s="2"/>
      <c r="T21" s="2"/>
      <c r="U21" s="2"/>
      <c r="V21" s="2"/>
      <c r="W21" s="2" t="s">
        <v>329</v>
      </c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</row>
    <row r="22" spans="5:38" ht="36">
      <c r="E22" s="40">
        <v>21</v>
      </c>
      <c r="G22" s="40">
        <v>21</v>
      </c>
      <c r="H22" s="41" t="s">
        <v>275</v>
      </c>
      <c r="R22" s="2"/>
      <c r="S22" s="2"/>
      <c r="T22" s="2"/>
      <c r="U22" s="2"/>
      <c r="V22" s="2"/>
      <c r="W22" s="3" t="s">
        <v>6</v>
      </c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</row>
    <row r="23" spans="5:38" ht="36">
      <c r="E23" s="40">
        <v>22</v>
      </c>
      <c r="G23" s="40">
        <v>22</v>
      </c>
      <c r="H23" s="41" t="s">
        <v>276</v>
      </c>
      <c r="R23" s="2"/>
      <c r="S23" s="2"/>
      <c r="T23" s="2"/>
      <c r="U23" s="2"/>
      <c r="V23" s="2"/>
      <c r="W23" s="3" t="s">
        <v>7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</row>
    <row r="24" spans="5:38" ht="36">
      <c r="E24" s="40">
        <v>23</v>
      </c>
      <c r="G24" s="40">
        <v>23</v>
      </c>
      <c r="H24" s="41" t="s">
        <v>277</v>
      </c>
      <c r="R24" s="2"/>
      <c r="S24" s="2"/>
      <c r="T24" s="2"/>
      <c r="U24" s="2"/>
      <c r="V24" s="2"/>
      <c r="W24" s="4" t="s">
        <v>330</v>
      </c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</row>
    <row r="25" spans="5:38" ht="24">
      <c r="E25" s="40">
        <v>24</v>
      </c>
      <c r="G25" s="40">
        <v>24</v>
      </c>
      <c r="H25" s="41" t="s">
        <v>278</v>
      </c>
      <c r="R25" s="2"/>
      <c r="S25" s="2"/>
      <c r="T25" s="2"/>
      <c r="U25" s="2"/>
      <c r="V25" s="2"/>
      <c r="W25" s="4" t="s">
        <v>331</v>
      </c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</row>
    <row r="26" spans="5:38">
      <c r="E26" s="40">
        <v>25</v>
      </c>
      <c r="G26" s="40">
        <v>25</v>
      </c>
      <c r="H26" s="41" t="s">
        <v>279</v>
      </c>
    </row>
    <row r="27" spans="5:38">
      <c r="E27" s="40">
        <v>26</v>
      </c>
      <c r="G27" s="40">
        <v>26</v>
      </c>
      <c r="H27" s="41" t="s">
        <v>280</v>
      </c>
    </row>
    <row r="28" spans="5:38">
      <c r="E28" s="40">
        <v>27</v>
      </c>
      <c r="G28" s="40">
        <v>27</v>
      </c>
      <c r="H28" s="41" t="s">
        <v>281</v>
      </c>
    </row>
    <row r="29" spans="5:38">
      <c r="E29" s="40">
        <v>28</v>
      </c>
      <c r="G29" s="40">
        <v>28</v>
      </c>
      <c r="H29" s="41" t="s">
        <v>282</v>
      </c>
    </row>
    <row r="30" spans="5:38">
      <c r="E30" s="40">
        <v>29</v>
      </c>
      <c r="G30" s="40">
        <v>29</v>
      </c>
      <c r="H30" s="41" t="s">
        <v>283</v>
      </c>
    </row>
    <row r="31" spans="5:38">
      <c r="E31" s="40">
        <v>30</v>
      </c>
      <c r="G31" s="40">
        <v>30</v>
      </c>
      <c r="H31" s="41" t="s">
        <v>284</v>
      </c>
    </row>
    <row r="32" spans="5:38">
      <c r="E32" s="40">
        <v>31</v>
      </c>
      <c r="G32" s="40">
        <v>31</v>
      </c>
      <c r="H32" s="41" t="s">
        <v>285</v>
      </c>
    </row>
    <row r="33" spans="7:8">
      <c r="G33" s="40">
        <v>32</v>
      </c>
      <c r="H33" s="41" t="s">
        <v>286</v>
      </c>
    </row>
    <row r="34" spans="7:8">
      <c r="G34" s="40">
        <v>33</v>
      </c>
      <c r="H34" s="41" t="s">
        <v>287</v>
      </c>
    </row>
    <row r="35" spans="7:8">
      <c r="G35" s="40">
        <v>34</v>
      </c>
      <c r="H35" s="41" t="s">
        <v>288</v>
      </c>
    </row>
    <row r="36" spans="7:8">
      <c r="G36" s="40">
        <v>35</v>
      </c>
      <c r="H36" s="41" t="s">
        <v>289</v>
      </c>
    </row>
    <row r="37" spans="7:8">
      <c r="G37" s="40">
        <v>36</v>
      </c>
      <c r="H37" s="41" t="s">
        <v>290</v>
      </c>
    </row>
    <row r="38" spans="7:8">
      <c r="G38" s="40">
        <v>37</v>
      </c>
      <c r="H38" s="41" t="s">
        <v>291</v>
      </c>
    </row>
    <row r="39" spans="7:8">
      <c r="G39" s="40">
        <v>38</v>
      </c>
      <c r="H39" s="41" t="s">
        <v>292</v>
      </c>
    </row>
    <row r="40" spans="7:8">
      <c r="G40" s="40">
        <v>39</v>
      </c>
      <c r="H40" s="41" t="s">
        <v>293</v>
      </c>
    </row>
    <row r="41" spans="7:8">
      <c r="G41" s="40">
        <v>40</v>
      </c>
      <c r="H41" s="41" t="s">
        <v>294</v>
      </c>
    </row>
    <row r="42" spans="7:8">
      <c r="G42" s="40">
        <v>41</v>
      </c>
      <c r="H42" s="41" t="s">
        <v>295</v>
      </c>
    </row>
    <row r="43" spans="7:8">
      <c r="G43" s="40">
        <v>42</v>
      </c>
      <c r="H43" s="41" t="s">
        <v>296</v>
      </c>
    </row>
    <row r="44" spans="7:8">
      <c r="G44" s="40">
        <v>43</v>
      </c>
      <c r="H44" s="41" t="s">
        <v>297</v>
      </c>
    </row>
    <row r="45" spans="7:8">
      <c r="G45" s="40">
        <v>44</v>
      </c>
      <c r="H45" s="41" t="s">
        <v>298</v>
      </c>
    </row>
    <row r="46" spans="7:8">
      <c r="G46" s="40">
        <v>45</v>
      </c>
      <c r="H46" s="41" t="s">
        <v>299</v>
      </c>
    </row>
    <row r="47" spans="7:8">
      <c r="G47" s="40">
        <v>46</v>
      </c>
      <c r="H47" s="41" t="s">
        <v>300</v>
      </c>
    </row>
    <row r="48" spans="7:8">
      <c r="G48" s="40">
        <v>47</v>
      </c>
      <c r="H48" s="41" t="s">
        <v>301</v>
      </c>
    </row>
    <row r="49" spans="7:7">
      <c r="G49" s="40">
        <v>48</v>
      </c>
    </row>
    <row r="50" spans="7:7">
      <c r="G50" s="40">
        <v>49</v>
      </c>
    </row>
    <row r="51" spans="7:7">
      <c r="G51" s="40">
        <v>50</v>
      </c>
    </row>
    <row r="52" spans="7:7">
      <c r="G52" s="40">
        <v>51</v>
      </c>
    </row>
    <row r="53" spans="7:7">
      <c r="G53" s="40">
        <v>52</v>
      </c>
    </row>
    <row r="54" spans="7:7">
      <c r="G54" s="40">
        <v>53</v>
      </c>
    </row>
    <row r="55" spans="7:7">
      <c r="G55" s="40">
        <v>54</v>
      </c>
    </row>
    <row r="56" spans="7:7">
      <c r="G56" s="40">
        <v>55</v>
      </c>
    </row>
    <row r="57" spans="7:7">
      <c r="G57" s="40">
        <v>56</v>
      </c>
    </row>
    <row r="58" spans="7:7">
      <c r="G58" s="40">
        <v>57</v>
      </c>
    </row>
    <row r="59" spans="7:7">
      <c r="G59" s="40">
        <v>58</v>
      </c>
    </row>
    <row r="60" spans="7:7">
      <c r="G60" s="40">
        <v>59</v>
      </c>
    </row>
    <row r="61" spans="7:7">
      <c r="G61" s="40">
        <v>60</v>
      </c>
    </row>
    <row r="62" spans="7:7">
      <c r="G62" s="40">
        <v>61</v>
      </c>
    </row>
    <row r="63" spans="7:7">
      <c r="G63" s="40">
        <v>62</v>
      </c>
    </row>
    <row r="64" spans="7:7">
      <c r="G64" s="40">
        <v>63</v>
      </c>
    </row>
    <row r="65" spans="7:7">
      <c r="G65" s="40">
        <v>64</v>
      </c>
    </row>
    <row r="66" spans="7:7">
      <c r="G66" s="40">
        <v>65</v>
      </c>
    </row>
    <row r="67" spans="7:7">
      <c r="G67" s="40">
        <v>66</v>
      </c>
    </row>
    <row r="68" spans="7:7">
      <c r="G68" s="40">
        <v>67</v>
      </c>
    </row>
    <row r="69" spans="7:7">
      <c r="G69" s="40">
        <v>68</v>
      </c>
    </row>
    <row r="70" spans="7:7">
      <c r="G70" s="40">
        <v>69</v>
      </c>
    </row>
    <row r="71" spans="7:7">
      <c r="G71" s="40">
        <v>70</v>
      </c>
    </row>
    <row r="72" spans="7:7">
      <c r="G72" s="40">
        <v>71</v>
      </c>
    </row>
    <row r="73" spans="7:7">
      <c r="G73" s="40">
        <v>72</v>
      </c>
    </row>
    <row r="74" spans="7:7">
      <c r="G74" s="40">
        <v>73</v>
      </c>
    </row>
    <row r="75" spans="7:7">
      <c r="G75" s="40">
        <v>74</v>
      </c>
    </row>
    <row r="76" spans="7:7">
      <c r="G76" s="40">
        <v>75</v>
      </c>
    </row>
    <row r="77" spans="7:7">
      <c r="G77" s="40">
        <v>76</v>
      </c>
    </row>
    <row r="78" spans="7:7">
      <c r="G78" s="40">
        <v>77</v>
      </c>
    </row>
    <row r="79" spans="7:7">
      <c r="G79" s="40">
        <v>78</v>
      </c>
    </row>
    <row r="80" spans="7:7">
      <c r="G80" s="40">
        <v>79</v>
      </c>
    </row>
    <row r="81" spans="7:7">
      <c r="G81" s="40">
        <v>80</v>
      </c>
    </row>
    <row r="82" spans="7:7">
      <c r="G82" s="40">
        <v>81</v>
      </c>
    </row>
    <row r="83" spans="7:7">
      <c r="G83" s="40">
        <v>82</v>
      </c>
    </row>
    <row r="84" spans="7:7">
      <c r="G84" s="40">
        <v>83</v>
      </c>
    </row>
    <row r="85" spans="7:7">
      <c r="G85" s="40">
        <v>84</v>
      </c>
    </row>
    <row r="86" spans="7:7">
      <c r="G86" s="40">
        <v>85</v>
      </c>
    </row>
    <row r="87" spans="7:7">
      <c r="G87" s="40">
        <v>86</v>
      </c>
    </row>
    <row r="88" spans="7:7">
      <c r="G88" s="40">
        <v>87</v>
      </c>
    </row>
    <row r="89" spans="7:7">
      <c r="G89" s="40">
        <v>88</v>
      </c>
    </row>
    <row r="90" spans="7:7">
      <c r="G90" s="40">
        <v>89</v>
      </c>
    </row>
    <row r="91" spans="7:7">
      <c r="G91" s="40">
        <v>90</v>
      </c>
    </row>
    <row r="92" spans="7:7">
      <c r="G92" s="40">
        <v>91</v>
      </c>
    </row>
    <row r="93" spans="7:7">
      <c r="G93" s="40">
        <v>92</v>
      </c>
    </row>
    <row r="94" spans="7:7">
      <c r="G94" s="40">
        <v>93</v>
      </c>
    </row>
    <row r="95" spans="7:7">
      <c r="G95" s="40">
        <v>94</v>
      </c>
    </row>
    <row r="96" spans="7:7">
      <c r="G96" s="40">
        <v>95</v>
      </c>
    </row>
    <row r="97" spans="7:7">
      <c r="G97" s="40">
        <v>96</v>
      </c>
    </row>
    <row r="98" spans="7:7">
      <c r="G98" s="40">
        <v>97</v>
      </c>
    </row>
    <row r="99" spans="7:7">
      <c r="G99" s="40">
        <v>98</v>
      </c>
    </row>
    <row r="100" spans="7:7">
      <c r="G100" s="40">
        <v>99</v>
      </c>
    </row>
    <row r="101" spans="7:7">
      <c r="G101" s="40">
        <v>100</v>
      </c>
    </row>
  </sheetData>
  <phoneticPr fontId="18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C82FE29F38E7A41AA78AB7E5D631C63" ma:contentTypeVersion="8" ma:contentTypeDescription="新しいドキュメントを作成します。" ma:contentTypeScope="" ma:versionID="3136634232b175e48377bfbe8e4e32d3">
  <xsd:schema xmlns:xsd="http://www.w3.org/2001/XMLSchema" xmlns:xs="http://www.w3.org/2001/XMLSchema" xmlns:p="http://schemas.microsoft.com/office/2006/metadata/properties" xmlns:ns2="69569de7-634b-4730-a385-ee233364192c" xmlns:ns3="beae48f5-bb99-4f7e-8041-f06a6197801e" targetNamespace="http://schemas.microsoft.com/office/2006/metadata/properties" ma:root="true" ma:fieldsID="7e065599ea0b0e789734eac9caa0e840" ns2:_="" ns3:_="">
    <xsd:import namespace="69569de7-634b-4730-a385-ee233364192c"/>
    <xsd:import namespace="beae48f5-bb99-4f7e-8041-f06a6197801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569de7-634b-4730-a385-ee233364192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ae48f5-bb99-4f7e-8041-f06a6197801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2B4625C-E961-40AC-9F17-DC637D1E8208}">
  <ds:schemaRefs>
    <ds:schemaRef ds:uri="69569de7-634b-4730-a385-ee233364192c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beae48f5-bb99-4f7e-8041-f06a6197801e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FBF967E-3CA8-4EC1-879F-45F953E5AB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569de7-634b-4730-a385-ee233364192c"/>
    <ds:schemaRef ds:uri="beae48f5-bb99-4f7e-8041-f06a6197801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02E855E-C26F-4D2C-BE6F-2E089B7BFFC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31</vt:i4>
      </vt:variant>
    </vt:vector>
  </HeadingPairs>
  <TitlesOfParts>
    <vt:vector size="44" baseType="lpstr">
      <vt:lpstr>DATA別紙①</vt:lpstr>
      <vt:lpstr>DATA別紙②</vt:lpstr>
      <vt:lpstr>DATA別紙⑥</vt:lpstr>
      <vt:lpstr>本紙</vt:lpstr>
      <vt:lpstr>別紙①_カメラ申込書</vt:lpstr>
      <vt:lpstr>別紙②_カメラ設定</vt:lpstr>
      <vt:lpstr>別紙⑥_アンケート</vt:lpstr>
      <vt:lpstr>記載編⇒</vt:lpstr>
      <vt:lpstr>本紙 (記)</vt:lpstr>
      <vt:lpstr>別紙①_カメラ申込書 (記)</vt:lpstr>
      <vt:lpstr>別紙②_カメラ設定 (記)</vt:lpstr>
      <vt:lpstr>別紙⑥_アンケート (記)</vt:lpstr>
      <vt:lpstr>リスト</vt:lpstr>
      <vt:lpstr>別紙①_カメラ申込書!Print_Area</vt:lpstr>
      <vt:lpstr>'別紙①_カメラ申込書 (記)'!Print_Area</vt:lpstr>
      <vt:lpstr>別紙②_カメラ設定!Print_Area</vt:lpstr>
      <vt:lpstr>'別紙②_カメラ設定 (記)'!Print_Area</vt:lpstr>
      <vt:lpstr>別紙⑥_アンケート!Print_Area</vt:lpstr>
      <vt:lpstr>'別紙⑥_アンケート (記)'!Print_Area</vt:lpstr>
      <vt:lpstr>本紙!Print_Area</vt:lpstr>
      <vt:lpstr>'本紙 (記)'!Print_Area</vt:lpstr>
      <vt:lpstr>別紙②_カメラ設定!Print_Titles</vt:lpstr>
      <vt:lpstr>'別紙②_カメラ設定 (記)'!Print_Titles</vt:lpstr>
      <vt:lpstr>サービス業</vt:lpstr>
      <vt:lpstr>医療・福祉</vt:lpstr>
      <vt:lpstr>運輸業・郵便業</vt:lpstr>
      <vt:lpstr>卸売業・小売業</vt:lpstr>
      <vt:lpstr>学術研究・専門・技術サービス業</vt:lpstr>
      <vt:lpstr>漁業</vt:lpstr>
      <vt:lpstr>教育・学習支援業</vt:lpstr>
      <vt:lpstr>金融業・保険業</vt:lpstr>
      <vt:lpstr>建設業</vt:lpstr>
      <vt:lpstr>公務</vt:lpstr>
      <vt:lpstr>鉱業・採石業・砂利採取業</vt:lpstr>
      <vt:lpstr>産業をお選びください</vt:lpstr>
      <vt:lpstr>宿泊業・飲食サービス業</vt:lpstr>
      <vt:lpstr>情報通信業</vt:lpstr>
      <vt:lpstr>生活関連サービス業・娯楽業</vt:lpstr>
      <vt:lpstr>製造業</vt:lpstr>
      <vt:lpstr>電気・ガス・熱供給・水道業</vt:lpstr>
      <vt:lpstr>農業・林業</vt:lpstr>
      <vt:lpstr>不動産業・物品賃貸業</vt:lpstr>
      <vt:lpstr>複合サービス事業</vt:lpstr>
      <vt:lpstr>分類不能の産業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HNJ14981</dc:creator>
  <cp:lastModifiedBy>2379862</cp:lastModifiedBy>
  <cp:lastPrinted>2024-03-07T01:13:23Z</cp:lastPrinted>
  <dcterms:created xsi:type="dcterms:W3CDTF">2018-10-31T02:38:19Z</dcterms:created>
  <dcterms:modified xsi:type="dcterms:W3CDTF">2024-03-12T01:41:58Z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0x0101000C82FE29F38E7A41AA78AB7E5D631C63</vt:lpwstr>
  </property>
</Properties>
</file>