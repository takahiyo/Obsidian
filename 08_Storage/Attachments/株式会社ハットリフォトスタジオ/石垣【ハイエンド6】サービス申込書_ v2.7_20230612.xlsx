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TEMP\"/>
    </mc:Choice>
  </mc:AlternateContent>
  <xr:revisionPtr revIDLastSave="0" documentId="8_{E87EF0BF-C379-42C5-A9B2-B8F8AFEF7D64}" xr6:coauthVersionLast="47" xr6:coauthVersionMax="47" xr10:uidLastSave="{00000000-0000-0000-0000-000000000000}"/>
  <bookViews>
    <workbookView xWindow="-108" yWindow="-108" windowWidth="23256" windowHeight="12576" xr2:uid="{DDD96E19-1E26-4055-A71A-53EFF76B6D42}"/>
  </bookViews>
  <sheets>
    <sheet name="本紙" sheetId="1" r:id="rId1"/>
    <sheet name="別紙①-1_月額支払い型申込書" sheetId="2" r:id="rId2"/>
    <sheet name="別紙①-2_お客様お買い上げ型申込書" sheetId="3" r:id="rId3"/>
    <sheet name="別紙②_Wi-Fi設定 " sheetId="4" r:id="rId4"/>
    <sheet name="別紙③_移転・契約情報変更・設定変更申込" sheetId="5" r:id="rId5"/>
    <sheet name="解約金計算ツール" sheetId="6" r:id="rId6"/>
  </sheets>
  <externalReferences>
    <externalReference r:id="rId7"/>
  </externalReferences>
  <definedNames>
    <definedName name="_xlnm._FilterDatabase" localSheetId="3" hidden="1">'別紙②_Wi-Fi設定 '!$B$55:$J$58</definedName>
    <definedName name="_xlnm.Print_Area" localSheetId="5">解約金計算ツール!$A$1:$BG$100</definedName>
    <definedName name="_xlnm.Print_Area" localSheetId="1">'別紙①-1_月額支払い型申込書'!$A$1:$AZ$79</definedName>
    <definedName name="_xlnm.Print_Area" localSheetId="2">'別紙①-2_お客様お買い上げ型申込書'!$A$1:$AZ$119</definedName>
    <definedName name="_xlnm.Print_Area" localSheetId="3">'別紙②_Wi-Fi設定 '!$A$1:$BC$72</definedName>
    <definedName name="_xlnm.Print_Area" localSheetId="4">別紙③_移転・契約情報変更・設定変更申込!$A$1:$BA$40</definedName>
    <definedName name="_xlnm.Print_Area" localSheetId="0">本紙!$A$1:$AZ$38</definedName>
    <definedName name="Q_郵便番号住所" localSheetId="2">#REF!</definedName>
    <definedName name="Q_郵便番号住所" localSheetId="3">#REF!</definedName>
    <definedName name="Q_郵便番号住所">#REF!</definedName>
    <definedName name="阿寒郡" localSheetId="2">#REF!</definedName>
    <definedName name="阿寒郡" localSheetId="3">#REF!</definedName>
    <definedName name="阿寒郡">#REF!</definedName>
    <definedName name="愛知県" localSheetId="2">#REF!</definedName>
    <definedName name="愛知県" localSheetId="3">#REF!</definedName>
    <definedName name="愛知県">#REF!</definedName>
    <definedName name="愛媛県" localSheetId="2">#REF!</definedName>
    <definedName name="愛媛県">#REF!</definedName>
    <definedName name="旭川市" localSheetId="2">#REF!</definedName>
    <definedName name="旭川市">#REF!</definedName>
    <definedName name="芦別市" localSheetId="2">#REF!</definedName>
    <definedName name="芦別市">#REF!</definedName>
    <definedName name="虻田郡" localSheetId="2">#REF!</definedName>
    <definedName name="虻田郡">#REF!</definedName>
    <definedName name="伊達市" localSheetId="2">#REF!</definedName>
    <definedName name="伊達市">#REF!</definedName>
    <definedName name="磯谷郡" localSheetId="2">#REF!</definedName>
    <definedName name="磯谷郡">#REF!</definedName>
    <definedName name="茨城県" localSheetId="2">#REF!</definedName>
    <definedName name="茨城県">#REF!</definedName>
    <definedName name="雨竜郡" localSheetId="2">#REF!</definedName>
    <definedName name="雨竜郡">#REF!</definedName>
    <definedName name="浦河郡" localSheetId="2">#REF!</definedName>
    <definedName name="浦河郡">#REF!</definedName>
    <definedName name="奥尻郡" localSheetId="2">#REF!</definedName>
    <definedName name="奥尻郡">#REF!</definedName>
    <definedName name="岡山県" localSheetId="2">#REF!</definedName>
    <definedName name="岡山県">#REF!</definedName>
    <definedName name="沖縄" localSheetId="2">#REF!</definedName>
    <definedName name="沖縄">#REF!</definedName>
    <definedName name="沖縄県" localSheetId="2">#REF!</definedName>
    <definedName name="沖縄県">#REF!</definedName>
    <definedName name="歌志内市" localSheetId="2">#REF!</definedName>
    <definedName name="歌志内市">#REF!</definedName>
    <definedName name="河西郡" localSheetId="2">#REF!</definedName>
    <definedName name="河西郡">#REF!</definedName>
    <definedName name="河東郡" localSheetId="2">#REF!</definedName>
    <definedName name="河東郡">#REF!</definedName>
    <definedName name="樺戸郡" localSheetId="2">#REF!</definedName>
    <definedName name="樺戸郡">#REF!</definedName>
    <definedName name="茅部郡" localSheetId="2">#REF!</definedName>
    <definedName name="茅部郡">#REF!</definedName>
    <definedName name="刈田郡" localSheetId="2">#REF!</definedName>
    <definedName name="刈田郡">#REF!</definedName>
    <definedName name="岩見沢市" localSheetId="2">#REF!</definedName>
    <definedName name="岩見沢市">#REF!</definedName>
    <definedName name="岩手県" localSheetId="2">#REF!</definedName>
    <definedName name="岩手県">#REF!</definedName>
    <definedName name="岩内郡" localSheetId="2">#REF!</definedName>
    <definedName name="岩内郡">#REF!</definedName>
    <definedName name="岐阜県" localSheetId="2">#REF!</definedName>
    <definedName name="岐阜県">#REF!</definedName>
    <definedName name="亀田郡" localSheetId="2">#REF!</definedName>
    <definedName name="亀田郡">#REF!</definedName>
    <definedName name="久遠郡" localSheetId="2">#REF!</definedName>
    <definedName name="久遠郡">#REF!</definedName>
    <definedName name="宮崎県" localSheetId="2">#REF!</definedName>
    <definedName name="宮崎県">#REF!</definedName>
    <definedName name="宮城県" localSheetId="2">#REF!</definedName>
    <definedName name="宮城県">#REF!</definedName>
    <definedName name="京都府" localSheetId="2">#REF!</definedName>
    <definedName name="京都府">#REF!</definedName>
    <definedName name="区市郡" localSheetId="2">#REF!</definedName>
    <definedName name="区市郡">#REF!</definedName>
    <definedName name="空知郡" localSheetId="2">#REF!</definedName>
    <definedName name="空知郡">#REF!</definedName>
    <definedName name="釧路郡" localSheetId="2">#REF!</definedName>
    <definedName name="釧路郡">#REF!</definedName>
    <definedName name="釧路市" localSheetId="2">#REF!</definedName>
    <definedName name="釧路市">#REF!</definedName>
    <definedName name="熊本県" localSheetId="2">#REF!</definedName>
    <definedName name="熊本県">#REF!</definedName>
    <definedName name="群馬県" localSheetId="2">#REF!</definedName>
    <definedName name="群馬県">#REF!</definedName>
    <definedName name="恵庭市" localSheetId="2">#REF!</definedName>
    <definedName name="恵庭市">#REF!</definedName>
    <definedName name="古宇郡" localSheetId="2">#REF!</definedName>
    <definedName name="古宇郡">#REF!</definedName>
    <definedName name="古平郡" localSheetId="2">#REF!</definedName>
    <definedName name="古平郡">#REF!</definedName>
    <definedName name="厚岸郡" localSheetId="2">#REF!</definedName>
    <definedName name="厚岸郡">#REF!</definedName>
    <definedName name="広島県" localSheetId="2">#REF!</definedName>
    <definedName name="広島県">#REF!</definedName>
    <definedName name="広尾郡" localSheetId="2">#REF!</definedName>
    <definedName name="広尾郡">#REF!</definedName>
    <definedName name="江別市" localSheetId="2">#REF!</definedName>
    <definedName name="江別市">#REF!</definedName>
    <definedName name="香川県" localSheetId="2">#REF!</definedName>
    <definedName name="香川県">#REF!</definedName>
    <definedName name="高知県" localSheetId="2">#REF!</definedName>
    <definedName name="高知県">#REF!</definedName>
    <definedName name="根室市" localSheetId="2">#REF!</definedName>
    <definedName name="根室市">#REF!</definedName>
    <definedName name="佐賀県" localSheetId="2">#REF!</definedName>
    <definedName name="佐賀県">#REF!</definedName>
    <definedName name="沙流郡" localSheetId="2">#REF!</definedName>
    <definedName name="沙流郡">#REF!</definedName>
    <definedName name="砂川市" localSheetId="2">#REF!</definedName>
    <definedName name="砂川市">#REF!</definedName>
    <definedName name="埼玉県" localSheetId="2">#REF!</definedName>
    <definedName name="埼玉県">#REF!</definedName>
    <definedName name="札幌市厚別区" localSheetId="2">#REF!</definedName>
    <definedName name="札幌市厚別区">#REF!</definedName>
    <definedName name="札幌市手稲区" localSheetId="2">#REF!</definedName>
    <definedName name="札幌市手稲区">#REF!</definedName>
    <definedName name="札幌市清田区" localSheetId="2">#REF!</definedName>
    <definedName name="札幌市清田区">#REF!</definedName>
    <definedName name="札幌市西区" localSheetId="2">#REF!</definedName>
    <definedName name="札幌市西区">#REF!</definedName>
    <definedName name="札幌市中央区" localSheetId="2">#REF!</definedName>
    <definedName name="札幌市中央区">#REF!</definedName>
    <definedName name="札幌市東区" localSheetId="2">#REF!</definedName>
    <definedName name="札幌市東区">#REF!</definedName>
    <definedName name="札幌市南区" localSheetId="2">#REF!</definedName>
    <definedName name="札幌市南区">#REF!</definedName>
    <definedName name="札幌市白石区" localSheetId="2">#REF!</definedName>
    <definedName name="札幌市白石区">#REF!</definedName>
    <definedName name="札幌市豊平区" localSheetId="2">#REF!</definedName>
    <definedName name="札幌市豊平区">#REF!</definedName>
    <definedName name="札幌市北区" localSheetId="2">#REF!</definedName>
    <definedName name="札幌市北区">#REF!</definedName>
    <definedName name="三笠市" localSheetId="2">#REF!</definedName>
    <definedName name="三笠市">#REF!</definedName>
    <definedName name="三重県" localSheetId="2">#REF!</definedName>
    <definedName name="三重県">#REF!</definedName>
    <definedName name="山越郡" localSheetId="2">#REF!</definedName>
    <definedName name="山越郡">#REF!</definedName>
    <definedName name="山形県" localSheetId="2">#REF!</definedName>
    <definedName name="山形県">#REF!</definedName>
    <definedName name="山口県" localSheetId="2">#REF!</definedName>
    <definedName name="山口県">#REF!</definedName>
    <definedName name="山梨県" localSheetId="2">#REF!</definedName>
    <definedName name="山梨県">#REF!</definedName>
    <definedName name="士別市" localSheetId="2">#REF!</definedName>
    <definedName name="士別市">#REF!</definedName>
    <definedName name="枝幸郡" localSheetId="2">#REF!</definedName>
    <definedName name="枝幸郡">#REF!</definedName>
    <definedName name="滋賀県" localSheetId="2">#REF!</definedName>
    <definedName name="滋賀県">#REF!</definedName>
    <definedName name="爾志郡" localSheetId="2">#REF!</definedName>
    <definedName name="爾志郡">#REF!</definedName>
    <definedName name="鹿児島県" localSheetId="2">#REF!</definedName>
    <definedName name="鹿児島県">#REF!</definedName>
    <definedName name="室蘭市" localSheetId="2">#REF!</definedName>
    <definedName name="室蘭市">#REF!</definedName>
    <definedName name="斜里郡" localSheetId="2">#REF!</definedName>
    <definedName name="斜里郡">#REF!</definedName>
    <definedName name="寿都郡" localSheetId="2">#REF!</definedName>
    <definedName name="寿都郡">#REF!</definedName>
    <definedName name="宗谷郡" localSheetId="2">#REF!</definedName>
    <definedName name="宗谷郡">#REF!</definedName>
    <definedName name="秋田県" localSheetId="2">#REF!</definedName>
    <definedName name="秋田県">#REF!</definedName>
    <definedName name="十勝郡" localSheetId="2">#REF!</definedName>
    <definedName name="十勝郡">#REF!</definedName>
    <definedName name="小樽市" localSheetId="2">#REF!</definedName>
    <definedName name="小樽市">#REF!</definedName>
    <definedName name="松前郡" localSheetId="2">#REF!</definedName>
    <definedName name="松前郡">#REF!</definedName>
    <definedName name="上磯郡" localSheetId="2">#REF!</definedName>
    <definedName name="上磯郡">#REF!</definedName>
    <definedName name="上川郡" localSheetId="2">#REF!</definedName>
    <definedName name="上川郡">#REF!</definedName>
    <definedName name="常呂郡" localSheetId="2">#REF!</definedName>
    <definedName name="常呂郡">#REF!</definedName>
    <definedName name="新潟県" localSheetId="2">#REF!</definedName>
    <definedName name="新潟県">#REF!</definedName>
    <definedName name="新冠郡" localSheetId="2">#REF!</definedName>
    <definedName name="新冠郡">#REF!</definedName>
    <definedName name="深川市" localSheetId="2">#REF!</definedName>
    <definedName name="深川市">#REF!</definedName>
    <definedName name="神奈川県" localSheetId="2">#REF!</definedName>
    <definedName name="神奈川県">#REF!</definedName>
    <definedName name="瀬棚郡" localSheetId="2">#REF!</definedName>
    <definedName name="瀬棚郡">#REF!</definedName>
    <definedName name="西磐井郡" localSheetId="2">#REF!</definedName>
    <definedName name="西磐井郡">#REF!</definedName>
    <definedName name="青森県" localSheetId="2">#REF!</definedName>
    <definedName name="青森県">#REF!</definedName>
    <definedName name="静岡県" localSheetId="2">#REF!</definedName>
    <definedName name="静岡県">#REF!</definedName>
    <definedName name="石狩郡" localSheetId="2">#REF!</definedName>
    <definedName name="石狩郡">#REF!</definedName>
    <definedName name="石狩市" localSheetId="2">#REF!</definedName>
    <definedName name="石狩市">#REF!</definedName>
    <definedName name="石川県" localSheetId="2">#REF!</definedName>
    <definedName name="石川県">#REF!</definedName>
    <definedName name="積丹郡" localSheetId="2">#REF!</definedName>
    <definedName name="積丹郡">#REF!</definedName>
    <definedName name="赤平市" localSheetId="2">#REF!</definedName>
    <definedName name="赤平市">#REF!</definedName>
    <definedName name="千歳市" localSheetId="2">#REF!</definedName>
    <definedName name="千歳市">#REF!</definedName>
    <definedName name="千葉県" localSheetId="2">#REF!</definedName>
    <definedName name="千葉県">#REF!</definedName>
    <definedName name="川上郡" localSheetId="2">#REF!</definedName>
    <definedName name="川上郡">#REF!</definedName>
    <definedName name="増毛郡" localSheetId="2">#REF!</definedName>
    <definedName name="増毛郡">#REF!</definedName>
    <definedName name="足寄郡" localSheetId="2">#REF!</definedName>
    <definedName name="足寄郡">#REF!</definedName>
    <definedName name="帯広市" localSheetId="2">#REF!</definedName>
    <definedName name="帯広市">#REF!</definedName>
    <definedName name="大阪府" localSheetId="2">#REF!</definedName>
    <definedName name="大阪府">#REF!</definedName>
    <definedName name="大分県" localSheetId="2">#REF!</definedName>
    <definedName name="大分県">#REF!</definedName>
    <definedName name="滝川市" localSheetId="2">#REF!</definedName>
    <definedName name="滝川市">#REF!</definedName>
    <definedName name="稚内市" localSheetId="2">#REF!</definedName>
    <definedName name="稚内市">#REF!</definedName>
    <definedName name="中川郡" localSheetId="2">#REF!</definedName>
    <definedName name="中川郡">#REF!</definedName>
    <definedName name="長崎県" localSheetId="2">#REF!</definedName>
    <definedName name="長崎県">#REF!</definedName>
    <definedName name="長野県" localSheetId="2">#REF!</definedName>
    <definedName name="長野県">#REF!</definedName>
    <definedName name="鳥取県" localSheetId="2">#REF!</definedName>
    <definedName name="鳥取県">#REF!</definedName>
    <definedName name="天塩郡" localSheetId="2">#REF!</definedName>
    <definedName name="天塩郡">#REF!</definedName>
    <definedName name="登別市" localSheetId="2">#REF!</definedName>
    <definedName name="登別市">#REF!</definedName>
    <definedName name="都道府県" localSheetId="2">#REF!</definedName>
    <definedName name="都道府県">#REF!</definedName>
    <definedName name="島根県" localSheetId="2">#REF!</definedName>
    <definedName name="島根県">#REF!</definedName>
    <definedName name="島牧郡" localSheetId="2">#REF!</definedName>
    <definedName name="島牧郡">#REF!</definedName>
    <definedName name="東京都" localSheetId="2">#REF!</definedName>
    <definedName name="東京都">#REF!</definedName>
    <definedName name="徳島県" localSheetId="2">#REF!</definedName>
    <definedName name="徳島県">#REF!</definedName>
    <definedName name="栃木県" localSheetId="2">#REF!</definedName>
    <definedName name="栃木県">#REF!</definedName>
    <definedName name="苫小牧市" localSheetId="2">#REF!</definedName>
    <definedName name="苫小牧市">#REF!</definedName>
    <definedName name="苫前郡" localSheetId="2">#REF!</definedName>
    <definedName name="苫前郡">#REF!</definedName>
    <definedName name="奈良県" localSheetId="2">#REF!</definedName>
    <definedName name="奈良県">#REF!</definedName>
    <definedName name="二海郡" localSheetId="2">#REF!</definedName>
    <definedName name="二海郡">#REF!</definedName>
    <definedName name="日高郡" localSheetId="2">#REF!</definedName>
    <definedName name="日高郡">#REF!</definedName>
    <definedName name="白糠郡" localSheetId="2">#REF!</definedName>
    <definedName name="白糠郡">#REF!</definedName>
    <definedName name="白老郡" localSheetId="2">#REF!</definedName>
    <definedName name="白老郡">#REF!</definedName>
    <definedName name="函館市" localSheetId="2">#REF!</definedName>
    <definedName name="函館市">#REF!</definedName>
    <definedName name="美唄市" localSheetId="2">#REF!</definedName>
    <definedName name="美唄市">#REF!</definedName>
    <definedName name="標津郡" localSheetId="2">#REF!</definedName>
    <definedName name="標津郡">#REF!</definedName>
    <definedName name="富山県" localSheetId="2">#REF!</definedName>
    <definedName name="富山県">#REF!</definedName>
    <definedName name="富良野市" localSheetId="2">#REF!</definedName>
    <definedName name="富良野市">#REF!</definedName>
    <definedName name="福井県" localSheetId="2">#REF!</definedName>
    <definedName name="福井県">#REF!</definedName>
    <definedName name="福岡県" localSheetId="2">#REF!</definedName>
    <definedName name="福岡県">#REF!</definedName>
    <definedName name="福島県" localSheetId="2">#REF!</definedName>
    <definedName name="福島県">#REF!</definedName>
    <definedName name="兵庫県" localSheetId="2">#REF!</definedName>
    <definedName name="兵庫県">#REF!</definedName>
    <definedName name="北海道" localSheetId="2">#REF!</definedName>
    <definedName name="北海道">#REF!</definedName>
    <definedName name="北見市" localSheetId="2">#REF!</definedName>
    <definedName name="北見市">#REF!</definedName>
    <definedName name="北広島市" localSheetId="2">#REF!</definedName>
    <definedName name="北広島市">#REF!</definedName>
    <definedName name="北斗市" localSheetId="2">#REF!</definedName>
    <definedName name="北斗市">#REF!</definedName>
    <definedName name="幌泉郡" localSheetId="2">#REF!</definedName>
    <definedName name="幌泉郡">#REF!</definedName>
    <definedName name="名寄市" localSheetId="2">#REF!</definedName>
    <definedName name="名寄市">#REF!</definedName>
    <definedName name="網走郡" localSheetId="2">#REF!</definedName>
    <definedName name="網走郡">#REF!</definedName>
    <definedName name="網走市" localSheetId="2">#REF!</definedName>
    <definedName name="網走市">#REF!</definedName>
    <definedName name="目梨郡" localSheetId="2">#REF!</definedName>
    <definedName name="目梨郡">#REF!</definedName>
    <definedName name="紋別郡" localSheetId="2">#REF!</definedName>
    <definedName name="紋別郡">#REF!</definedName>
    <definedName name="紋別市" localSheetId="2">#REF!</definedName>
    <definedName name="紋別市">#REF!</definedName>
    <definedName name="野付郡" localSheetId="2">#REF!</definedName>
    <definedName name="野付郡">#REF!</definedName>
    <definedName name="勇払郡" localSheetId="2">#REF!</definedName>
    <definedName name="勇払郡">#REF!</definedName>
    <definedName name="有珠郡" localSheetId="2">#REF!</definedName>
    <definedName name="有珠郡">#REF!</definedName>
    <definedName name="夕張郡" localSheetId="2">#REF!</definedName>
    <definedName name="夕張郡">#REF!</definedName>
    <definedName name="夕張市" localSheetId="2">#REF!</definedName>
    <definedName name="夕張市">#REF!</definedName>
    <definedName name="余市郡" localSheetId="2">#REF!</definedName>
    <definedName name="余市郡">#REF!</definedName>
    <definedName name="様似郡" localSheetId="2">#REF!</definedName>
    <definedName name="様似郡">#REF!</definedName>
    <definedName name="利尻郡" localSheetId="2">#REF!</definedName>
    <definedName name="利尻郡">#REF!</definedName>
    <definedName name="留萌郡" localSheetId="2">#REF!</definedName>
    <definedName name="留萌郡">#REF!</definedName>
    <definedName name="留萌市" localSheetId="2">#REF!</definedName>
    <definedName name="留萌市">#REF!</definedName>
    <definedName name="礼文郡" localSheetId="2">#REF!</definedName>
    <definedName name="礼文郡">#REF!</definedName>
    <definedName name="和歌山県" localSheetId="2">#REF!</definedName>
    <definedName name="和歌山県">#REF!</definedName>
    <definedName name="檜山郡" localSheetId="2">#REF!</definedName>
    <definedName name="檜山郡">#REF!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34" i="6" l="1"/>
  <c r="AL34" i="6"/>
  <c r="AK34" i="6"/>
  <c r="AA34" i="6"/>
  <c r="Z34" i="6"/>
  <c r="Y34" i="6"/>
  <c r="P34" i="6"/>
  <c r="AJ34" i="6" s="1"/>
  <c r="N34" i="6"/>
  <c r="C34" i="6"/>
  <c r="P31" i="6"/>
  <c r="AC31" i="6" s="1"/>
  <c r="C31" i="6"/>
  <c r="AM28" i="6"/>
  <c r="AK28" i="6"/>
  <c r="AH28" i="6"/>
  <c r="AG28" i="6"/>
  <c r="AF28" i="6"/>
  <c r="AE28" i="6"/>
  <c r="AD28" i="6"/>
  <c r="AC28" i="6"/>
  <c r="AA28" i="6"/>
  <c r="Y28" i="6"/>
  <c r="V28" i="6"/>
  <c r="U28" i="6"/>
  <c r="T28" i="6"/>
  <c r="S28" i="6"/>
  <c r="R28" i="6"/>
  <c r="Q28" i="6"/>
  <c r="P28" i="6"/>
  <c r="AB28" i="6" s="1"/>
  <c r="N28" i="6"/>
  <c r="C28" i="6"/>
  <c r="AM25" i="6"/>
  <c r="AJ25" i="6"/>
  <c r="AI25" i="6"/>
  <c r="AH25" i="6"/>
  <c r="AG25" i="6"/>
  <c r="AF25" i="6"/>
  <c r="AE25" i="6"/>
  <c r="AD25" i="6"/>
  <c r="AC25" i="6"/>
  <c r="AA25" i="6"/>
  <c r="X25" i="6"/>
  <c r="W25" i="6"/>
  <c r="V25" i="6"/>
  <c r="U25" i="6"/>
  <c r="T25" i="6"/>
  <c r="S25" i="6"/>
  <c r="R25" i="6"/>
  <c r="Q25" i="6"/>
  <c r="P25" i="6"/>
  <c r="AB25" i="6" s="1"/>
  <c r="N25" i="6"/>
  <c r="C25" i="6"/>
  <c r="AL22" i="6"/>
  <c r="AK22" i="6"/>
  <c r="AJ22" i="6"/>
  <c r="AI22" i="6"/>
  <c r="AH22" i="6"/>
  <c r="AG22" i="6"/>
  <c r="AF22" i="6"/>
  <c r="AE22" i="6"/>
  <c r="AC22" i="6"/>
  <c r="Z22" i="6"/>
  <c r="Y22" i="6"/>
  <c r="X22" i="6"/>
  <c r="W22" i="6"/>
  <c r="V22" i="6"/>
  <c r="U22" i="6"/>
  <c r="T22" i="6"/>
  <c r="S22" i="6"/>
  <c r="R22" i="6"/>
  <c r="Q22" i="6"/>
  <c r="P22" i="6"/>
  <c r="AD22" i="6" s="1"/>
  <c r="C22" i="6"/>
  <c r="AM19" i="6"/>
  <c r="AL19" i="6"/>
  <c r="AK19" i="6"/>
  <c r="AJ19" i="6"/>
  <c r="AI19" i="6"/>
  <c r="AG19" i="6"/>
  <c r="AE19" i="6"/>
  <c r="AA19" i="6"/>
  <c r="Z19" i="6"/>
  <c r="Y19" i="6"/>
  <c r="X19" i="6"/>
  <c r="W19" i="6"/>
  <c r="U19" i="6"/>
  <c r="S19" i="6"/>
  <c r="P19" i="6"/>
  <c r="AH19" i="6" s="1"/>
  <c r="N19" i="6"/>
  <c r="C19" i="6"/>
  <c r="AM16" i="6"/>
  <c r="N16" i="6" s="1"/>
  <c r="AL16" i="6"/>
  <c r="AK16" i="6"/>
  <c r="AA16" i="6"/>
  <c r="Z16" i="6"/>
  <c r="Y16" i="6"/>
  <c r="P16" i="6"/>
  <c r="AJ16" i="6" s="1"/>
  <c r="C16" i="6"/>
  <c r="P13" i="6"/>
  <c r="AL13" i="6" s="1"/>
  <c r="C13" i="6"/>
  <c r="AM10" i="6"/>
  <c r="AK10" i="6"/>
  <c r="AH10" i="6"/>
  <c r="AG10" i="6"/>
  <c r="AF10" i="6"/>
  <c r="AE10" i="6"/>
  <c r="AD10" i="6"/>
  <c r="AC10" i="6"/>
  <c r="AA10" i="6"/>
  <c r="Y10" i="6"/>
  <c r="V10" i="6"/>
  <c r="U10" i="6"/>
  <c r="T10" i="6"/>
  <c r="S10" i="6"/>
  <c r="R10" i="6"/>
  <c r="Q10" i="6"/>
  <c r="P10" i="6"/>
  <c r="AB10" i="6" s="1"/>
  <c r="N10" i="6"/>
  <c r="C10" i="6"/>
  <c r="AM7" i="6"/>
  <c r="AJ7" i="6"/>
  <c r="AI7" i="6"/>
  <c r="AH7" i="6"/>
  <c r="AG7" i="6"/>
  <c r="AF7" i="6"/>
  <c r="AE7" i="6"/>
  <c r="AD7" i="6"/>
  <c r="AC7" i="6"/>
  <c r="AA7" i="6"/>
  <c r="X7" i="6"/>
  <c r="W7" i="6"/>
  <c r="V7" i="6"/>
  <c r="U7" i="6"/>
  <c r="T7" i="6"/>
  <c r="S7" i="6"/>
  <c r="R7" i="6"/>
  <c r="Q7" i="6"/>
  <c r="P7" i="6"/>
  <c r="AB7" i="6" s="1"/>
  <c r="N7" i="6"/>
  <c r="C7" i="6"/>
  <c r="Q2" i="6"/>
  <c r="P2" i="6"/>
  <c r="L2" i="6"/>
  <c r="P1" i="6"/>
  <c r="AO6" i="5"/>
  <c r="AO7" i="3"/>
  <c r="A1" i="3"/>
  <c r="AO7" i="2"/>
  <c r="A1" i="2"/>
  <c r="S19" i="1"/>
  <c r="AA13" i="6" l="1"/>
  <c r="R13" i="6"/>
  <c r="AD13" i="6"/>
  <c r="R31" i="6"/>
  <c r="AD31" i="6"/>
  <c r="AB34" i="6"/>
  <c r="S31" i="6"/>
  <c r="Q34" i="6"/>
  <c r="AC34" i="6"/>
  <c r="T13" i="6"/>
  <c r="AF13" i="6"/>
  <c r="R16" i="6"/>
  <c r="AD16" i="6"/>
  <c r="Y7" i="6"/>
  <c r="AK7" i="6"/>
  <c r="W10" i="6"/>
  <c r="AI10" i="6"/>
  <c r="U13" i="6"/>
  <c r="AG13" i="6"/>
  <c r="S16" i="6"/>
  <c r="AE16" i="6"/>
  <c r="Q19" i="6"/>
  <c r="AC19" i="6"/>
  <c r="AA22" i="6"/>
  <c r="AM22" i="6"/>
  <c r="N22" i="6" s="1"/>
  <c r="Y25" i="6"/>
  <c r="AK25" i="6"/>
  <c r="W28" i="6"/>
  <c r="AI28" i="6"/>
  <c r="U31" i="6"/>
  <c r="AG31" i="6"/>
  <c r="S34" i="6"/>
  <c r="AE34" i="6"/>
  <c r="Q13" i="6"/>
  <c r="AB16" i="6"/>
  <c r="S13" i="6"/>
  <c r="AE13" i="6"/>
  <c r="Q16" i="6"/>
  <c r="AC16" i="6"/>
  <c r="AE31" i="6"/>
  <c r="AB19" i="6"/>
  <c r="T31" i="6"/>
  <c r="AF31" i="6"/>
  <c r="R34" i="6"/>
  <c r="AD34" i="6"/>
  <c r="Z7" i="6"/>
  <c r="AL7" i="6"/>
  <c r="X10" i="6"/>
  <c r="AJ10" i="6"/>
  <c r="V13" i="6"/>
  <c r="AH13" i="6"/>
  <c r="T16" i="6"/>
  <c r="AF16" i="6"/>
  <c r="R19" i="6"/>
  <c r="AD19" i="6"/>
  <c r="AB22" i="6"/>
  <c r="Z25" i="6"/>
  <c r="AL25" i="6"/>
  <c r="X28" i="6"/>
  <c r="AJ28" i="6"/>
  <c r="V31" i="6"/>
  <c r="AH31" i="6"/>
  <c r="T34" i="6"/>
  <c r="AF34" i="6"/>
  <c r="AB13" i="6"/>
  <c r="Q31" i="6"/>
  <c r="AC13" i="6"/>
  <c r="W13" i="6"/>
  <c r="AI13" i="6"/>
  <c r="U16" i="6"/>
  <c r="AG16" i="6"/>
  <c r="W31" i="6"/>
  <c r="AI31" i="6"/>
  <c r="U34" i="6"/>
  <c r="AG34" i="6"/>
  <c r="Z10" i="6"/>
  <c r="AL10" i="6"/>
  <c r="X13" i="6"/>
  <c r="AJ13" i="6"/>
  <c r="V16" i="6"/>
  <c r="AH16" i="6"/>
  <c r="T19" i="6"/>
  <c r="AF19" i="6"/>
  <c r="Z28" i="6"/>
  <c r="AL28" i="6"/>
  <c r="X31" i="6"/>
  <c r="AJ31" i="6"/>
  <c r="V34" i="6"/>
  <c r="AH34" i="6"/>
  <c r="AM13" i="6"/>
  <c r="N13" i="6" s="1"/>
  <c r="K4" i="6" s="1"/>
  <c r="Y13" i="6"/>
  <c r="AK13" i="6"/>
  <c r="W16" i="6"/>
  <c r="AI16" i="6"/>
  <c r="Y31" i="6"/>
  <c r="AK31" i="6"/>
  <c r="W34" i="6"/>
  <c r="AI34" i="6"/>
  <c r="Z13" i="6"/>
  <c r="X16" i="6"/>
  <c r="V19" i="6"/>
  <c r="Z31" i="6"/>
  <c r="AL31" i="6"/>
  <c r="X34" i="6"/>
  <c r="AA31" i="6"/>
  <c r="AM31" i="6"/>
  <c r="N31" i="6" s="1"/>
  <c r="AB31" i="6"/>
  <c r="N78" i="3" l="1"/>
  <c r="N79" i="2"/>
  <c r="U4" i="6"/>
  <c r="AB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P36" authorId="0" shapeId="0" xr:uid="{34572FD6-FCB0-4139-8154-28B5EA7F7164}">
      <text>
        <r>
          <rPr>
            <b/>
            <sz val="9"/>
            <color indexed="81"/>
            <rFont val="ＭＳ Ｐゴシック"/>
            <family val="3"/>
            <charset val="128"/>
          </rPr>
          <t>複数AP契約している場合、複数APのうち一部APのみ廃止する場合にチェック</t>
        </r>
        <r>
          <rPr>
            <sz val="9"/>
            <color indexed="81"/>
            <rFont val="ＭＳ Ｐゴシック"/>
            <family val="3"/>
            <charset val="128"/>
          </rPr>
          <t xml:space="preserve">
</t>
        </r>
      </text>
    </comment>
    <comment ref="T36" authorId="0" shapeId="0" xr:uid="{8A1F17C2-3BC0-4686-9830-59D918800817}">
      <text>
        <r>
          <rPr>
            <b/>
            <sz val="9"/>
            <color indexed="81"/>
            <rFont val="ＭＳ Ｐゴシック"/>
            <family val="3"/>
            <charset val="128"/>
          </rPr>
          <t>複数ＡＰ契約している方は、全AP廃止する場合にチェック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K13" authorId="0" shapeId="0" xr:uid="{DE8C1728-C2F5-425B-888A-8B0E808AD1A2}">
      <text>
        <r>
          <rPr>
            <b/>
            <sz val="9"/>
            <color indexed="10"/>
            <rFont val="ＭＳ Ｐゴシック"/>
            <family val="3"/>
            <charset val="128"/>
          </rPr>
          <t>全県なので九州・北海道含めて+3のみ</t>
        </r>
      </text>
    </comment>
    <comment ref="P36" authorId="0" shapeId="0" xr:uid="{791CFFFD-8D82-4F10-8EF1-82D3E46CA3F2}">
      <text>
        <r>
          <rPr>
            <b/>
            <sz val="9"/>
            <color indexed="81"/>
            <rFont val="ＭＳ Ｐゴシック"/>
            <family val="3"/>
            <charset val="128"/>
          </rPr>
          <t>複数AP契約している場合、複数APのうち一部APのみ廃止する場合にチェック</t>
        </r>
        <r>
          <rPr>
            <sz val="9"/>
            <color indexed="81"/>
            <rFont val="ＭＳ Ｐゴシック"/>
            <family val="3"/>
            <charset val="128"/>
          </rPr>
          <t xml:space="preserve">
</t>
        </r>
      </text>
    </comment>
    <comment ref="T36" authorId="0" shapeId="0" xr:uid="{00B84CE8-CEF5-46C3-9B1D-9A72A77E8485}">
      <text>
        <r>
          <rPr>
            <b/>
            <sz val="9"/>
            <color indexed="81"/>
            <rFont val="ＭＳ Ｐゴシック"/>
            <family val="3"/>
            <charset val="128"/>
          </rPr>
          <t>複数ＡＰ契約している方は、全AP廃止する場合にチェック</t>
        </r>
      </text>
    </comment>
  </commentList>
</comments>
</file>

<file path=xl/sharedStrings.xml><?xml version="1.0" encoding="utf-8"?>
<sst xmlns="http://schemas.openxmlformats.org/spreadsheetml/2006/main" count="1021" uniqueCount="333">
  <si>
    <t>【様式１】サービス申込書</t>
    <rPh sb="1" eb="3">
      <t>ヨウシキ</t>
    </rPh>
    <rPh sb="9" eb="12">
      <t>モウシコミショ</t>
    </rPh>
    <phoneticPr fontId="3"/>
  </si>
  <si>
    <t>本様式はスマート光ビジネスWi-Fiハイエンドプランの各種注文にて利用する申込書です。</t>
    <rPh sb="0" eb="1">
      <t>ホン</t>
    </rPh>
    <rPh sb="1" eb="3">
      <t>ヨウシキ</t>
    </rPh>
    <rPh sb="8" eb="9">
      <t>ヒカリ</t>
    </rPh>
    <rPh sb="27" eb="29">
      <t>カクシュ</t>
    </rPh>
    <rPh sb="29" eb="31">
      <t>チュウモン</t>
    </rPh>
    <rPh sb="33" eb="35">
      <t>リヨウ</t>
    </rPh>
    <rPh sb="37" eb="40">
      <t>モウシコミショ</t>
    </rPh>
    <phoneticPr fontId="3"/>
  </si>
  <si>
    <t>注文内容を選択し、内容に応じた別紙に必要事項を記載・送付してください。</t>
    <rPh sb="0" eb="2">
      <t>チュウモン</t>
    </rPh>
    <rPh sb="2" eb="4">
      <t>ナイヨウ</t>
    </rPh>
    <rPh sb="5" eb="7">
      <t>センタク</t>
    </rPh>
    <rPh sb="9" eb="11">
      <t>ナイヨウ</t>
    </rPh>
    <rPh sb="12" eb="13">
      <t>オウ</t>
    </rPh>
    <rPh sb="15" eb="17">
      <t>ベッシ</t>
    </rPh>
    <rPh sb="18" eb="22">
      <t>ヒツヨウジコウ</t>
    </rPh>
    <rPh sb="23" eb="25">
      <t>キサイ</t>
    </rPh>
    <rPh sb="26" eb="28">
      <t>ソウフ</t>
    </rPh>
    <phoneticPr fontId="3"/>
  </si>
  <si>
    <t>なお、AP毎のSSID設定など、詳細設定を希望する場合には別途"【様式２】詳細設定申込書"を合わせて記載・送付してください</t>
    <rPh sb="5" eb="6">
      <t>ゴト</t>
    </rPh>
    <rPh sb="11" eb="13">
      <t>セッテイ</t>
    </rPh>
    <rPh sb="16" eb="18">
      <t>ショウサイ</t>
    </rPh>
    <rPh sb="18" eb="20">
      <t>セッテイ</t>
    </rPh>
    <rPh sb="21" eb="23">
      <t>キボウ</t>
    </rPh>
    <rPh sb="25" eb="27">
      <t>バアイ</t>
    </rPh>
    <rPh sb="29" eb="31">
      <t>ベット</t>
    </rPh>
    <rPh sb="33" eb="35">
      <t>ヨウシキ</t>
    </rPh>
    <rPh sb="37" eb="44">
      <t>ショウサイセッテイモウシコミショ</t>
    </rPh>
    <rPh sb="46" eb="47">
      <t>ア</t>
    </rPh>
    <rPh sb="50" eb="52">
      <t>キサイ</t>
    </rPh>
    <rPh sb="53" eb="55">
      <t>ソウフ</t>
    </rPh>
    <phoneticPr fontId="3"/>
  </si>
  <si>
    <t>注文内容</t>
    <rPh sb="0" eb="2">
      <t>チュウモン</t>
    </rPh>
    <rPh sb="2" eb="4">
      <t>ナイヨウ</t>
    </rPh>
    <phoneticPr fontId="3"/>
  </si>
  <si>
    <t>新規・追加・減少・廃止申込(月額支払い型)</t>
    <rPh sb="0" eb="2">
      <t>シンキ</t>
    </rPh>
    <rPh sb="3" eb="5">
      <t>ツイカ</t>
    </rPh>
    <rPh sb="6" eb="8">
      <t>ゲンショウ</t>
    </rPh>
    <rPh sb="9" eb="11">
      <t>ハイシ</t>
    </rPh>
    <rPh sb="11" eb="13">
      <t>モウシコミ</t>
    </rPh>
    <rPh sb="14" eb="16">
      <t>ゲツガク</t>
    </rPh>
    <rPh sb="16" eb="18">
      <t>シハラ</t>
    </rPh>
    <rPh sb="19" eb="20">
      <t>ガタ</t>
    </rPh>
    <phoneticPr fontId="3"/>
  </si>
  <si>
    <t>詳細設定/初期キッティング希望</t>
    <rPh sb="0" eb="4">
      <t>ショウサイセッテイ</t>
    </rPh>
    <rPh sb="5" eb="7">
      <t>ショキ</t>
    </rPh>
    <rPh sb="13" eb="15">
      <t>キボウ</t>
    </rPh>
    <phoneticPr fontId="3"/>
  </si>
  <si>
    <r>
      <t>希望する(本申込書に加えて【</t>
    </r>
    <r>
      <rPr>
        <sz val="11"/>
        <color rgb="FFFF0000"/>
        <rFont val="游ゴシック"/>
        <family val="3"/>
        <charset val="128"/>
        <scheme val="minor"/>
      </rPr>
      <t>様式２</t>
    </r>
    <r>
      <rPr>
        <sz val="11"/>
        <color theme="1"/>
        <rFont val="游ゴシック"/>
        <family val="2"/>
        <charset val="128"/>
        <scheme val="minor"/>
      </rPr>
      <t>】を記載・送付してください)</t>
    </r>
    <rPh sb="0" eb="2">
      <t>キボウ</t>
    </rPh>
    <rPh sb="10" eb="11">
      <t>クワ</t>
    </rPh>
    <rPh sb="14" eb="16">
      <t>ヨウシキ</t>
    </rPh>
    <rPh sb="19" eb="21">
      <t>キサイ</t>
    </rPh>
    <rPh sb="22" eb="24">
      <t>ソウフ</t>
    </rPh>
    <phoneticPr fontId="3"/>
  </si>
  <si>
    <t>注文内容</t>
    <rPh sb="2" eb="4">
      <t>ナイヨウ</t>
    </rPh>
    <phoneticPr fontId="3"/>
  </si>
  <si>
    <t>記入が必要な別紙</t>
    <rPh sb="0" eb="2">
      <t>キニュウ</t>
    </rPh>
    <rPh sb="3" eb="5">
      <t>ヒツヨウ</t>
    </rPh>
    <rPh sb="6" eb="8">
      <t>ベッシ</t>
    </rPh>
    <phoneticPr fontId="3"/>
  </si>
  <si>
    <t>別紙②</t>
    <rPh sb="0" eb="2">
      <t>ベッシ</t>
    </rPh>
    <phoneticPr fontId="3"/>
  </si>
  <si>
    <t>新規・追加・減少・廃止申込（補助金対応型申込）</t>
    <rPh sb="0" eb="2">
      <t>シンキ</t>
    </rPh>
    <rPh sb="3" eb="5">
      <t>ツイカ</t>
    </rPh>
    <rPh sb="6" eb="8">
      <t>ゲンショウ</t>
    </rPh>
    <rPh sb="9" eb="11">
      <t>ハイシ</t>
    </rPh>
    <rPh sb="11" eb="13">
      <t>モウシコミ</t>
    </rPh>
    <rPh sb="14" eb="17">
      <t>ホジョキン</t>
    </rPh>
    <rPh sb="17" eb="20">
      <t>タイオウガタ</t>
    </rPh>
    <rPh sb="20" eb="22">
      <t>モウシコミ</t>
    </rPh>
    <phoneticPr fontId="3"/>
  </si>
  <si>
    <t>別紙①-2</t>
    <rPh sb="0" eb="2">
      <t>ベッシ</t>
    </rPh>
    <phoneticPr fontId="3"/>
  </si>
  <si>
    <t>移転・契約情報変更・設定変更申込</t>
    <phoneticPr fontId="3"/>
  </si>
  <si>
    <t>別紙③</t>
    <rPh sb="0" eb="2">
      <t>ベッシ</t>
    </rPh>
    <phoneticPr fontId="3"/>
  </si>
  <si>
    <t>スマート光ビジネスWi-Fiハイエンドプラン（月額支払い型）　申込書</t>
    <rPh sb="4" eb="5">
      <t>ヒカリ</t>
    </rPh>
    <rPh sb="23" eb="25">
      <t>ゲツガク</t>
    </rPh>
    <rPh sb="25" eb="27">
      <t>シハラ</t>
    </rPh>
    <rPh sb="28" eb="29">
      <t>ガタ</t>
    </rPh>
    <rPh sb="31" eb="34">
      <t>モウシコミショ</t>
    </rPh>
    <phoneticPr fontId="9"/>
  </si>
  <si>
    <t>事業者名</t>
    <rPh sb="0" eb="3">
      <t>ジギョウシャ</t>
    </rPh>
    <rPh sb="3" eb="4">
      <t>メイ</t>
    </rPh>
    <phoneticPr fontId="9"/>
  </si>
  <si>
    <t>西日本電信電話株式会社</t>
    <phoneticPr fontId="3"/>
  </si>
  <si>
    <t>事業者識別コード</t>
    <rPh sb="0" eb="3">
      <t>ジギョウシャ</t>
    </rPh>
    <phoneticPr fontId="9"/>
  </si>
  <si>
    <t>XB5</t>
    <phoneticPr fontId="3"/>
  </si>
  <si>
    <t>Ver2.7(2023.6.12～)</t>
    <phoneticPr fontId="3"/>
  </si>
  <si>
    <t>私は「スマート光ビジネスWi-Fi利用規約（http://flets-w.com/solution/wi-fi_service/）」を確認・承諾のうえ、サービス契約（新規、変更、解約）を申し込みます。</t>
    <phoneticPr fontId="3"/>
  </si>
  <si>
    <t>申込日</t>
    <rPh sb="0" eb="1">
      <t>モウ</t>
    </rPh>
    <rPh sb="1" eb="2">
      <t>コ</t>
    </rPh>
    <rPh sb="2" eb="3">
      <t>ヒ</t>
    </rPh>
    <phoneticPr fontId="9"/>
  </si>
  <si>
    <t>西暦</t>
    <rPh sb="0" eb="2">
      <t>セイレキ</t>
    </rPh>
    <phoneticPr fontId="3"/>
  </si>
  <si>
    <t>年</t>
    <rPh sb="0" eb="1">
      <t>ネン</t>
    </rPh>
    <phoneticPr fontId="3"/>
  </si>
  <si>
    <t>月</t>
    <rPh sb="0" eb="1">
      <t>ツキ</t>
    </rPh>
    <phoneticPr fontId="3"/>
  </si>
  <si>
    <t>日</t>
    <rPh sb="0" eb="1">
      <t>ニチ</t>
    </rPh>
    <phoneticPr fontId="3"/>
  </si>
  <si>
    <t>OEM事業者管理ID</t>
    <phoneticPr fontId="3"/>
  </si>
  <si>
    <t>ご契約者様名
（法人名）</t>
    <rPh sb="4" eb="5">
      <t>サマ</t>
    </rPh>
    <rPh sb="5" eb="6">
      <t>メイ</t>
    </rPh>
    <rPh sb="8" eb="10">
      <t>ホウジン</t>
    </rPh>
    <rPh sb="10" eb="11">
      <t>メイ</t>
    </rPh>
    <phoneticPr fontId="9"/>
  </si>
  <si>
    <t>フリガナ</t>
    <phoneticPr fontId="9"/>
  </si>
  <si>
    <t>カブシキガイシャハットリフォトスタジオ</t>
    <phoneticPr fontId="3"/>
  </si>
  <si>
    <t>印</t>
    <rPh sb="0" eb="1">
      <t>イン</t>
    </rPh>
    <phoneticPr fontId="3"/>
  </si>
  <si>
    <t>株式会社ハットリフォトスタジオ</t>
    <phoneticPr fontId="3"/>
  </si>
  <si>
    <t>ご契約者様住所</t>
  </si>
  <si>
    <t>〒</t>
    <phoneticPr fontId="9"/>
  </si>
  <si>
    <t>ナゴヤシナカムラクメイエキミナミ3-14-22</t>
    <phoneticPr fontId="3"/>
  </si>
  <si>
    <t>←フレッツのオプションサービスのため、回線名義と同じとします。</t>
    <phoneticPr fontId="9"/>
  </si>
  <si>
    <t>都道府県</t>
    <rPh sb="0" eb="4">
      <t>トドウフケン</t>
    </rPh>
    <phoneticPr fontId="9"/>
  </si>
  <si>
    <t>愛知県</t>
  </si>
  <si>
    <t>市区町村
番地</t>
    <rPh sb="0" eb="4">
      <t>シクチョウソン</t>
    </rPh>
    <phoneticPr fontId="9"/>
  </si>
  <si>
    <t>名古屋市中村区名駅南3-14-22</t>
    <rPh sb="0" eb="4">
      <t>ナゴヤシ</t>
    </rPh>
    <rPh sb="4" eb="7">
      <t>ナカムラク</t>
    </rPh>
    <rPh sb="7" eb="9">
      <t>メイエキ</t>
    </rPh>
    <rPh sb="9" eb="10">
      <t>ミナミ</t>
    </rPh>
    <phoneticPr fontId="3"/>
  </si>
  <si>
    <t>　※個人名義の場合、「部課名」に会社名や団体名をご記載し、個人利用でないことを明確化してください。</t>
    <phoneticPr fontId="9"/>
  </si>
  <si>
    <t>■</t>
  </si>
  <si>
    <t>島嶼部の場合はチェック</t>
    <phoneticPr fontId="3"/>
  </si>
  <si>
    <t>（建物名）　　　　　　　　　　　　　　　　　　　　　　　　　　　　　　　　　　　　　　　</t>
    <rPh sb="1" eb="3">
      <t>タテモノ</t>
    </rPh>
    <rPh sb="3" eb="4">
      <t>メイ</t>
    </rPh>
    <phoneticPr fontId="9"/>
  </si>
  <si>
    <t>開通案内送付先住所</t>
    <rPh sb="0" eb="2">
      <t>カイツウ</t>
    </rPh>
    <rPh sb="2" eb="4">
      <t>アンナイ</t>
    </rPh>
    <rPh sb="4" eb="6">
      <t>ソウフ</t>
    </rPh>
    <rPh sb="6" eb="7">
      <t>サキ</t>
    </rPh>
    <rPh sb="7" eb="9">
      <t>ジュウショ</t>
    </rPh>
    <phoneticPr fontId="3"/>
  </si>
  <si>
    <t>ご契約者様住所と同一の場合はチェック</t>
  </si>
  <si>
    <t>□</t>
  </si>
  <si>
    <t>開通案内送付先
会社・部署名等</t>
    <rPh sb="8" eb="10">
      <t>カイシャ</t>
    </rPh>
    <rPh sb="11" eb="14">
      <t>ブショメイ</t>
    </rPh>
    <rPh sb="14" eb="15">
      <t>トウ</t>
    </rPh>
    <phoneticPr fontId="9"/>
  </si>
  <si>
    <t>担当者名</t>
    <rPh sb="0" eb="2">
      <t>タントウ</t>
    </rPh>
    <rPh sb="2" eb="3">
      <t>シャ</t>
    </rPh>
    <rPh sb="3" eb="4">
      <t>メイ</t>
    </rPh>
    <phoneticPr fontId="9"/>
  </si>
  <si>
    <t>ハットリ　カズナリ</t>
    <phoneticPr fontId="3"/>
  </si>
  <si>
    <t>服部　一成</t>
    <rPh sb="0" eb="2">
      <t>ハットリ</t>
    </rPh>
    <rPh sb="3" eb="5">
      <t>カズナリ</t>
    </rPh>
    <phoneticPr fontId="3"/>
  </si>
  <si>
    <t>契約アクセス回線</t>
    <rPh sb="0" eb="2">
      <t>ケイヤク</t>
    </rPh>
    <rPh sb="6" eb="8">
      <t>カイセン</t>
    </rPh>
    <phoneticPr fontId="3"/>
  </si>
  <si>
    <t>CAF</t>
    <phoneticPr fontId="3"/>
  </si>
  <si>
    <t>5</t>
    <phoneticPr fontId="3"/>
  </si>
  <si>
    <t>2</t>
    <phoneticPr fontId="3"/>
  </si>
  <si>
    <t>3</t>
    <phoneticPr fontId="3"/>
  </si>
  <si>
    <t>1</t>
    <phoneticPr fontId="3"/>
  </si>
  <si>
    <t>6</t>
    <phoneticPr fontId="3"/>
  </si>
  <si>
    <t>4</t>
    <phoneticPr fontId="3"/>
  </si>
  <si>
    <t>東日本エリアや他社回線拠点の場合は、お客様本社等課金先のものを記載する。</t>
    <rPh sb="0" eb="1">
      <t>ヒガシ</t>
    </rPh>
    <rPh sb="1" eb="3">
      <t>ニホン</t>
    </rPh>
    <rPh sb="7" eb="9">
      <t>タシャ</t>
    </rPh>
    <rPh sb="9" eb="11">
      <t>カイセン</t>
    </rPh>
    <rPh sb="11" eb="13">
      <t>キョテン</t>
    </rPh>
    <rPh sb="14" eb="16">
      <t>バアイ</t>
    </rPh>
    <rPh sb="19" eb="21">
      <t>キャクサマ</t>
    </rPh>
    <rPh sb="21" eb="23">
      <t>ホンシャ</t>
    </rPh>
    <rPh sb="23" eb="24">
      <t>トウ</t>
    </rPh>
    <rPh sb="24" eb="26">
      <t>カキン</t>
    </rPh>
    <rPh sb="26" eb="27">
      <t>サキ</t>
    </rPh>
    <rPh sb="31" eb="33">
      <t>キサイ</t>
    </rPh>
    <phoneticPr fontId="3"/>
  </si>
  <si>
    <t>ご契約者様連絡先</t>
  </si>
  <si>
    <t>担当部署名</t>
    <phoneticPr fontId="3"/>
  </si>
  <si>
    <t>担当者名</t>
    <rPh sb="0" eb="3">
      <t>タントウシャ</t>
    </rPh>
    <rPh sb="3" eb="4">
      <t>メイ</t>
    </rPh>
    <phoneticPr fontId="9"/>
  </si>
  <si>
    <t>服部　一成</t>
    <phoneticPr fontId="3"/>
  </si>
  <si>
    <t>電話番号1</t>
    <rPh sb="0" eb="4">
      <t>デンワバンゴウ</t>
    </rPh>
    <phoneticPr fontId="3"/>
  </si>
  <si>
    <t>ご契約者様サポートは電話とメールで行います。
確実に連絡可能な電話番号とメールアドレスをご記入ください。
申込受付完了後、記載のメールアドレスまで連絡先の確認メールを送付いたします。</t>
    <rPh sb="61" eb="63">
      <t>キサイ</t>
    </rPh>
    <phoneticPr fontId="9"/>
  </si>
  <si>
    <t>（</t>
  </si>
  <si>
    <t>052</t>
    <phoneticPr fontId="3"/>
  </si>
  <si>
    <t>）</t>
  </si>
  <si>
    <t>561</t>
    <phoneticPr fontId="3"/>
  </si>
  <si>
    <t>－</t>
  </si>
  <si>
    <t>1667</t>
    <phoneticPr fontId="3"/>
  </si>
  <si>
    <t>電話番号2
(緊急時)</t>
    <rPh sb="0" eb="4">
      <t>デンワバンゴウ</t>
    </rPh>
    <rPh sb="7" eb="10">
      <t>キンキュウジ</t>
    </rPh>
    <phoneticPr fontId="3"/>
  </si>
  <si>
    <t>メールアドレス</t>
    <phoneticPr fontId="3"/>
  </si>
  <si>
    <t>k.h</t>
    <phoneticPr fontId="3"/>
  </si>
  <si>
    <t>＠</t>
    <phoneticPr fontId="3"/>
  </si>
  <si>
    <t>hattori-studio.com</t>
    <phoneticPr fontId="3"/>
  </si>
  <si>
    <t>■必須記載欄</t>
    <phoneticPr fontId="3"/>
  </si>
  <si>
    <t>契約内容</t>
    <rPh sb="0" eb="2">
      <t>ケイヤク</t>
    </rPh>
    <rPh sb="2" eb="4">
      <t>ナイヨウ</t>
    </rPh>
    <phoneticPr fontId="9"/>
  </si>
  <si>
    <t>新規</t>
    <rPh sb="0" eb="2">
      <t>シンキ</t>
    </rPh>
    <phoneticPr fontId="9"/>
  </si>
  <si>
    <t>追加</t>
    <rPh sb="0" eb="2">
      <t>ツイカ</t>
    </rPh>
    <phoneticPr fontId="9"/>
  </si>
  <si>
    <t>減少</t>
    <phoneticPr fontId="3"/>
  </si>
  <si>
    <t>廃止</t>
    <rPh sb="0" eb="2">
      <t>ハイシ</t>
    </rPh>
    <phoneticPr fontId="3"/>
  </si>
  <si>
    <r>
      <t xml:space="preserve">APID
</t>
    </r>
    <r>
      <rPr>
        <sz val="6"/>
        <rFont val="HGP創英角ｺﾞｼｯｸUB"/>
        <family val="3"/>
        <charset val="128"/>
      </rPr>
      <t>(AP減少・廃止時のみ)</t>
    </r>
    <rPh sb="8" eb="10">
      <t>ゲンショウ</t>
    </rPh>
    <rPh sb="11" eb="13">
      <t>ハイシ</t>
    </rPh>
    <rPh sb="13" eb="14">
      <t>ジ</t>
    </rPh>
    <phoneticPr fontId="3"/>
  </si>
  <si>
    <r>
      <t xml:space="preserve">契約ID
</t>
    </r>
    <r>
      <rPr>
        <sz val="8"/>
        <rFont val="HGP創英角ｺﾞｼｯｸUB"/>
        <family val="3"/>
        <charset val="128"/>
      </rPr>
      <t>（新規申込以外記入）</t>
    </r>
    <rPh sb="0" eb="2">
      <t>ケイヤク</t>
    </rPh>
    <rPh sb="6" eb="8">
      <t>シンキ</t>
    </rPh>
    <rPh sb="8" eb="10">
      <t>モウシコミ</t>
    </rPh>
    <rPh sb="10" eb="12">
      <t>イガイ</t>
    </rPh>
    <rPh sb="12" eb="14">
      <t>キニュウ</t>
    </rPh>
    <phoneticPr fontId="3"/>
  </si>
  <si>
    <t>WOW</t>
    <phoneticPr fontId="3"/>
  </si>
  <si>
    <t>お申し込みプラン・
台数</t>
    <rPh sb="1" eb="2">
      <t>モウ</t>
    </rPh>
    <rPh sb="3" eb="4">
      <t>コ</t>
    </rPh>
    <rPh sb="10" eb="12">
      <t>ダイスウ</t>
    </rPh>
    <phoneticPr fontId="9"/>
  </si>
  <si>
    <t>ハイエンドプラン</t>
    <phoneticPr fontId="3"/>
  </si>
  <si>
    <t>：</t>
    <phoneticPr fontId="3"/>
  </si>
  <si>
    <t>台</t>
    <rPh sb="0" eb="1">
      <t>ダイ</t>
    </rPh>
    <phoneticPr fontId="3"/>
  </si>
  <si>
    <t>ハイエンド6プラン</t>
    <phoneticPr fontId="3"/>
  </si>
  <si>
    <t>※一つの申込書で月額支払い型、お買い上げ型の両方を同時に申込は出来ません
※一つの申込書でハイエンドプラン、ハイエンド6プランの両方を同時に申込は出来ません</t>
    <phoneticPr fontId="3"/>
  </si>
  <si>
    <t>AP配送希望日</t>
    <rPh sb="2" eb="4">
      <t>ハイソウ</t>
    </rPh>
    <rPh sb="4" eb="7">
      <t>キボウビ</t>
    </rPh>
    <phoneticPr fontId="9"/>
  </si>
  <si>
    <r>
      <rPr>
        <sz val="9"/>
        <color rgb="FFFF0000"/>
        <rFont val="HGP創英角ｺﾞｼｯｸUB"/>
        <family val="3"/>
        <charset val="128"/>
      </rPr>
      <t>※希望日の設定について必ずご一読ください</t>
    </r>
    <r>
      <rPr>
        <sz val="9"/>
        <rFont val="HGP創英角ｺﾞｼｯｸUB"/>
        <family val="3"/>
        <charset val="128"/>
      </rPr>
      <t xml:space="preserve">
■  初期キッティングを申し込まれない場合
　　・AP配送希望日は、申込受領日の翌日から起算し、4営業日以降で記載してください。
　　　　　※北海道、九州へのAP配送は、＋1営業日必要です。
　　　　　※全県の島嶼部への配送は、＋3営業日必要です。
　　　　　※AP配送日は、申込日から最大3ヶ月先まで指定可能です。
　　　　　※土日祝は指定できません。
　　・AP開通希望日は、AP配送希望日の翌々営業日以降で記載してください。
■  初期キッティングを申し込まれる場合
　　・AP配送希望日は、申込受領日の翌日から起算し、5営業日以降で記載してください。
　　　なお、AP配送希望日はキッティングセンタへの配送日であり設置場所配送日ではありません。
　　・AP開通希望日は、AP配送希望日の翌日から起算し、設置場所が西日本エリアの場合は５営業日以降、
　　　東日本エリアの場合は9営業日以降を記載してください。
　　　設置場所へのAP配送日はAP開通希望日の前営業日になります。
■　AP廃止・減少希望日は、14時までを申込日当日として3営業日以降で記載してください。
　　 遡及はできません。</t>
    </r>
    <rPh sb="1" eb="4">
      <t>キボウビ</t>
    </rPh>
    <rPh sb="5" eb="7">
      <t>セッテイ</t>
    </rPh>
    <rPh sb="11" eb="12">
      <t>カナラ</t>
    </rPh>
    <rPh sb="14" eb="16">
      <t>イチドク</t>
    </rPh>
    <rPh sb="241" eb="243">
      <t>ショキ</t>
    </rPh>
    <rPh sb="250" eb="251">
      <t>モウ</t>
    </rPh>
    <rPh sb="252" eb="253">
      <t>コ</t>
    </rPh>
    <rPh sb="256" eb="258">
      <t>バアイ</t>
    </rPh>
    <rPh sb="327" eb="329">
      <t>ハイソウ</t>
    </rPh>
    <rPh sb="329" eb="330">
      <t>ビ</t>
    </rPh>
    <rPh sb="333" eb="335">
      <t>セッチ</t>
    </rPh>
    <rPh sb="335" eb="337">
      <t>バショ</t>
    </rPh>
    <rPh sb="337" eb="339">
      <t>ハイソウ</t>
    </rPh>
    <rPh sb="339" eb="340">
      <t>ビ</t>
    </rPh>
    <rPh sb="377" eb="379">
      <t>セッチ</t>
    </rPh>
    <rPh sb="379" eb="381">
      <t>バショ</t>
    </rPh>
    <rPh sb="382" eb="383">
      <t>ニシ</t>
    </rPh>
    <rPh sb="383" eb="385">
      <t>ニホン</t>
    </rPh>
    <rPh sb="389" eb="391">
      <t>バアイ</t>
    </rPh>
    <rPh sb="393" eb="396">
      <t>エイギョウビ</t>
    </rPh>
    <rPh sb="396" eb="398">
      <t>イコウ</t>
    </rPh>
    <rPh sb="403" eb="404">
      <t>ヒガシ</t>
    </rPh>
    <rPh sb="404" eb="406">
      <t>ニホン</t>
    </rPh>
    <rPh sb="410" eb="412">
      <t>バアイ</t>
    </rPh>
    <rPh sb="414" eb="417">
      <t>エイギョウビ</t>
    </rPh>
    <rPh sb="417" eb="419">
      <t>イコウ</t>
    </rPh>
    <rPh sb="420" eb="422">
      <t>キサイ</t>
    </rPh>
    <rPh sb="443" eb="444">
      <t>ビ</t>
    </rPh>
    <rPh sb="453" eb="454">
      <t>ゼン</t>
    </rPh>
    <rPh sb="454" eb="457">
      <t>エイギョウビ</t>
    </rPh>
    <rPh sb="481" eb="482">
      <t>ジ</t>
    </rPh>
    <rPh sb="488" eb="490">
      <t>トウジツ</t>
    </rPh>
    <phoneticPr fontId="3"/>
  </si>
  <si>
    <t>AP開通希望日</t>
    <rPh sb="2" eb="4">
      <t>カイツウ</t>
    </rPh>
    <rPh sb="4" eb="6">
      <t>キボウ</t>
    </rPh>
    <phoneticPr fontId="9"/>
  </si>
  <si>
    <t>AP廃止・
減少希望日</t>
    <phoneticPr fontId="3"/>
  </si>
  <si>
    <t>機器設置場所住所</t>
    <phoneticPr fontId="3"/>
  </si>
  <si>
    <t>□</t>
    <phoneticPr fontId="9"/>
  </si>
  <si>
    <t>機器配送場所住所
※初期キッティング利用時は欄外右記の住所を記載</t>
    <rPh sb="2" eb="4">
      <t>ハイソウ</t>
    </rPh>
    <phoneticPr fontId="3"/>
  </si>
  <si>
    <t>ご契約者様住所と同一の場合はチェック</t>
    <rPh sb="1" eb="3">
      <t>ケイヤク</t>
    </rPh>
    <rPh sb="3" eb="4">
      <t>シャ</t>
    </rPh>
    <phoneticPr fontId="3"/>
  </si>
  <si>
    <t>初期キッティング利用時は以下を機器送付先としてください。</t>
    <rPh sb="12" eb="14">
      <t>イカ</t>
    </rPh>
    <rPh sb="15" eb="17">
      <t>キキ</t>
    </rPh>
    <rPh sb="17" eb="19">
      <t>ソウフ</t>
    </rPh>
    <rPh sb="19" eb="20">
      <t>サキ</t>
    </rPh>
    <phoneticPr fontId="3"/>
  </si>
  <si>
    <t>-</t>
    <phoneticPr fontId="3"/>
  </si>
  <si>
    <t>0008</t>
    <phoneticPr fontId="3"/>
  </si>
  <si>
    <t>ナゴヤシナカクサカエ5-12-13</t>
    <phoneticPr fontId="3"/>
  </si>
  <si>
    <t>市区町村</t>
    <rPh sb="0" eb="4">
      <t>シクチョウソン</t>
    </rPh>
    <phoneticPr fontId="9"/>
  </si>
  <si>
    <t>名古屋市中区新栄町</t>
    <rPh sb="0" eb="4">
      <t>ナゴヤシ</t>
    </rPh>
    <rPh sb="4" eb="6">
      <t>ナカク</t>
    </rPh>
    <rPh sb="6" eb="9">
      <t>シンサカエマチ</t>
    </rPh>
    <phoneticPr fontId="3"/>
  </si>
  <si>
    <t>住所
(続き)</t>
    <rPh sb="0" eb="2">
      <t>ジュウショ</t>
    </rPh>
    <rPh sb="4" eb="5">
      <t>ツヅ</t>
    </rPh>
    <phoneticPr fontId="9"/>
  </si>
  <si>
    <t>2-10 NTT栄ビル西館1F</t>
    <phoneticPr fontId="3"/>
  </si>
  <si>
    <t>愛知県</t>
    <phoneticPr fontId="3"/>
  </si>
  <si>
    <t>名古屋市中区</t>
    <phoneticPr fontId="3"/>
  </si>
  <si>
    <t>栄 5-12-13</t>
    <rPh sb="0" eb="1">
      <t>エイ</t>
    </rPh>
    <phoneticPr fontId="3"/>
  </si>
  <si>
    <t>ＮＴＴ中ビル西館1Ｆ</t>
    <phoneticPr fontId="3"/>
  </si>
  <si>
    <t>お届け先
会社・部署名等</t>
    <rPh sb="1" eb="2">
      <t>トド</t>
    </rPh>
    <rPh sb="3" eb="4">
      <t>サキ</t>
    </rPh>
    <rPh sb="5" eb="7">
      <t>カイシャ</t>
    </rPh>
    <rPh sb="8" eb="11">
      <t>ブショメイ</t>
    </rPh>
    <rPh sb="11" eb="12">
      <t>トウ</t>
    </rPh>
    <phoneticPr fontId="9"/>
  </si>
  <si>
    <t>NTT西日本ビジネスフロント（株）</t>
    <phoneticPr fontId="3"/>
  </si>
  <si>
    <t>受取人名</t>
    <rPh sb="0" eb="3">
      <t>ウケトリニン</t>
    </rPh>
    <rPh sb="3" eb="4">
      <t>メイ</t>
    </rPh>
    <phoneticPr fontId="9"/>
  </si>
  <si>
    <t>イシガキ　アキノブ</t>
    <phoneticPr fontId="3"/>
  </si>
  <si>
    <t>NTTBS カスタマーサクセス部</t>
    <phoneticPr fontId="3"/>
  </si>
  <si>
    <t>マネージドオペレーションタントウ</t>
    <phoneticPr fontId="3"/>
  </si>
  <si>
    <t>石垣　晃伸</t>
    <rPh sb="0" eb="2">
      <t>イシガキ</t>
    </rPh>
    <rPh sb="3" eb="4">
      <t>アキラ</t>
    </rPh>
    <rPh sb="4" eb="5">
      <t>ノ</t>
    </rPh>
    <phoneticPr fontId="3"/>
  </si>
  <si>
    <t>マネージドオペレーション担当</t>
    <phoneticPr fontId="3"/>
  </si>
  <si>
    <t>電話番号2</t>
    <rPh sb="0" eb="4">
      <t>デンワバンゴウ</t>
    </rPh>
    <phoneticPr fontId="3"/>
  </si>
  <si>
    <t>387</t>
    <phoneticPr fontId="3"/>
  </si>
  <si>
    <t>6261</t>
    <phoneticPr fontId="3"/>
  </si>
  <si>
    <t>211</t>
    <phoneticPr fontId="3"/>
  </si>
  <si>
    <t>9102</t>
    <phoneticPr fontId="3"/>
  </si>
  <si>
    <t>ご当地フリーWi-Fi</t>
    <rPh sb="1" eb="3">
      <t>トウチ</t>
    </rPh>
    <phoneticPr fontId="3"/>
  </si>
  <si>
    <t>※ご当地フリーWi-FiのSSIDを送波する場合は、「【様式3-2】[ご当地Wi-Fi利用] ご当地Wi-Fi機能申込書」を記載・送付してください</t>
    <rPh sb="28" eb="30">
      <t>ヨウシキ</t>
    </rPh>
    <rPh sb="62" eb="64">
      <t>キサイ</t>
    </rPh>
    <rPh sb="65" eb="67">
      <t>ソウフ</t>
    </rPh>
    <phoneticPr fontId="3"/>
  </si>
  <si>
    <t>■オプション記載欄</t>
    <rPh sb="6" eb="8">
      <t>キサイ</t>
    </rPh>
    <rPh sb="8" eb="9">
      <t>ラン</t>
    </rPh>
    <phoneticPr fontId="3"/>
  </si>
  <si>
    <t>追加オプション</t>
    <rPh sb="0" eb="2">
      <t>ツイカ</t>
    </rPh>
    <phoneticPr fontId="3"/>
  </si>
  <si>
    <t>ＬＡＮ給電オプション(2年タイプ)</t>
    <rPh sb="3" eb="5">
      <t>キュウデン</t>
    </rPh>
    <rPh sb="12" eb="13">
      <t>ネン</t>
    </rPh>
    <phoneticPr fontId="3"/>
  </si>
  <si>
    <t>ＬＡＮ給電オプション（5年タイプ）</t>
    <phoneticPr fontId="3"/>
  </si>
  <si>
    <t>PoE配送希望日</t>
    <rPh sb="3" eb="5">
      <t>ハイソウ</t>
    </rPh>
    <rPh sb="5" eb="8">
      <t>キボウビ</t>
    </rPh>
    <phoneticPr fontId="9"/>
  </si>
  <si>
    <t>■　PoE配送希望日は、申込受領日の翌日から起算し、4営業日以降で記載してください。
　　　　　※北海道、九州へのPoE配送は、＋1営業日必要です。
　　　　　※全県の島嶼部への配送は、＋3営業日必要です。
　　　　　※PoE配送日は、申込日から最大3ヶ月先まで指定可能です。（土日祝は指定できません。）
■　PoE開通希望日は、PoE配送希望日の翌々営業日以降で記載してください。
■　PoE廃止・減少希望日は、申込日の営業日以降で記載してください。遡及はできません。</t>
    <rPh sb="5" eb="7">
      <t>ハイソウ</t>
    </rPh>
    <rPh sb="159" eb="161">
      <t>カイツウ</t>
    </rPh>
    <rPh sb="169" eb="171">
      <t>ハイソウ</t>
    </rPh>
    <phoneticPr fontId="3"/>
  </si>
  <si>
    <t>PoE開通希望日</t>
    <rPh sb="3" eb="5">
      <t>カイツウ</t>
    </rPh>
    <rPh sb="5" eb="7">
      <t>キボウ</t>
    </rPh>
    <phoneticPr fontId="9"/>
  </si>
  <si>
    <t>PoE廃止・
減少希望日</t>
  </si>
  <si>
    <t>訪問修理オプション</t>
    <rPh sb="0" eb="2">
      <t>ホウモン</t>
    </rPh>
    <rPh sb="2" eb="4">
      <t>シュウリ</t>
    </rPh>
    <phoneticPr fontId="3"/>
  </si>
  <si>
    <t>※必ずハイエンドプランの契約台数と同数をお申込ください。</t>
    <phoneticPr fontId="3"/>
  </si>
  <si>
    <t>初期キッティング
オプション</t>
    <rPh sb="0" eb="2">
      <t>ショキ</t>
    </rPh>
    <phoneticPr fontId="3"/>
  </si>
  <si>
    <t>初期キッティングオプション</t>
    <rPh sb="0" eb="2">
      <t>ショキ</t>
    </rPh>
    <phoneticPr fontId="3"/>
  </si>
  <si>
    <t>※固定IP／VLAN／プロキシサーバ設定が必要で且つ、お客様での設定作業なしで対応希望の場合にお申込ください。</t>
    <rPh sb="24" eb="25">
      <t>カ</t>
    </rPh>
    <rPh sb="41" eb="43">
      <t>キボウ</t>
    </rPh>
    <rPh sb="44" eb="46">
      <t>バアイ</t>
    </rPh>
    <phoneticPr fontId="3"/>
  </si>
  <si>
    <t>※ハイエンド６プランをご利用いただく場合は、Meraki LLC社が規定している「エンドカスタマーアグリーメント」に同意いただきます。(https://meraki.cisco.com/support/#policies:eca)</t>
    <phoneticPr fontId="3"/>
  </si>
  <si>
    <t>■任意記載欄</t>
    <rPh sb="1" eb="3">
      <t>ニンイ</t>
    </rPh>
    <rPh sb="3" eb="5">
      <t>キサイ</t>
    </rPh>
    <rPh sb="5" eb="6">
      <t>ラン</t>
    </rPh>
    <phoneticPr fontId="3"/>
  </si>
  <si>
    <t>記事欄</t>
    <rPh sb="0" eb="2">
      <t>キジ</t>
    </rPh>
    <rPh sb="2" eb="3">
      <t>ラン</t>
    </rPh>
    <phoneticPr fontId="3"/>
  </si>
  <si>
    <t>■販売担当者情報</t>
    <rPh sb="1" eb="3">
      <t>ハンバイ</t>
    </rPh>
    <rPh sb="3" eb="6">
      <t>タントウシャ</t>
    </rPh>
    <rPh sb="6" eb="8">
      <t>ジョウホウ</t>
    </rPh>
    <phoneticPr fontId="3"/>
  </si>
  <si>
    <t>会社名</t>
    <rPh sb="0" eb="2">
      <t>カイシャ</t>
    </rPh>
    <rPh sb="2" eb="3">
      <t>メイ</t>
    </rPh>
    <phoneticPr fontId="3"/>
  </si>
  <si>
    <t>NTT西日本ビジネスフロント株式会社</t>
    <phoneticPr fontId="3"/>
  </si>
  <si>
    <t>販売代理店コード</t>
    <rPh sb="0" eb="2">
      <t>ハンバイ</t>
    </rPh>
    <rPh sb="2" eb="5">
      <t>ダイリテン</t>
    </rPh>
    <phoneticPr fontId="3"/>
  </si>
  <si>
    <t>A02007K9</t>
    <phoneticPr fontId="3"/>
  </si>
  <si>
    <t>支店名</t>
    <rPh sb="0" eb="3">
      <t>シテンメイ</t>
    </rPh>
    <phoneticPr fontId="3"/>
  </si>
  <si>
    <t>名古屋支店</t>
    <phoneticPr fontId="3"/>
  </si>
  <si>
    <t>支店所在地</t>
    <rPh sb="0" eb="2">
      <t>シテン</t>
    </rPh>
    <rPh sb="2" eb="5">
      <t>ショザイチ</t>
    </rPh>
    <phoneticPr fontId="3"/>
  </si>
  <si>
    <t>名古屋市中区新栄町2-10 NTT栄ビル西館1F</t>
    <phoneticPr fontId="3"/>
  </si>
  <si>
    <t>部・部門・担当名</t>
    <rPh sb="0" eb="1">
      <t>ブ</t>
    </rPh>
    <rPh sb="2" eb="4">
      <t>ブモン</t>
    </rPh>
    <rPh sb="5" eb="7">
      <t>タントウ</t>
    </rPh>
    <rPh sb="7" eb="8">
      <t>メイ</t>
    </rPh>
    <phoneticPr fontId="3"/>
  </si>
  <si>
    <t>名古屋中央営業所</t>
    <phoneticPr fontId="3"/>
  </si>
  <si>
    <t>販売担当者名</t>
    <rPh sb="0" eb="2">
      <t>ハンバイ</t>
    </rPh>
    <rPh sb="2" eb="5">
      <t>タントウシャ</t>
    </rPh>
    <rPh sb="5" eb="6">
      <t>メイ</t>
    </rPh>
    <phoneticPr fontId="3"/>
  </si>
  <si>
    <t>石垣　晃伸</t>
    <phoneticPr fontId="3"/>
  </si>
  <si>
    <t>販売担当者社員コード</t>
    <rPh sb="0" eb="2">
      <t>ハンバイ</t>
    </rPh>
    <rPh sb="2" eb="5">
      <t>タントウシャ</t>
    </rPh>
    <rPh sb="5" eb="7">
      <t>シャイン</t>
    </rPh>
    <phoneticPr fontId="3"/>
  </si>
  <si>
    <t>販売担当者電話番号</t>
    <phoneticPr fontId="3"/>
  </si>
  <si>
    <t>052-387-6261</t>
    <phoneticPr fontId="3"/>
  </si>
  <si>
    <t>販売チャネルコード</t>
    <rPh sb="0" eb="2">
      <t>ハンバイ</t>
    </rPh>
    <phoneticPr fontId="3"/>
  </si>
  <si>
    <t>I</t>
    <phoneticPr fontId="3"/>
  </si>
  <si>
    <t>販売担当者メールアドレス</t>
    <rPh sb="0" eb="2">
      <t>ハンバイ</t>
    </rPh>
    <rPh sb="2" eb="5">
      <t>タントウシャ</t>
    </rPh>
    <phoneticPr fontId="3"/>
  </si>
  <si>
    <t>akinobu.ishigaki.ca@west.ntt.co.jp</t>
    <phoneticPr fontId="3"/>
  </si>
  <si>
    <t>LAN給電オプション解約金（別シート使用：解約金計算ツール）</t>
    <rPh sb="3" eb="5">
      <t>キュウデン</t>
    </rPh>
    <rPh sb="10" eb="12">
      <t>カイヤク</t>
    </rPh>
    <rPh sb="12" eb="13">
      <t>キン</t>
    </rPh>
    <rPh sb="14" eb="15">
      <t>ベツ</t>
    </rPh>
    <rPh sb="18" eb="20">
      <t>シヨウ</t>
    </rPh>
    <phoneticPr fontId="3"/>
  </si>
  <si>
    <t>円（税込）</t>
    <rPh sb="0" eb="1">
      <t>エン</t>
    </rPh>
    <rPh sb="2" eb="4">
      <t>ゼイコ</t>
    </rPh>
    <phoneticPr fontId="3"/>
  </si>
  <si>
    <t>※別途APの解約金が発生する場合があります</t>
    <phoneticPr fontId="3"/>
  </si>
  <si>
    <t>スマート光ビジネスWi-Fiハイエンドプラン（お買い上げ型）　申込書</t>
    <rPh sb="4" eb="5">
      <t>ヒカリ</t>
    </rPh>
    <rPh sb="24" eb="25">
      <t>カ</t>
    </rPh>
    <rPh sb="26" eb="27">
      <t>ア</t>
    </rPh>
    <rPh sb="28" eb="29">
      <t>ガタ</t>
    </rPh>
    <rPh sb="31" eb="34">
      <t>モウシコミショ</t>
    </rPh>
    <phoneticPr fontId="9"/>
  </si>
  <si>
    <t>私は「スマート光ビジネスWi-Fi利用規約（http://flets-w.com/solution/wi-fi_service/）」「重要事項説明書」「ライセンス使用許諾書」を確認・承諾のうえ、サービス契約（新規、変更、解約）を申し込みます。</t>
    <phoneticPr fontId="3"/>
  </si>
  <si>
    <t>※一つの申込書で月額支払い型、お買い上げ型の両方を同時に申込は出来ません</t>
    <rPh sb="22" eb="24">
      <t>リョウホウ</t>
    </rPh>
    <rPh sb="25" eb="27">
      <t>ドウジ</t>
    </rPh>
    <phoneticPr fontId="3"/>
  </si>
  <si>
    <t>※お買い上げ型のハイエンドプランの対応機器はハイエンド6プランと同じです</t>
    <phoneticPr fontId="3"/>
  </si>
  <si>
    <t>※ご当地フリーWi-FiのSSIDを送波する場合は、「【様式3-2】[ご当地Wi-Fi利用]JapanWiFi任意SSID・ブラウザ認証申込書」を記載・送付してください</t>
    <rPh sb="28" eb="30">
      <t>ヨウシキ</t>
    </rPh>
    <rPh sb="73" eb="75">
      <t>キサイ</t>
    </rPh>
    <rPh sb="76" eb="78">
      <t>ソウフ</t>
    </rPh>
    <phoneticPr fontId="3"/>
  </si>
  <si>
    <t>※ハイエンドプランをご利用いただく場合は、Meraki LLC社が規定している「エンドカスタマーアグリーメント」に同意いただきます。(https://meraki.cisco.com/support/#policies:eca)</t>
    <phoneticPr fontId="3"/>
  </si>
  <si>
    <r>
      <t xml:space="preserve">スマート光ビジネスWi-Fi ハイエンドプラン </t>
    </r>
    <r>
      <rPr>
        <sz val="12"/>
        <color rgb="FFFF0000"/>
        <rFont val="HGP創英角ｺﾞｼｯｸUB"/>
        <family val="3"/>
        <charset val="128"/>
      </rPr>
      <t>MR46</t>
    </r>
    <r>
      <rPr>
        <sz val="12"/>
        <rFont val="HGP創英角ｺﾞｼｯｸUB"/>
        <family val="3"/>
        <charset val="128"/>
      </rPr>
      <t xml:space="preserve"> クラウドライセンス付 重要事項説明書</t>
    </r>
    <rPh sb="40" eb="42">
      <t>ジュウヨウ</t>
    </rPh>
    <rPh sb="42" eb="44">
      <t>ジコウ</t>
    </rPh>
    <rPh sb="44" eb="47">
      <t>セツメイショ</t>
    </rPh>
    <phoneticPr fontId="9"/>
  </si>
  <si>
    <r>
      <t xml:space="preserve">スマート光ビジネスWi-Fi ハイエンドプラン </t>
    </r>
    <r>
      <rPr>
        <sz val="10"/>
        <color rgb="FFFF0000"/>
        <rFont val="HGP創英角ｺﾞｼｯｸUB"/>
        <family val="3"/>
        <charset val="128"/>
      </rPr>
      <t>MR46</t>
    </r>
    <r>
      <rPr>
        <sz val="10"/>
        <color theme="1"/>
        <rFont val="HGP創英角ｺﾞｼｯｸUB"/>
        <family val="3"/>
        <charset val="128"/>
      </rPr>
      <t>　クラウドライセンス付（以下、本サービスとします）のご利用にあたっては、この「重要事項説明書」の内容を十分にご理解の上お申し込みください。</t>
    </r>
    <rPh sb="40" eb="42">
      <t>イカ</t>
    </rPh>
    <rPh sb="43" eb="44">
      <t>ホン</t>
    </rPh>
    <rPh sb="55" eb="57">
      <t>リヨウ</t>
    </rPh>
    <rPh sb="67" eb="69">
      <t>ジュウヨウ</t>
    </rPh>
    <rPh sb="69" eb="71">
      <t>ジコウ</t>
    </rPh>
    <rPh sb="71" eb="74">
      <t>セツメイショ</t>
    </rPh>
    <rPh sb="76" eb="78">
      <t>ナイヨウ</t>
    </rPh>
    <rPh sb="79" eb="81">
      <t>ジュウブン</t>
    </rPh>
    <rPh sb="83" eb="85">
      <t>リカイ</t>
    </rPh>
    <rPh sb="86" eb="87">
      <t>ウエ</t>
    </rPh>
    <rPh sb="88" eb="89">
      <t>モウ</t>
    </rPh>
    <rPh sb="90" eb="91">
      <t>コ</t>
    </rPh>
    <phoneticPr fontId="9"/>
  </si>
  <si>
    <t>■利用規約</t>
    <rPh sb="1" eb="3">
      <t>リヨウ</t>
    </rPh>
    <rPh sb="3" eb="5">
      <t>キヤク</t>
    </rPh>
    <phoneticPr fontId="3"/>
  </si>
  <si>
    <r>
      <t>1．本サービスは「スマート光ビジネスWi-Fi ハイエンドプラン</t>
    </r>
    <r>
      <rPr>
        <b/>
        <sz val="10"/>
        <color rgb="FF00CC00"/>
        <rFont val="HGP創英角ｺﾞｼｯｸUB"/>
        <family val="3"/>
        <charset val="128"/>
      </rPr>
      <t xml:space="preserve"> </t>
    </r>
    <r>
      <rPr>
        <sz val="10"/>
        <color theme="1"/>
        <rFont val="HGP創英角ｺﾞｼｯｸUB"/>
        <family val="3"/>
        <charset val="128"/>
      </rPr>
      <t>利用規約」に基づいて提供します。
2．西日本電信電話株式会社（以下「当社」）は、利用規約、仕様書を契約者の承諾を得ることなく変更又は廃止することがあります。この場合には、料金その他の提供条件は、変更後の規約によります。なお、当社は、本規約を変更又は廃止する場合は、当社が適切と判断する方法により、契約者に事前に通知を行うこととします。</t>
    </r>
    <rPh sb="2" eb="3">
      <t>ホン</t>
    </rPh>
    <rPh sb="13" eb="14">
      <t>ヒカリ</t>
    </rPh>
    <rPh sb="33" eb="35">
      <t>リヨウ</t>
    </rPh>
    <rPh sb="35" eb="37">
      <t>キヤク</t>
    </rPh>
    <rPh sb="39" eb="40">
      <t>モト</t>
    </rPh>
    <rPh sb="43" eb="45">
      <t>テイキョウ</t>
    </rPh>
    <rPh sb="82" eb="84">
      <t>ケイヤク</t>
    </rPh>
    <rPh sb="84" eb="85">
      <t>シャ</t>
    </rPh>
    <rPh sb="86" eb="88">
      <t>ショウダク</t>
    </rPh>
    <rPh sb="89" eb="90">
      <t>エ</t>
    </rPh>
    <rPh sb="95" eb="97">
      <t>ヘンコウ</t>
    </rPh>
    <rPh sb="97" eb="98">
      <t>マタ</t>
    </rPh>
    <rPh sb="99" eb="101">
      <t>ハイシ</t>
    </rPh>
    <phoneticPr fontId="3"/>
  </si>
  <si>
    <t>■免責事項</t>
    <rPh sb="1" eb="5">
      <t>メンセキジコウ</t>
    </rPh>
    <phoneticPr fontId="3"/>
  </si>
  <si>
    <r>
      <t xml:space="preserve">1．本サービスは以下の事項を保証するものではありません。
（1）当社は、契約者からの問合せを遅滞無く受け付けることを保証するものではありません。
（2）当社は、本サービスの提供をもって、契約者の問題・課題等の特定、解決方法の策定、解決又は解決方法の説明を保証するものではありません。
（3）クラウドの使用を当社に対して許可する者が提供する正規サポートを代行するサービスではありません。問合せの内容によっては、問合せの対象となる機器、ソフトウェア、サービス等をそれぞれ提供するメーカー、ソフトウェアハウス、サービス提供事業者のホームページを紹介することや、それぞれに対して契約者自身で直接問合せすることを依頼するに留まる場合があります。
（4）当社は、オペレータの説明に基づいて契約者が実施した作業、及び実施内容について保証するものではありません。
（5）当社は、オペレータの説明に基づいて契約者が実施した作業に伴い生じる契約者の被害について、一切の責任は負いません。
（6）契約者が本サービスの利用により第三者（他の契約者を含みます。）に対し損害を与えた場合、契約者は、自己の責任でこれを解決し、当社にいかなる責任も負担させないものとします。
（7）当社は、第24条（利用中止）、第25条（利用停止）、第26条（利用の制限）、第27条（本サービス提供の終了）の規定により本サービスの利用中止、利用停止、利用の制限並びに本サービス提供の終了に伴い生じる契約者の被害について、一切の責任は負いません。
（8）サイバーテロ、自然災害、第三者による妨害等、不測の事態を原因として発生した被害については、本規約の規定外の事故であることから、本サービスの提供が困難な不可抗力とみなし、当社は一切責任を負いません。（サイバーテロとは、コンピュータ・ネットワークを通じて各国の国防、治安等を始めとする各種分野のコンピュータ・システムに侵入し、データを破壊、改ざんするなどの手段で国家又は社会の重要な基盤を機能不全に陥れるテロ行為をいいます。）
</t>
    </r>
    <r>
      <rPr>
        <sz val="10"/>
        <rFont val="HGP創英角ｺﾞｼｯｸUB"/>
        <family val="3"/>
        <charset val="128"/>
      </rPr>
      <t>（</t>
    </r>
    <r>
      <rPr>
        <sz val="10"/>
        <color theme="1"/>
        <rFont val="HGP創英角ｺﾞｼｯｸUB"/>
        <family val="3"/>
        <charset val="128"/>
      </rPr>
      <t>9</t>
    </r>
    <r>
      <rPr>
        <sz val="10"/>
        <rFont val="HGP創英角ｺﾞｼｯｸUB"/>
        <family val="3"/>
        <charset val="128"/>
      </rPr>
      <t>）当社は、業務の遂行上やむを得ない理由があるときは受付専用番号を変更することがあります。この場合、当社は</t>
    </r>
    <r>
      <rPr>
        <sz val="10"/>
        <color theme="1"/>
        <rFont val="HGP創英角ｺﾞｼｯｸUB"/>
        <family val="3"/>
        <charset val="128"/>
      </rPr>
      <t>、あらかじめそのことを契約者に通知します。9 当社は、業務の遂行上やむを得ない理由があるときは受付専用番号を変更することがあります。この場合、当社は、あらかじめそのことを契約者に通知します。
（10）サポートに関して、契約者の企業名、住所、連絡先電話番号等で契約者であることを特定した後、当社が提供するAP又はライセンス付APに係る設定の追加、修正、解除等を依頼された場合は、契約者からの依頼であるとみなし、当社は設定の追加、修正、解除等に伴い生じる契約者の被害について、一切の責任は負いません。</t>
    </r>
    <rPh sb="227" eb="228">
      <t>トウ</t>
    </rPh>
    <phoneticPr fontId="3"/>
  </si>
  <si>
    <t>■契約者の氏名等の変更の届出</t>
    <rPh sb="1" eb="3">
      <t>ケイヤク</t>
    </rPh>
    <rPh sb="3" eb="4">
      <t>シャ</t>
    </rPh>
    <rPh sb="5" eb="7">
      <t>シメイ</t>
    </rPh>
    <rPh sb="7" eb="8">
      <t>トウ</t>
    </rPh>
    <rPh sb="9" eb="11">
      <t>ヘンコウ</t>
    </rPh>
    <rPh sb="12" eb="14">
      <t>トドケデ</t>
    </rPh>
    <phoneticPr fontId="3"/>
  </si>
  <si>
    <r>
      <t>1．契約者は、第7条（契約申込の方法）で規定する事項に変更があったときは、そのことを速やかに当社に届け出ていただきます。
2．前項に定める変更があったにもかかわらず当社に届出がないときは、当社に届出を受けている氏名、名称、住所若しくは居所又は請求書送付先への郵送等の通知をもって、当社からの通知を行ったものとみなします。
3．第1項の届出があったときは、当社は、その届出があった事実を証明する書類を提示していただくことがあります。
（注）本項の規定にかかわらずフレッツ光ネクストサービス</t>
    </r>
    <r>
      <rPr>
        <sz val="10"/>
        <color rgb="FFFF0000"/>
        <rFont val="HGP創英角ｺﾞｼｯｸUB"/>
        <family val="3"/>
        <charset val="128"/>
      </rPr>
      <t>、またはフレッツ光クロスサービス</t>
    </r>
    <r>
      <rPr>
        <sz val="10"/>
        <color theme="1"/>
        <rFont val="HGP創英角ｺﾞｼｯｸUB"/>
        <family val="3"/>
        <charset val="128"/>
      </rPr>
      <t>が光コラボレーションモデルに関する契約に基づき提供されるものである場合は、当社が別に定める方法とします。</t>
    </r>
    <rPh sb="7" eb="8">
      <t>ダイ</t>
    </rPh>
    <rPh sb="9" eb="10">
      <t>ジョウ</t>
    </rPh>
    <rPh sb="11" eb="13">
      <t>ケイヤク</t>
    </rPh>
    <rPh sb="13" eb="15">
      <t>モウシコミ</t>
    </rPh>
    <rPh sb="16" eb="18">
      <t>ホウホウ</t>
    </rPh>
    <rPh sb="20" eb="22">
      <t>キテイ</t>
    </rPh>
    <rPh sb="24" eb="26">
      <t>ジコウ</t>
    </rPh>
    <rPh sb="46" eb="48">
      <t>トウシャ</t>
    </rPh>
    <rPh sb="82" eb="84">
      <t>トウシャ</t>
    </rPh>
    <rPh sb="251" eb="252">
      <t>ヒカリ</t>
    </rPh>
    <phoneticPr fontId="3"/>
  </si>
  <si>
    <t>■利用に係る契約者の義務</t>
    <rPh sb="1" eb="3">
      <t>リヨウ</t>
    </rPh>
    <rPh sb="4" eb="5">
      <t>カカワ</t>
    </rPh>
    <rPh sb="6" eb="8">
      <t>ケイヤク</t>
    </rPh>
    <rPh sb="8" eb="9">
      <t>シャ</t>
    </rPh>
    <rPh sb="10" eb="12">
      <t>ギム</t>
    </rPh>
    <phoneticPr fontId="3"/>
  </si>
  <si>
    <r>
      <t>1 契約者は、本サービスの利用を要請するにあたり、次の各号に定める条件を満たしていただきます。ただし、契約者が次の条件を満たしている場合であっても、契約者のご利用状況によっては本サービスが提供できない場合があります。
(1) フレッツ 光ネクスト/</t>
    </r>
    <r>
      <rPr>
        <sz val="10"/>
        <color rgb="FFFF0000"/>
        <rFont val="HGP創英角ｺﾞｼｯｸUB"/>
        <family val="3"/>
        <charset val="128"/>
      </rPr>
      <t>クロス</t>
    </r>
    <r>
      <rPr>
        <sz val="10"/>
        <color theme="1"/>
        <rFont val="HGP創英角ｺﾞｼｯｸUB"/>
        <family val="3"/>
        <charset val="128"/>
      </rPr>
      <t xml:space="preserve">/ライトを1回線以上契約していること。
(2) 当社が提供するAPがインターネットに接続できる環境であること。
(3) 契約者自身による本サービスの利用の要請であること。
2 前項の規定のほか、契約者は次のことを守って頂きます。
(1) 当社又は第三者の財産権（知的財産権を含みます。）、プライバシー、名誉、その他の権利を侵害しないこと。
(2) 本サービスを違法な目的で利用しないこと。
(3) 本サービスによりアクセス可能な当社又は第三者の情報を改ざん、消去する行為をしないこと。
(4) 第三者になりすまして本サービスを利用する行為をしないこと。
(5) 意図的に有害なコンピュータプログラム等を送信しないこと。
(6) 当社の設備に無権限でアクセスし、又はその利用若しくは運営に支障を与える行為をしないこと。
(7) 本人の同意を得ることなく、又は詐欺的な手段により第三者の個人情報を収集する行為をしないこと。
(8) 本サービス及びその他当社の事業の運営に支障をきたすおそれのある行為をしないこと。
(9) 法令、本規約若しくは公序良俗に反する行為、当社若しくは第三者の信用を毀損する行為、又は当社若しくは第三者に不利益を与える行為をしないこと。
</t>
    </r>
    <r>
      <rPr>
        <sz val="10"/>
        <rFont val="HGP創英角ｺﾞｼｯｸUB"/>
        <family val="3"/>
        <charset val="128"/>
      </rPr>
      <t>(10) 本サービスに利用するパスワード（暗号キー）、ID、パスワードおよび専用受付番号等の適正な管理に努めること。また不正アクセスが発生しないよう自社設備の保全に努めること。
(11) 当社が提供するAPを第三者に譲渡し、転貸し、自己若しくは第三者のための担保として提供し又は使用させないこと。
(12) 当社が提供するAPを善良な管理者の注意をもって使用及び保管すること。
(13) 当社が提供するAPに故障、滅失又は毀損等が生じたときは、直ちに、その旨を当社に通知し、当社の指示に従うこと。
(14) 万が一不正なアクセス等による事案が発生した場合には捜査機関からの依頼に基づき適切な対応を行うこと。
(15) その他前各号に該当する恐れのある行為又はこれに類する行為を行わないこと。
3 契約者は、前項の規定に違反して当社の設備をき損したときには、当社が指定する期日までにその修繕その他の工事等に必要な費用を支払って頂きます。</t>
    </r>
    <rPh sb="716" eb="718">
      <t>フセイ</t>
    </rPh>
    <rPh sb="723" eb="725">
      <t>ハッセイ</t>
    </rPh>
    <rPh sb="730" eb="732">
      <t>ジシャ</t>
    </rPh>
    <rPh sb="732" eb="734">
      <t>セツビ</t>
    </rPh>
    <rPh sb="735" eb="737">
      <t>ホゼン</t>
    </rPh>
    <rPh sb="738" eb="739">
      <t>ツト</t>
    </rPh>
    <rPh sb="910" eb="911">
      <t>マン</t>
    </rPh>
    <rPh sb="912" eb="913">
      <t>イチ</t>
    </rPh>
    <rPh sb="913" eb="915">
      <t>フセイ</t>
    </rPh>
    <rPh sb="920" eb="921">
      <t>ナド</t>
    </rPh>
    <rPh sb="924" eb="926">
      <t>ジアン</t>
    </rPh>
    <rPh sb="927" eb="929">
      <t>ハッセイ</t>
    </rPh>
    <rPh sb="931" eb="933">
      <t>バアイ</t>
    </rPh>
    <rPh sb="935" eb="937">
      <t>ソウサ</t>
    </rPh>
    <rPh sb="937" eb="939">
      <t>キカン</t>
    </rPh>
    <rPh sb="942" eb="944">
      <t>イライ</t>
    </rPh>
    <rPh sb="945" eb="946">
      <t>モト</t>
    </rPh>
    <rPh sb="948" eb="950">
      <t>テキセツ</t>
    </rPh>
    <rPh sb="951" eb="953">
      <t>タイオウ</t>
    </rPh>
    <rPh sb="954" eb="955">
      <t>オコナ</t>
    </rPh>
    <phoneticPr fontId="3"/>
  </si>
  <si>
    <t>■利用中止</t>
    <rPh sb="1" eb="3">
      <t>リヨウ</t>
    </rPh>
    <rPh sb="3" eb="5">
      <t>チュウシ</t>
    </rPh>
    <phoneticPr fontId="3"/>
  </si>
  <si>
    <t>1 当社は、次の場合には、本サービスの利用を中止することがあります。
(1) 当社の電気通信設備の保守上、工事上、その他やむを得ない事由が乗じたとき。
(2) 第26条（利用の制限）の規定により、本サービスの提供を制限するとき。
(3) その他、当社が本サービスの運用を中止することが望ましいと判断したとき。
２ 当社は、前項の規定により本サービスの利用を中止するときは、当社が指定するホームページ等により、その旨周知を行います。ただし、緊急やむを得ない場合は、この限りではありません。</t>
    <phoneticPr fontId="3"/>
  </si>
  <si>
    <t>■契約者による解約</t>
    <rPh sb="1" eb="3">
      <t>ケイヤク</t>
    </rPh>
    <rPh sb="3" eb="4">
      <t>シャ</t>
    </rPh>
    <rPh sb="7" eb="9">
      <t>カイヤク</t>
    </rPh>
    <phoneticPr fontId="3"/>
  </si>
  <si>
    <t>1 契約者は、本契約を解約しようとするときは、そのことをあらかじめ当社に対し当社所定の方法により申し出て頂きます。
2 当社は、前項の規定により申し出て頂いた解約希望日をもって本サービスの解約日とします。ただし、契約者が申し出る解約希望日が、当社が申出内容の確認完了する日の前日までの日付となる場合には、確認完了する日を解約日とします。</t>
    <rPh sb="33" eb="35">
      <t>トウシャ</t>
    </rPh>
    <rPh sb="36" eb="37">
      <t>タイ</t>
    </rPh>
    <phoneticPr fontId="3"/>
  </si>
  <si>
    <t>■料金等の支払</t>
    <rPh sb="1" eb="3">
      <t>リョウキン</t>
    </rPh>
    <rPh sb="3" eb="4">
      <t>トウ</t>
    </rPh>
    <rPh sb="5" eb="7">
      <t>シハライ</t>
    </rPh>
    <phoneticPr fontId="3"/>
  </si>
  <si>
    <t>1 契約者は、料金について、当社が定める期日までに、当社が指定する本サービス取扱所又は金融機関等において支払って頂きます。
2 契約者は、料金について支払期日の到来する順序に従って支払って頂きます。</t>
    <phoneticPr fontId="3"/>
  </si>
  <si>
    <t>■責任の制限</t>
    <rPh sb="1" eb="3">
      <t>セキニン</t>
    </rPh>
    <rPh sb="4" eb="6">
      <t>セイゲン</t>
    </rPh>
    <phoneticPr fontId="3"/>
  </si>
  <si>
    <t>1 当社は、本サービスを提供すべき場合において、当社の責めに帰すべき理由によりその提供をしなかったときは、本サービスが全く利用できない状態にあることを当社が知った時から起算して、24時間以上その状態が連続したときに限り、その契約者の損害を次項に定める範囲内で賠償します。（AP、クラウドのいずれかが利用できる状態の場合、賠償しません。）また、当社は、本サービスの提供により契約者に損害が生じた場合、当該損害発生の直接の原因である本サービスに係る料金を上限として、契約者に損害賠償責任を負うものとします。また、以下の各号に該当する損害については、当社は一切責任を負いません。
(1) 契約者が本サービスの利用により第三者に対して与えた損害。
(2) 当社の責に帰することのできない事由から生じた損害。
(3) 当社の予見の有無を問わず特別の事情から生じた損害。
(4) 逸失利益及び第三者からの損害賠償請求に基づいて発生した契約者の損害。
2 前項の場合において、当社は、本サービスが全く利用できない状態にあることを当社が知った時以後の利用できなかった時間（24時間の倍数である部分に限ります。）について24時間ごとに日数を計算し、その日数に対応するその本サービスの利用料金を発生した損害とみなし、その額に限って賠償します。
3 当社の故意又は重大な過失により本サービスの提供をしなかったときには、前2項の規定は適用しません。</t>
    <phoneticPr fontId="3"/>
  </si>
  <si>
    <t>個人情報及び特定個人情報等保護方針</t>
    <rPh sb="0" eb="2">
      <t>コジン</t>
    </rPh>
    <rPh sb="2" eb="4">
      <t>ジョウホウ</t>
    </rPh>
    <rPh sb="13" eb="15">
      <t>ホゴ</t>
    </rPh>
    <rPh sb="15" eb="17">
      <t>ホウシン</t>
    </rPh>
    <phoneticPr fontId="9"/>
  </si>
  <si>
    <t>西日本電信電話株式会社(以下「当社」といいます。)は、個人情報及び特定個人情報等保護に対する社会的要請を十分に認識し、個人情報及び特定個人情報等の適正な取扱いを推進していくことが、公共性を有する電気通信事業者としての重大な社会的責務と考えております。
当社は、このような責務を十分果たしていくとともに、安心・安全なサービスを提供し、皆様に信頼される企業であり続けるため、「NTTグループ情報セキュリティポリシー」及び以下の基本的な方針に従い、全社を挙げて個人情報及び特定個人情報等の保護に努めてまいります。
(1) 当社は、個人情報及び特定個人情報等の保護に関連する法令等の規定に従って個人情報及び特定個人情報等の適正な取扱いを行っていくなど、コンプライアンス（法令遵守）の徹底に努めてまいります。 
(2) 当社は、個人情報及び特定個人情報等の利用目的を明確に定めるとともに、その利用目的の達成に必要な範囲内で適正に個人情報及び特定個人情報等を取り扱います。
また、個人情報及び特定個人情報等を正確かつ最新の内容に保つよう努めます。
(3) 当社は、個人情報及び特定個人情報等の適正な管理のため、個人情報及び特定個人情報等保護を推進する委員会を置くとともに各組織に個人情報保護に関する責任者及び特定個人情報等保護に関する責任者並びに事務取扱担当者を配置する等の責任体制を整備します。
(4) 当社は、個人情報及び特定個人情報等を取り扱う業務に従事する者に対して必要な教育研修等を実施するとともに適切な監督を行います。
また、個人情報及び特定個人情報等の取扱いを外部に委託する場合には、守秘義務契約の締結等により委託先においても適正に取り扱われるよう管理、監督します。
(5) 当社は、個人情報及び特定個人情報等の安全性の確保のため、各種の基準・ガイドライン等を参照しつつ、必要な安全管理措置を講じます。
(6) 当社は、当社における個人情報及び特定個人情報等の取扱いに関するお客さまからのご意見・ご相談等に対して適切に対応します。
(7) 当社は、個人情報及び特定個人情報等の保護の一層の推進のため、管理体制、安全管理措置その他必要な措置の継続的な改善に努めます。
なお、当社は、個人情報のみならず、法人その他の団体のお客さまに関する情報についても等しく厳格に保護していくことが重要であるものと認識しております。
当社は、これらの情報についても個人情報と同様に適正に取り扱ってまいります。
個人情報保護方針に関する全文については以下のURLにてご確認ください。
　https://www.ntt-west.co.jp/share/privacy.html</t>
    <rPh sb="15" eb="17">
      <t>トウシャ</t>
    </rPh>
    <rPh sb="126" eb="128">
      <t>トウシャ</t>
    </rPh>
    <rPh sb="259" eb="261">
      <t>トウシャ</t>
    </rPh>
    <rPh sb="356" eb="358">
      <t>トウシャ</t>
    </rPh>
    <rPh sb="473" eb="475">
      <t>トウシャ</t>
    </rPh>
    <rPh sb="598" eb="600">
      <t>トウシャ</t>
    </rPh>
    <rPh sb="740" eb="742">
      <t>トウシャ</t>
    </rPh>
    <rPh sb="808" eb="810">
      <t>トウシャ</t>
    </rPh>
    <rPh sb="812" eb="814">
      <t>トウシャ</t>
    </rPh>
    <rPh sb="872" eb="874">
      <t>トウシャ</t>
    </rPh>
    <rPh sb="938" eb="940">
      <t>トウシャ</t>
    </rPh>
    <rPh sb="1009" eb="1011">
      <t>トウシャ</t>
    </rPh>
    <rPh sb="1048" eb="1050">
      <t>コジン</t>
    </rPh>
    <rPh sb="1050" eb="1052">
      <t>ジョウホウ</t>
    </rPh>
    <rPh sb="1052" eb="1054">
      <t>ホゴ</t>
    </rPh>
    <rPh sb="1054" eb="1056">
      <t>ホウシン</t>
    </rPh>
    <rPh sb="1057" eb="1058">
      <t>カン</t>
    </rPh>
    <rPh sb="1060" eb="1062">
      <t>ゼンブン</t>
    </rPh>
    <rPh sb="1067" eb="1069">
      <t>イカ</t>
    </rPh>
    <rPh sb="1076" eb="1078">
      <t>カクニン</t>
    </rPh>
    <phoneticPr fontId="3"/>
  </si>
  <si>
    <t>ライセンス使用許諾書</t>
    <rPh sb="5" eb="7">
      <t>シヨウ</t>
    </rPh>
    <rPh sb="7" eb="9">
      <t>キョダク</t>
    </rPh>
    <rPh sb="9" eb="10">
      <t>ショ</t>
    </rPh>
    <phoneticPr fontId="9"/>
  </si>
  <si>
    <r>
      <t xml:space="preserve">スマート光ビジネスWi-Fi ハイエンドプラン </t>
    </r>
    <r>
      <rPr>
        <sz val="10"/>
        <color rgb="FFFF0000"/>
        <rFont val="HGP創英角ｺﾞｼｯｸUB"/>
        <family val="3"/>
        <charset val="128"/>
      </rPr>
      <t>MR46</t>
    </r>
    <r>
      <rPr>
        <sz val="10"/>
        <color theme="1"/>
        <rFont val="HGP創英角ｺﾞｼｯｸUB"/>
        <family val="3"/>
        <charset val="128"/>
      </rPr>
      <t xml:space="preserve"> クラウドライセンス付(以下、「本製品」という)をご利用頂く前に、以下の使用許諾契約書に同意頂く必要があります。必ず最後までお読み頂き、内容をご確認の上、下記の契約に同意いただける場合のみお申し込みください。
 本契約は、西日本電信電話株式会社(以下、「当社」という)がお客さまに本製品を利用して頂くにあたり、その条件を記載したものです。 
また、本契約はお客さまと当社との間の契約となりますのでご利用前に必ずお読みください。 
お客さまが本製品を使用開始したときに、お客さまは本契約の締結を承諾したものとみなされます。
本契約のいずれかの条項が非合法、もしくは無効である時、あるいは何らかの理由により施行不可能である場合、その条項は本契約書から切り離されているとみなします。またこれらが本契約上のその他条項の合法性および有効性に影響を及ぼすことはありません。 </t>
    </r>
    <rPh sb="54" eb="56">
      <t>リヨウ</t>
    </rPh>
    <rPh sb="118" eb="120">
      <t>バアイ</t>
    </rPh>
    <rPh sb="155" eb="157">
      <t>トウシャ</t>
    </rPh>
    <rPh sb="211" eb="213">
      <t>トウシャ</t>
    </rPh>
    <rPh sb="248" eb="249">
      <t>ホン</t>
    </rPh>
    <rPh sb="249" eb="251">
      <t>セイヒン</t>
    </rPh>
    <rPh sb="254" eb="256">
      <t>カイシ</t>
    </rPh>
    <phoneticPr fontId="3"/>
  </si>
  <si>
    <t>第1条　ライセンス期間</t>
    <rPh sb="0" eb="1">
      <t>ダイ</t>
    </rPh>
    <rPh sb="2" eb="3">
      <t>ジョウ</t>
    </rPh>
    <rPh sb="9" eb="11">
      <t>キカン</t>
    </rPh>
    <phoneticPr fontId="3"/>
  </si>
  <si>
    <r>
      <t>1．お客さまが本契約に同意し、本製品設置後、本製品の使用権は有効になるものとします。 
2．当社は、お客さまが本契約のいずれかの条項に違反されたときは、いつでも本製品の使用権を終了させることができます。 
3．本製品の使用権の更新については</t>
    </r>
    <r>
      <rPr>
        <sz val="10"/>
        <rFont val="HGP創英角ｺﾞｼｯｸUB"/>
        <family val="3"/>
        <charset val="128"/>
      </rPr>
      <t>、「スマート光ビジネスWi-Fi ハイエンドプラン 利用規約」に定める金額をお支払いい</t>
    </r>
    <r>
      <rPr>
        <sz val="10"/>
        <color theme="1"/>
        <rFont val="HGP創英角ｺﾞｼｯｸUB"/>
        <family val="3"/>
        <charset val="128"/>
      </rPr>
      <t>ただくことで可能とします。
4．本製品の使用権が終了した場合には、本契約にもとづくお客さまのその他の権利も同時に終了するものとします。</t>
    </r>
    <rPh sb="18" eb="20">
      <t>セッチ</t>
    </rPh>
    <rPh sb="20" eb="21">
      <t>ゴ</t>
    </rPh>
    <rPh sb="46" eb="48">
      <t>トウシャ</t>
    </rPh>
    <rPh sb="109" eb="112">
      <t>シヨウケン</t>
    </rPh>
    <rPh sb="113" eb="115">
      <t>コウシン</t>
    </rPh>
    <rPh sb="146" eb="148">
      <t>リヨウ</t>
    </rPh>
    <rPh sb="148" eb="150">
      <t>キヤク</t>
    </rPh>
    <rPh sb="152" eb="153">
      <t>サダ</t>
    </rPh>
    <rPh sb="155" eb="157">
      <t>キンガク</t>
    </rPh>
    <rPh sb="159" eb="161">
      <t>シハライ</t>
    </rPh>
    <rPh sb="169" eb="171">
      <t>カノウ</t>
    </rPh>
    <phoneticPr fontId="3"/>
  </si>
  <si>
    <t>第２条　権利の許諾</t>
    <phoneticPr fontId="3"/>
  </si>
  <si>
    <r>
      <t>1．お客さまは、当社により提供される本製品に申し込み、本製品の利用を目的として、ライセンス付無線アクセスポイント装置に使用される本製品を使用することができます。
2．当社が次のいずれかに該当すると判断した場合、本製品の使用を承諾しないことがあります。
　(1）本製品を提供することが技術上著しく困難なとき。
　(2）申込者が実在しないとき又はその恐れがあるとき。
　(3）フレッツ　光ネクスト/</t>
    </r>
    <r>
      <rPr>
        <sz val="10"/>
        <color rgb="FFFF0000"/>
        <rFont val="HGP創英角ｺﾞｼｯｸUB"/>
        <family val="3"/>
        <charset val="128"/>
      </rPr>
      <t>クロス</t>
    </r>
    <r>
      <rPr>
        <sz val="10"/>
        <rFont val="HGP創英角ｺﾞｼｯｸUB"/>
        <family val="3"/>
        <charset val="128"/>
      </rPr>
      <t>/ライト契約者（そのフレッツ 光ネクスト/</t>
    </r>
    <r>
      <rPr>
        <sz val="10"/>
        <color rgb="FFFF0000"/>
        <rFont val="HGP創英角ｺﾞｼｯｸUB"/>
        <family val="3"/>
        <charset val="128"/>
      </rPr>
      <t>クロス</t>
    </r>
    <r>
      <rPr>
        <sz val="10"/>
        <rFont val="HGP創英角ｺﾞｼｯｸUB"/>
        <family val="3"/>
        <charset val="128"/>
      </rPr>
      <t>/ライトが光コラボレーションモデルに関する契約に基づき提供されるものである場合はそのフレッツ 光ネクスト/</t>
    </r>
    <r>
      <rPr>
        <sz val="10"/>
        <color rgb="FFFF0000"/>
        <rFont val="HGP創英角ｺﾞｼｯｸUB"/>
        <family val="3"/>
        <charset val="128"/>
      </rPr>
      <t>クロス</t>
    </r>
    <r>
      <rPr>
        <sz val="10"/>
        <rFont val="HGP創英角ｺﾞｼｯｸUB"/>
        <family val="3"/>
        <charset val="128"/>
      </rPr>
      <t>/ライト契約者が指定する者とします。）でない者が申込みを行ったとき。
　(4）本製品を申込みの際に当社に届け出た事項に虚偽があるとき。
　(5）その他当社の業務遂行上著しく支障があるとき。
3．当社が、前2項の規定により本製品の利用を承諾した後に、お客さまが前項各号のいずれかの場合に該当することが判明した場合には、当社はその承諾を取り消すことができます。</t>
    </r>
    <rPh sb="8" eb="10">
      <t>トウシャ</t>
    </rPh>
    <rPh sb="18" eb="19">
      <t>ホン</t>
    </rPh>
    <rPh sb="19" eb="21">
      <t>セイヒン</t>
    </rPh>
    <rPh sb="27" eb="28">
      <t>ホン</t>
    </rPh>
    <rPh sb="28" eb="30">
      <t>セイヒン</t>
    </rPh>
    <rPh sb="31" eb="33">
      <t>リヨウ</t>
    </rPh>
    <rPh sb="45" eb="46">
      <t>ツキ</t>
    </rPh>
    <rPh sb="46" eb="48">
      <t>ムセン</t>
    </rPh>
    <rPh sb="56" eb="58">
      <t>ソウチ</t>
    </rPh>
    <rPh sb="59" eb="61">
      <t>シヨウ</t>
    </rPh>
    <rPh sb="64" eb="67">
      <t>ホンセイヒン</t>
    </rPh>
    <rPh sb="83" eb="85">
      <t>トウシャ</t>
    </rPh>
    <rPh sb="86" eb="87">
      <t>ツギ</t>
    </rPh>
    <rPh sb="93" eb="95">
      <t>ガイトウ</t>
    </rPh>
    <rPh sb="98" eb="100">
      <t>ハンダン</t>
    </rPh>
    <rPh sb="102" eb="104">
      <t>バアイ</t>
    </rPh>
    <rPh sb="105" eb="108">
      <t>ホンセイヒン</t>
    </rPh>
    <rPh sb="109" eb="111">
      <t>シヨウ</t>
    </rPh>
    <rPh sb="112" eb="114">
      <t>ショウダク</t>
    </rPh>
    <rPh sb="130" eb="131">
      <t>ホン</t>
    </rPh>
    <rPh sb="131" eb="133">
      <t>セイヒン</t>
    </rPh>
    <rPh sb="134" eb="136">
      <t>テイキョウ</t>
    </rPh>
    <rPh sb="141" eb="143">
      <t>ギジュツ</t>
    </rPh>
    <rPh sb="143" eb="144">
      <t>ジョウ</t>
    </rPh>
    <rPh sb="144" eb="145">
      <t>イチジル</t>
    </rPh>
    <rPh sb="147" eb="149">
      <t>コンナン</t>
    </rPh>
    <rPh sb="158" eb="160">
      <t>モウシコミ</t>
    </rPh>
    <rPh sb="160" eb="161">
      <t>シャ</t>
    </rPh>
    <rPh sb="162" eb="164">
      <t>ジツザイ</t>
    </rPh>
    <rPh sb="169" eb="170">
      <t>マタ</t>
    </rPh>
    <rPh sb="173" eb="174">
      <t>オソ</t>
    </rPh>
    <rPh sb="191" eb="192">
      <t>ヒカリ</t>
    </rPh>
    <rPh sb="204" eb="206">
      <t>ケイヤク</t>
    </rPh>
    <rPh sb="206" eb="207">
      <t>シャ</t>
    </rPh>
    <rPh sb="302" eb="303">
      <t>シャ</t>
    </rPh>
    <rPh sb="308" eb="309">
      <t>オコナ</t>
    </rPh>
    <rPh sb="323" eb="325">
      <t>モウシコ</t>
    </rPh>
    <rPh sb="327" eb="328">
      <t>サイ</t>
    </rPh>
    <rPh sb="329" eb="331">
      <t>トウシャ</t>
    </rPh>
    <rPh sb="332" eb="333">
      <t>トド</t>
    </rPh>
    <rPh sb="334" eb="335">
      <t>デ</t>
    </rPh>
    <rPh sb="336" eb="338">
      <t>ジコウ</t>
    </rPh>
    <rPh sb="339" eb="341">
      <t>キョギ</t>
    </rPh>
    <rPh sb="354" eb="355">
      <t>タ</t>
    </rPh>
    <rPh sb="355" eb="357">
      <t>トウシャ</t>
    </rPh>
    <rPh sb="358" eb="360">
      <t>ギョウム</t>
    </rPh>
    <rPh sb="360" eb="362">
      <t>スイコウ</t>
    </rPh>
    <rPh sb="362" eb="363">
      <t>ジョウ</t>
    </rPh>
    <rPh sb="363" eb="364">
      <t>イチジル</t>
    </rPh>
    <rPh sb="366" eb="368">
      <t>シショウ</t>
    </rPh>
    <rPh sb="381" eb="382">
      <t>ゼン</t>
    </rPh>
    <rPh sb="383" eb="384">
      <t>コウ</t>
    </rPh>
    <rPh sb="385" eb="387">
      <t>キテイ</t>
    </rPh>
    <rPh sb="390" eb="393">
      <t>ホンセイヒン</t>
    </rPh>
    <rPh sb="394" eb="396">
      <t>リヨウ</t>
    </rPh>
    <rPh sb="397" eb="399">
      <t>ショウダク</t>
    </rPh>
    <rPh sb="401" eb="402">
      <t>アト</t>
    </rPh>
    <rPh sb="405" eb="406">
      <t>キャク</t>
    </rPh>
    <rPh sb="409" eb="411">
      <t>ゼンコウ</t>
    </rPh>
    <rPh sb="411" eb="413">
      <t>カクゴウ</t>
    </rPh>
    <rPh sb="419" eb="421">
      <t>バアイ</t>
    </rPh>
    <rPh sb="422" eb="424">
      <t>ガイトウ</t>
    </rPh>
    <rPh sb="429" eb="431">
      <t>ハンメイ</t>
    </rPh>
    <rPh sb="433" eb="435">
      <t>バアイ</t>
    </rPh>
    <rPh sb="438" eb="440">
      <t>トウシャ</t>
    </rPh>
    <rPh sb="443" eb="445">
      <t>ショウダク</t>
    </rPh>
    <rPh sb="446" eb="447">
      <t>ト</t>
    </rPh>
    <rPh sb="448" eb="449">
      <t>ケ</t>
    </rPh>
    <phoneticPr fontId="3"/>
  </si>
  <si>
    <t xml:space="preserve">第３条　著作権等 </t>
    <phoneticPr fontId="3"/>
  </si>
  <si>
    <r>
      <rPr>
        <sz val="10"/>
        <rFont val="HGP創英角ｺﾞｼｯｸUB"/>
        <family val="3"/>
        <charset val="128"/>
      </rPr>
      <t>1．本製品において当社がお客さまに提供する一切の物品（本規約、各種ソフトウェア、取扱マニュアル、ホームページ、メールマガジン等を含みます。）に関する著作権及び特許権、商標権、並びにノウハウ等の一切の知的所有権は、当社又は、本製品を提供する上で、クラウドの使用を当社に対して許可する者に帰属するものとします。
2．お客さまは、前項の提供物を以下のとおり取り扱って頂きます。
　(1）本製品の利用目的以外に使用しないこと。
　(2）複製・改変・編集等を行わないこと。</t>
    </r>
    <r>
      <rPr>
        <sz val="10"/>
        <color theme="1"/>
        <rFont val="HGP創英角ｺﾞｼｯｸUB"/>
        <family val="3"/>
        <charset val="128"/>
      </rPr>
      <t xml:space="preserve">
　(3）営利目的有無を問わず、第三者に貸与・譲渡・担保設定等しないこと。
　(4）当社又は本製品の提供に不可欠な当社の契約事業者が表示した著作権表示等を削除又は変更しないこと。</t>
    </r>
    <rPh sb="3" eb="5">
      <t>セイヒン</t>
    </rPh>
    <rPh sb="9" eb="11">
      <t>トウシャ</t>
    </rPh>
    <rPh sb="13" eb="14">
      <t>キャク</t>
    </rPh>
    <rPh sb="112" eb="114">
      <t>セイヒン</t>
    </rPh>
    <rPh sb="157" eb="158">
      <t>キャク</t>
    </rPh>
    <rPh sb="191" eb="193">
      <t>セイヒン</t>
    </rPh>
    <rPh sb="273" eb="275">
      <t>トウシャ</t>
    </rPh>
    <rPh sb="278" eb="280">
      <t>セイヒン</t>
    </rPh>
    <rPh sb="288" eb="290">
      <t>トウシャ</t>
    </rPh>
    <phoneticPr fontId="3"/>
  </si>
  <si>
    <t>第４条　保証の制限</t>
    <phoneticPr fontId="3"/>
  </si>
  <si>
    <t xml:space="preserve">1．当社は、明示又は非明示にかかわらず、いかなる説明、性能に関しての保証を実施しません。また、商品価値、特定用途への適用、第三者の権利への不侵害を黙示的に保証するものではありません。 </t>
    <rPh sb="2" eb="4">
      <t>トウシャ</t>
    </rPh>
    <phoneticPr fontId="3"/>
  </si>
  <si>
    <t>第５条　免責事項</t>
    <rPh sb="4" eb="6">
      <t>メンセキ</t>
    </rPh>
    <rPh sb="6" eb="8">
      <t>ジコウ</t>
    </rPh>
    <phoneticPr fontId="3"/>
  </si>
  <si>
    <t>1．当社は、お客さまからの問合せを遅滞無く受け付けることを保証するものではありません。
2．当社は、本製品の提供をもって、お客さまの問題・課題等の特定、解決方法の策定、解決又は解決方法の説明を保証するものではありません。
3．当社は、当社内の本製品提供の為の設備およびライセンス付無線アクセスポイント装置以外に起因する対象ネットワーク障害に責任を負わないものとします。
4．本製品は以下の事項を保証するものではありません。
　（1）ライセンス付無線アクセスポイント装置に全く故障が発生しないこと。
　（2）電波干渉等による通信の安定性欠如等が全く発生しないこと。
　（3）ライセンス付無線アクセスポイント装置を経由した通信速度に全く遅延が発生しないこと。
　（4）不正アクセスが全く発生しないこと。
　（5）データの可用性、完全性
5．お客さまが、本製品を利用中に、通信環境を変更しようとする場合には、事前に当社に対し連絡をし設定変更等が発生する場合は適切な申し込みを行うこととします。事前連絡等なく行われた通信環境の変更に起因する中断、停止については、当社は責任を負わないものとします。
6．当社は、オペレータの説明に基づいてお客さまが実施した作業、及び実施内容について保証するものではありません。
7．当社は、オペレータの説明に基づいてお客さまが実施した作業に伴い生じるお客さまの被害について、一切の責任は負いません。
8．お客さまが本製品の利用により第三者（他のお客さまを含みます。）に対し損害を与えた場合、お客さまは、自己の責任でこれを解決し、当社にいかなる責任も負担させないものとします。
9．当社は、本製品の提供終了、契約解除に伴い生じるお客さまの被害について、一切の責任は負いません。
10．サイバーテロ、自然災害、第三者による妨害等、不測の事態を原因として発生した被害については、本使用許諾の規定外の事故であることから、本製品の提供が困難な不可抗力とみなし、当社は一切責任を負いません。（サイバーテロとは、コンピュータ・ネットワークを通じて各国の国防、治安等を始めとする各種分野のコンピュータ・システムに侵入し、データを破壊、改ざんするなどの手段で国家又は社会の重要な基盤を機能不全に陥れるテロ行為をいいます。）
11．当社は、業務の遂行上やむを得ない理由があるときは受付専用番号を変更することがあります。この場合、当社が別に定める方法により当該変更の対象となるお客さまに対し変更後の受付専用番号を通知するものとします。ただし、この通知が到達しない場合にあっても、変更後の受付専用番号に変更するものとします。
12．本製品の提供に関して、お客さまの企業名、住所、連絡先電話番号、申込書管理番号等で契約者であることを特定した後、無線アクセスポイント装置に係る設定の変更等を依頼された場合は、契約者からの依頼であるとみなし、当社は設定の変更等に伴い生じるお客さまの被害について、一切の責任は負いません。</t>
    <rPh sb="2" eb="4">
      <t>トウシャ</t>
    </rPh>
    <rPh sb="50" eb="53">
      <t>ホンセイヒン</t>
    </rPh>
    <rPh sb="62" eb="63">
      <t>キャク</t>
    </rPh>
    <rPh sb="122" eb="124">
      <t>セイヒン</t>
    </rPh>
    <rPh sb="140" eb="142">
      <t>ムセン</t>
    </rPh>
    <rPh sb="188" eb="190">
      <t>セイヒン</t>
    </rPh>
    <rPh sb="253" eb="255">
      <t>デンパ</t>
    </rPh>
    <rPh sb="255" eb="257">
      <t>カンショウ</t>
    </rPh>
    <rPh sb="257" eb="258">
      <t>ナド</t>
    </rPh>
    <rPh sb="261" eb="263">
      <t>ツウシン</t>
    </rPh>
    <rPh sb="264" eb="267">
      <t>アンテイセイ</t>
    </rPh>
    <rPh sb="267" eb="269">
      <t>ケツジョ</t>
    </rPh>
    <rPh sb="269" eb="270">
      <t>ナド</t>
    </rPh>
    <rPh sb="271" eb="272">
      <t>マッタ</t>
    </rPh>
    <rPh sb="273" eb="275">
      <t>ハッセイ</t>
    </rPh>
    <rPh sb="369" eb="370">
      <t>キャク</t>
    </rPh>
    <rPh sb="375" eb="377">
      <t>セイヒン</t>
    </rPh>
    <rPh sb="413" eb="415">
      <t>セッテイ</t>
    </rPh>
    <rPh sb="415" eb="417">
      <t>ヘンコウ</t>
    </rPh>
    <rPh sb="417" eb="418">
      <t>ナド</t>
    </rPh>
    <rPh sb="419" eb="421">
      <t>ハッセイ</t>
    </rPh>
    <rPh sb="423" eb="425">
      <t>バアイ</t>
    </rPh>
    <rPh sb="426" eb="428">
      <t>テキセツ</t>
    </rPh>
    <rPh sb="429" eb="430">
      <t>モウ</t>
    </rPh>
    <rPh sb="431" eb="432">
      <t>コ</t>
    </rPh>
    <rPh sb="434" eb="435">
      <t>オコナ</t>
    </rPh>
    <rPh sb="443" eb="445">
      <t>ジゼン</t>
    </rPh>
    <rPh sb="445" eb="447">
      <t>レンラク</t>
    </rPh>
    <rPh sb="447" eb="448">
      <t>ナド</t>
    </rPh>
    <rPh sb="515" eb="516">
      <t>キャク</t>
    </rPh>
    <rPh sb="571" eb="572">
      <t>キャク</t>
    </rPh>
    <rPh sb="588" eb="589">
      <t>キャク</t>
    </rPh>
    <rPh sb="615" eb="616">
      <t>キャク</t>
    </rPh>
    <rPh sb="620" eb="622">
      <t>セイヒン</t>
    </rPh>
    <rPh sb="623" eb="625">
      <t>リヨウ</t>
    </rPh>
    <rPh sb="635" eb="636">
      <t>キャク</t>
    </rPh>
    <rPh sb="658" eb="659">
      <t>キャク</t>
    </rPh>
    <rPh sb="707" eb="709">
      <t>セイヒン</t>
    </rPh>
    <rPh sb="715" eb="717">
      <t>ケイヤク</t>
    </rPh>
    <rPh sb="717" eb="719">
      <t>カイジョ</t>
    </rPh>
    <rPh sb="726" eb="727">
      <t>キャク</t>
    </rPh>
    <rPh sb="799" eb="801">
      <t>シヨウ</t>
    </rPh>
    <rPh sb="801" eb="803">
      <t>キョダク</t>
    </rPh>
    <rPh sb="818" eb="819">
      <t>ホン</t>
    </rPh>
    <rPh sb="819" eb="821">
      <t>セイヒン</t>
    </rPh>
    <rPh sb="1040" eb="1041">
      <t>キャク</t>
    </rPh>
    <rPh sb="1046" eb="1048">
      <t>ヘンコウ</t>
    </rPh>
    <rPh sb="1048" eb="1049">
      <t>ゴ</t>
    </rPh>
    <rPh sb="1050" eb="1052">
      <t>ウケツケ</t>
    </rPh>
    <rPh sb="1052" eb="1054">
      <t>センヨウ</t>
    </rPh>
    <rPh sb="1054" eb="1056">
      <t>バンゴウ</t>
    </rPh>
    <rPh sb="1116" eb="1117">
      <t>ホン</t>
    </rPh>
    <rPh sb="1117" eb="1119">
      <t>セイヒン</t>
    </rPh>
    <rPh sb="1120" eb="1122">
      <t>テイキョウ</t>
    </rPh>
    <rPh sb="1128" eb="1129">
      <t>キャク</t>
    </rPh>
    <rPh sb="1171" eb="1173">
      <t>ムセン</t>
    </rPh>
    <rPh sb="1234" eb="1235">
      <t>キャク</t>
    </rPh>
    <phoneticPr fontId="3"/>
  </si>
  <si>
    <t>第６条　サポート範囲</t>
    <rPh sb="0" eb="1">
      <t>ダイ</t>
    </rPh>
    <rPh sb="2" eb="3">
      <t>ジョウ</t>
    </rPh>
    <rPh sb="8" eb="10">
      <t>ハンイ</t>
    </rPh>
    <phoneticPr fontId="3"/>
  </si>
  <si>
    <t xml:space="preserve">本製品に対する当社のサポートは、本製品の機能、操作等、本製品に直接的に関係する範囲に限らせていただきます。お客さまがご用意される端末、OS、他社ソフトウェア製品、及びその他周辺機器及びインターネット接続環境に起因するトラブル等はサポートの対象となりませんのでご了承ください。 </t>
    <rPh sb="7" eb="9">
      <t>トウシャ</t>
    </rPh>
    <phoneticPr fontId="3"/>
  </si>
  <si>
    <t>第７条　契約の解除</t>
    <rPh sb="4" eb="6">
      <t>ケイヤク</t>
    </rPh>
    <rPh sb="7" eb="9">
      <t>カイジョ</t>
    </rPh>
    <phoneticPr fontId="3"/>
  </si>
  <si>
    <r>
      <t>1．お客さまは、本契約を解約しようとするときは、そのことをあらかじめ本製品取扱所に当社所定の方法により申し出て頂きます。
２．当社は、次のいずれかに該当する場合は、あらかじめ契約者に通知した後、本契約を解約することがあります。
　　但し、本条第1号に該当する場合には、フレッツ 光ネクスト/</t>
    </r>
    <r>
      <rPr>
        <sz val="10"/>
        <color rgb="FFFF0000"/>
        <rFont val="HGP創英角ｺﾞｼｯｸUB"/>
        <family val="3"/>
        <charset val="128"/>
      </rPr>
      <t>クロス</t>
    </r>
    <r>
      <rPr>
        <sz val="10"/>
        <color theme="1"/>
        <rFont val="HGP創英角ｺﾞｼｯｸUB"/>
        <family val="3"/>
        <charset val="128"/>
      </rPr>
      <t>/ライト契約の解約が完了した時点で、本契約は自動的に解約されます。
　　また、本条第2号に該当する場合には、事前の契約者への通知をすることなく本契約を解約できるものとします。
　 　(1) 本契約に係るフレッツ 光ネクスト/</t>
    </r>
    <r>
      <rPr>
        <sz val="10"/>
        <color rgb="FFFF0000"/>
        <rFont val="HGP創英角ｺﾞｼｯｸUB"/>
        <family val="3"/>
        <charset val="128"/>
      </rPr>
      <t>クロス</t>
    </r>
    <r>
      <rPr>
        <sz val="10"/>
        <color theme="1"/>
        <rFont val="HGP創英角ｺﾞｼｯｸUB"/>
        <family val="3"/>
        <charset val="128"/>
      </rPr>
      <t>/ライト契約について、フレッツ 光ネクスト/</t>
    </r>
    <r>
      <rPr>
        <sz val="10"/>
        <color rgb="FFFF0000"/>
        <rFont val="HGP創英角ｺﾞｼｯｸUB"/>
        <family val="3"/>
        <charset val="128"/>
      </rPr>
      <t>クロス</t>
    </r>
    <r>
      <rPr>
        <sz val="10"/>
        <color theme="1"/>
        <rFont val="HGP創英角ｺﾞｼｯｸUB"/>
        <family val="3"/>
        <charset val="128"/>
      </rPr>
      <t>/ライト契約の解約（フレッツ 光ネクスト/</t>
    </r>
    <r>
      <rPr>
        <sz val="10"/>
        <color rgb="FFFF0000"/>
        <rFont val="HGP創英角ｺﾞｼｯｸUB"/>
        <family val="3"/>
        <charset val="128"/>
      </rPr>
      <t>クロス</t>
    </r>
    <r>
      <rPr>
        <sz val="10"/>
        <color theme="1"/>
        <rFont val="HGP創英角ｺﾞｼｯｸUB"/>
        <family val="3"/>
        <charset val="128"/>
      </rPr>
      <t>/ライトの転用に伴うものを除く）があったとき。
　　 (2) 契約者に次に定める事由のいずれかが発生したとき。
         ⅰ 支払停止状態に陥った場合その他財産状態が悪化し又はそのおそれがあると認められる相当の理由がある場合
         ⅱ 手形交換所の取引停止処分を受けた場合
         ⅲ 差押、仮差押、仮処分、競売、租税滞納処分の申立を受けた場合
         ⅳ 破産、民事再生手続開始、会社更生手続開始、会社整理開始若しくは特別清算開始の申立を受け、又は自ら申立をした場合
         ⅴ 自ら又は第三者を利用して、暴力的な要求行為、法的な責任を超えた不当な要求行為、取引に関して、脅迫的な言動をし、又は暴力を用いる行為、風説を流布し、偽計を用い又は威力を用いて相手方の信用を毀損し、又は相手方の業務を妨害する行為その他これらに準ずる行為を行った場合</t>
    </r>
    <rPh sb="3" eb="4">
      <t>キャク</t>
    </rPh>
    <rPh sb="35" eb="37">
      <t>セイヒン</t>
    </rPh>
    <phoneticPr fontId="3"/>
  </si>
  <si>
    <t>第８条　個人情報の取扱</t>
    <rPh sb="4" eb="6">
      <t>コジン</t>
    </rPh>
    <rPh sb="6" eb="8">
      <t>ジョウホウ</t>
    </rPh>
    <rPh sb="9" eb="11">
      <t>トリアツカイ</t>
    </rPh>
    <phoneticPr fontId="3"/>
  </si>
  <si>
    <r>
      <rPr>
        <sz val="10"/>
        <rFont val="HGP創英角ｺﾞｼｯｸUB"/>
        <family val="3"/>
        <charset val="128"/>
      </rPr>
      <t xml:space="preserve">1．お客さま（個人の場合）は、当社、当社の委託により本サービスに関する業務を行う者（以下「委託会社」といいます。）、および、クラウドの使用を当社に対して許可する者が、本製品の提供のため、本製品の提供の過程において契約者の氏名、住所、電話番号、メールアドレスやパスワードやログ等のライセンス付無線アクセスポイント装置の設定する情報（以下「個人情報」といいます。）を知り得ることについて、同意して頂きます。
2．当社は、前項の規定によりお客さまから知り得た個人情報は、当社が別に定める｢プライバシーポリシー｣に基づき取り扱うものとします。なお，本使用許諾と当該プライバシーポリシーに齟齬がある場合、本使用許諾の定めが優先して適用されるものとします。
3．当社、委託会社およびクラウドの使用を当社に対して許可する者が設定作業等の過程で取得したID、パスワード等の情報については、別にお客さまに同意を得たものを除き、設定作業等終了の時点で直ちに廃棄するものとします。
4．当社、委託会社およびクラウドの使用を当社に対して許可する者は，次の目的の達成に必要となる範囲内で個人情報を利用します。なお、お客さまが本製品を解約した後も、問合せ対応等において必要な範囲で個人情報を利用する場合があります。 
　　(1)本製品の提供 
　　(2)当社が提供する役務または販売する商品等の紹介、提案およびコンサルティング
　　(3)当社が販売受託ないし取次ぎ等を行う役務または商品等の紹介、提案およびコンサルティング </t>
    </r>
    <r>
      <rPr>
        <sz val="10"/>
        <color theme="1"/>
        <rFont val="HGP創英角ｺﾞｼｯｸUB"/>
        <family val="3"/>
        <charset val="128"/>
      </rPr>
      <t xml:space="preserve">
　　(4)アンケート調査その他の調査に必要な物または謝礼の送付
　　(5)役務・商品等にかかる品質等の改善、新たな役務・商品等の開発
　　(6)各種キャンペーン、各種サービスのモニタ等の案内
　　(7)インターネットの利用等に関する各種役務・商品情報等の案内
5．当社、委託会社およびクラウドの使用を当社に対して許可する者は、次の目的の達成に必要となる範囲内で個人情報を利用します。
　　(1) お客さまからの要請にもとづく、サポート業務
　　(2) 本製品の品質、機能改善のための情報分析
　　(3) 当社および委託会社は、お客さまのメールアドレスについて、クラウドの使用を当社に対して許可する者に通知し、仕様書に規定する機能を目的として利用します。　
6．契約者が法人等の団体である場合における当該契約者の法人情報についても、前各項の規定と同様に扱うこととします。
7．当社は、個人情報保護法第23条第4項第1号の規定に基づき、個人情報を当社が業務を委託する他の事業者に対して提供することがあります。</t>
    </r>
    <rPh sb="3" eb="4">
      <t>キャク</t>
    </rPh>
    <rPh sb="84" eb="86">
      <t>セイヒン</t>
    </rPh>
    <rPh sb="94" eb="96">
      <t>セイヒン</t>
    </rPh>
    <rPh sb="145" eb="147">
      <t>ムセン</t>
    </rPh>
    <rPh sb="217" eb="218">
      <t>キャク</t>
    </rPh>
    <rPh sb="271" eb="273">
      <t>シヨウ</t>
    </rPh>
    <rPh sb="273" eb="275">
      <t>キョダク</t>
    </rPh>
    <rPh sb="298" eb="300">
      <t>シヨウ</t>
    </rPh>
    <rPh sb="389" eb="390">
      <t>キャク</t>
    </rPh>
    <rPh sb="495" eb="496">
      <t>キャク</t>
    </rPh>
    <rPh sb="500" eb="502">
      <t>セイヒン</t>
    </rPh>
    <rPh sb="551" eb="553">
      <t>セイヒン</t>
    </rPh>
    <rPh sb="848" eb="849">
      <t>キャク</t>
    </rPh>
    <rPh sb="876" eb="878">
      <t>セイヒン</t>
    </rPh>
    <rPh sb="913" eb="914">
      <t>キャク</t>
    </rPh>
    <phoneticPr fontId="3"/>
  </si>
  <si>
    <t>別紙②_Wi-Fi設定</t>
    <rPh sb="0" eb="2">
      <t>ベッシ</t>
    </rPh>
    <rPh sb="9" eb="11">
      <t>セッテイ</t>
    </rPh>
    <phoneticPr fontId="9"/>
  </si>
  <si>
    <t>同一設置場所のWi-Fiアクセスポイント装置は、原則、同一設定となります。</t>
    <rPh sb="0" eb="2">
      <t>ドウイツ</t>
    </rPh>
    <rPh sb="2" eb="4">
      <t>セッチ</t>
    </rPh>
    <rPh sb="4" eb="6">
      <t>バショ</t>
    </rPh>
    <rPh sb="20" eb="22">
      <t>ソウチ</t>
    </rPh>
    <rPh sb="24" eb="26">
      <t>ゲンソク</t>
    </rPh>
    <rPh sb="27" eb="29">
      <t>ドウイツ</t>
    </rPh>
    <rPh sb="29" eb="31">
      <t>セッテイ</t>
    </rPh>
    <phoneticPr fontId="3"/>
  </si>
  <si>
    <t>※AP毎に異なる設定を希望する場合は、本シート（別紙②）の代わりに"様式２詳細設定申込書"にご記入ください</t>
    <phoneticPr fontId="3"/>
  </si>
  <si>
    <t>Wi-Fi設定</t>
    <rPh sb="5" eb="7">
      <t>セッテイ</t>
    </rPh>
    <phoneticPr fontId="9"/>
  </si>
  <si>
    <t>SSID（ネットワーク名）</t>
    <rPh sb="11" eb="12">
      <t>メイ</t>
    </rPh>
    <phoneticPr fontId="3"/>
  </si>
  <si>
    <t>Wi-Fiを識別するための名前です。スマートフォンでは「Wi-Fiネットワーク」の画面に表示されます。</t>
    <rPh sb="6" eb="8">
      <t>シキベツ</t>
    </rPh>
    <rPh sb="13" eb="15">
      <t>ナマエ</t>
    </rPh>
    <phoneticPr fontId="3"/>
  </si>
  <si>
    <t>（パソコンでは「ワイヤレスネットワーク接続」の画面に表示されます。）</t>
    <rPh sb="19" eb="21">
      <t>セツゾク</t>
    </rPh>
    <rPh sb="23" eb="25">
      <t>ガメン</t>
    </rPh>
    <rPh sb="26" eb="28">
      <t>ヒョウジ</t>
    </rPh>
    <phoneticPr fontId="3"/>
  </si>
  <si>
    <t>パスワード（暗号化キー）</t>
    <rPh sb="6" eb="9">
      <t>アンゴウカ</t>
    </rPh>
    <phoneticPr fontId="3"/>
  </si>
  <si>
    <t>SSID(ネットワーク名）に接続するためのパスワードです。外部の人が推測できないパスワードを推奨します。</t>
    <rPh sb="11" eb="12">
      <t>メイ</t>
    </rPh>
    <rPh sb="14" eb="16">
      <t>セツゾク</t>
    </rPh>
    <phoneticPr fontId="3"/>
  </si>
  <si>
    <t>Wi-Fi設定①</t>
    <rPh sb="5" eb="7">
      <t>セッテイ</t>
    </rPh>
    <phoneticPr fontId="9"/>
  </si>
  <si>
    <t>エイチ　エー　ティー　ティー　オー　アール　アイ　ハイフン　ピー　エイチ　オー　ティー　オー　ハイフン　エス　ティー</t>
    <phoneticPr fontId="3"/>
  </si>
  <si>
    <r>
      <rPr>
        <sz val="6"/>
        <rFont val="HGP創英角ｺﾞｼｯｸUB"/>
        <family val="3"/>
        <charset val="128"/>
      </rPr>
      <t xml:space="preserve">
</t>
    </r>
    <r>
      <rPr>
        <sz val="9"/>
        <rFont val="HGP創英角ｺﾞｼｯｸUB"/>
        <family val="3"/>
        <charset val="128"/>
      </rPr>
      <t>SSID
（ネットワーク名）</t>
    </r>
    <rPh sb="13" eb="14">
      <t>メイ</t>
    </rPh>
    <phoneticPr fontId="3"/>
  </si>
  <si>
    <t>hattori-photo-st</t>
    <phoneticPr fontId="3"/>
  </si>
  <si>
    <t>　半角32文字以内。英字（大文字、小文字）、数字、記号（-（ハイフン）、@（アットマーク）、＃（ハッシュマーク）、_（アンダーバー）、．（ピリオド））を使用できます。
　※指定の文字以外では設定できません。</t>
    <rPh sb="1" eb="3">
      <t>ハンカク</t>
    </rPh>
    <rPh sb="25" eb="27">
      <t>キゴウ</t>
    </rPh>
    <phoneticPr fontId="9"/>
  </si>
  <si>
    <t>エイチ　エー　ティー　ティー　オー　アール　アイ　イチ　ロク　ロク　ナナ</t>
    <phoneticPr fontId="3"/>
  </si>
  <si>
    <r>
      <rPr>
        <sz val="6"/>
        <rFont val="HGP創英角ｺﾞｼｯｸUB"/>
        <family val="3"/>
        <charset val="128"/>
      </rPr>
      <t xml:space="preserve">
</t>
    </r>
    <r>
      <rPr>
        <sz val="9"/>
        <rFont val="HGP創英角ｺﾞｼｯｸUB"/>
        <family val="3"/>
        <charset val="128"/>
      </rPr>
      <t>パスワード
（暗号化キー）</t>
    </r>
    <phoneticPr fontId="3"/>
  </si>
  <si>
    <t>hattori1667</t>
    <phoneticPr fontId="3"/>
  </si>
  <si>
    <t>　半角8文字以上。英字（大文字、小文字）、数字、記号（-（ハイフン）、@（アットマーク）、＃（ハッシュマーク）、_（アンダーバー）、．（ピリオド））を使用できます。
　2種類以上の文字を使用してください。</t>
    <phoneticPr fontId="9"/>
  </si>
  <si>
    <t>Wi-Fi設定②</t>
    <rPh sb="5" eb="7">
      <t>セッテイ</t>
    </rPh>
    <phoneticPr fontId="9"/>
  </si>
  <si>
    <t>　半角32文字以内。英字（大文字、小文字）、数字、記号（-（ハイフン）、@（アットマーク）、＃（ハッシュマーク）、_（アンダーバー）、．（ピリオド））を使用できます。
　※指定の文字以外では設定できません。</t>
    <rPh sb="25" eb="27">
      <t>キゴウ</t>
    </rPh>
    <phoneticPr fontId="9"/>
  </si>
  <si>
    <t>　半角8文字以上。英字（大文字、小文字）、数字、記号（-（ハイフン）、@（アットマーク）、＃（ハッシュマーク）、_（アンダーバー）、．（ピリオド））を使用できます。</t>
    <phoneticPr fontId="9"/>
  </si>
  <si>
    <t>※SSIDを3以上設定する場合、本シートをコピーして記入してください。</t>
    <phoneticPr fontId="3"/>
  </si>
  <si>
    <t>来訪者向けWi-FiインターネットのWi-Fi設定</t>
    <rPh sb="0" eb="3">
      <t>ライホウシャ</t>
    </rPh>
    <rPh sb="3" eb="4">
      <t>ム</t>
    </rPh>
    <rPh sb="23" eb="25">
      <t>セッテイ</t>
    </rPh>
    <phoneticPr fontId="9"/>
  </si>
  <si>
    <t>エイチ　エー　ティー　ティー　オー　アール　アイ　ハイフン　ピー　エイチ　オー　ティー　オー　ハイフン　ジー　ユー　イー　エス　ティー</t>
    <phoneticPr fontId="3"/>
  </si>
  <si>
    <r>
      <rPr>
        <sz val="6"/>
        <rFont val="HGP創英角ｺﾞｼｯｸUB"/>
        <family val="3"/>
        <charset val="128"/>
      </rPr>
      <t xml:space="preserve">
</t>
    </r>
    <r>
      <rPr>
        <sz val="9"/>
        <rFont val="HGP創英角ｺﾞｼｯｸUB"/>
        <family val="3"/>
        <charset val="128"/>
      </rPr>
      <t>来訪者向け
SSID 1
（ネットワーク名）</t>
    </r>
    <rPh sb="21" eb="22">
      <t>メイ</t>
    </rPh>
    <phoneticPr fontId="3"/>
  </si>
  <si>
    <t>hattori-photo-guest</t>
    <phoneticPr fontId="3"/>
  </si>
  <si>
    <t>エス　ﾃｨｰ　ハイフン　ｼﾞｰ　ユー　イー　エス　ティー　イチ　ロク　ロク　ハチ</t>
    <phoneticPr fontId="3"/>
  </si>
  <si>
    <r>
      <rPr>
        <sz val="6"/>
        <rFont val="HGP創英角ｺﾞｼｯｸUB"/>
        <family val="3"/>
        <charset val="128"/>
      </rPr>
      <t xml:space="preserve">
</t>
    </r>
    <r>
      <rPr>
        <sz val="9"/>
        <rFont val="HGP創英角ｺﾞｼｯｸUB"/>
        <family val="3"/>
        <charset val="128"/>
      </rPr>
      <t>来訪者向け
パスワード1
（暗号化キー）</t>
    </r>
    <phoneticPr fontId="3"/>
  </si>
  <si>
    <t>st-guest-1668</t>
    <phoneticPr fontId="3"/>
  </si>
  <si>
    <r>
      <rPr>
        <sz val="6"/>
        <rFont val="HGP創英角ｺﾞｼｯｸUB"/>
        <family val="3"/>
        <charset val="128"/>
      </rPr>
      <t xml:space="preserve">
</t>
    </r>
    <r>
      <rPr>
        <sz val="9"/>
        <rFont val="HGP創英角ｺﾞｼｯｸUB"/>
        <family val="3"/>
        <charset val="128"/>
      </rPr>
      <t>来訪者向け
SSID2
（ネットワーク名）</t>
    </r>
    <rPh sb="1" eb="4">
      <t>ライホウシャ</t>
    </rPh>
    <rPh sb="4" eb="5">
      <t>ム</t>
    </rPh>
    <rPh sb="20" eb="21">
      <t>メイ</t>
    </rPh>
    <phoneticPr fontId="3"/>
  </si>
  <si>
    <t>　半角32文字以内。英字（大文字、小文字）、数字、記号（-（ハイフン）、@（アットマーク）、＃（ハッシュマーク）、_（アンダーバー）、．（ピリオド））を使用できます。</t>
    <phoneticPr fontId="9"/>
  </si>
  <si>
    <r>
      <rPr>
        <sz val="6"/>
        <rFont val="HGP創英角ｺﾞｼｯｸUB"/>
        <family val="3"/>
        <charset val="128"/>
      </rPr>
      <t xml:space="preserve">
</t>
    </r>
    <r>
      <rPr>
        <sz val="9"/>
        <rFont val="HGP創英角ｺﾞｼｯｸUB"/>
        <family val="3"/>
        <charset val="128"/>
      </rPr>
      <t>来訪者向け
パスワード2
（暗号化キー）</t>
    </r>
    <phoneticPr fontId="3"/>
  </si>
  <si>
    <t>Facebook　Wi-Fiの設定</t>
    <rPh sb="15" eb="17">
      <t>セッテイ</t>
    </rPh>
    <phoneticPr fontId="9"/>
  </si>
  <si>
    <t>利用有無</t>
    <rPh sb="0" eb="2">
      <t>リヨウ</t>
    </rPh>
    <rPh sb="2" eb="4">
      <t>ウム</t>
    </rPh>
    <phoneticPr fontId="3"/>
  </si>
  <si>
    <t>利用する</t>
    <rPh sb="0" eb="2">
      <t>リヨウ</t>
    </rPh>
    <phoneticPr fontId="3"/>
  </si>
  <si>
    <t>設定するSSID</t>
    <rPh sb="0" eb="2">
      <t>セッテイ</t>
    </rPh>
    <phoneticPr fontId="3"/>
  </si>
  <si>
    <t>来訪者向けSSID 1</t>
    <phoneticPr fontId="3"/>
  </si>
  <si>
    <t>来訪者向けSSID 2</t>
    <phoneticPr fontId="3"/>
  </si>
  <si>
    <t>アカウント名</t>
    <rPh sb="5" eb="6">
      <t>メイ</t>
    </rPh>
    <phoneticPr fontId="3"/>
  </si>
  <si>
    <t>パスワード</t>
    <phoneticPr fontId="3"/>
  </si>
  <si>
    <t>サイト名</t>
    <rPh sb="3" eb="4">
      <t>メイ</t>
    </rPh>
    <phoneticPr fontId="3"/>
  </si>
  <si>
    <t>指定Webサイト表示の設定（リダイレクト機能）　</t>
    <phoneticPr fontId="9"/>
  </si>
  <si>
    <t>表示させるHPのURL</t>
    <rPh sb="0" eb="2">
      <t>ヒョウジ</t>
    </rPh>
    <phoneticPr fontId="3"/>
  </si>
  <si>
    <t>※MACアドレス認証、Facebook認証との同時使用不可  ※デフォルト設定では1時間毎に再認証が必要です。再認証までの時間を変更したい場合は【様式2】別紙②-6をご利用ください。</t>
    <rPh sb="73" eb="75">
      <t>ヨウシキ</t>
    </rPh>
    <phoneticPr fontId="3"/>
  </si>
  <si>
    <t>※Android OS 5以上をお使いの端末では正常に動作しない場合があります（H29.9.25時点）</t>
    <phoneticPr fontId="3"/>
  </si>
  <si>
    <t>「Japan Wi-Fi連携・ブラウザ認証の設定</t>
    <phoneticPr fontId="9"/>
  </si>
  <si>
    <t>利用する機能</t>
    <rPh sb="0" eb="2">
      <t>リヨウ</t>
    </rPh>
    <rPh sb="4" eb="6">
      <t>キノウ</t>
    </rPh>
    <phoneticPr fontId="3"/>
  </si>
  <si>
    <t xml:space="preserve">Japan Wi-Fi連携　＋　ブラウザ認証(メール＆ＳＮＳ)  </t>
    <phoneticPr fontId="3"/>
  </si>
  <si>
    <t>※SSIDは「.Free_Wi-Fi_1」が設定されます。</t>
    <phoneticPr fontId="3"/>
  </si>
  <si>
    <t>任意のSSID</t>
    <rPh sb="0" eb="2">
      <t>ニンイ</t>
    </rPh>
    <phoneticPr fontId="3"/>
  </si>
  <si>
    <t>※10AP以上のご契約が必要です。【様式３】JapanWiFi任意SSID・ブラウザ認証申込書をご提出ください。</t>
    <rPh sb="5" eb="7">
      <t>イジョウ</t>
    </rPh>
    <rPh sb="9" eb="11">
      <t>ケイヤク</t>
    </rPh>
    <rPh sb="12" eb="14">
      <t>ヒツヨウ</t>
    </rPh>
    <rPh sb="49" eb="51">
      <t>テイシュツ</t>
    </rPh>
    <phoneticPr fontId="3"/>
  </si>
  <si>
    <t>■詳細設定申込書の有無</t>
    <phoneticPr fontId="3"/>
  </si>
  <si>
    <t>有</t>
    <rPh sb="0" eb="1">
      <t>アリ</t>
    </rPh>
    <phoneticPr fontId="3"/>
  </si>
  <si>
    <t>無</t>
    <rPh sb="0" eb="1">
      <t>ナ</t>
    </rPh>
    <phoneticPr fontId="3"/>
  </si>
  <si>
    <t>　※有の場合は【様式２】詳細設定申込書をご提出ください</t>
    <rPh sb="2" eb="3">
      <t>アリ</t>
    </rPh>
    <rPh sb="4" eb="6">
      <t>バアイ</t>
    </rPh>
    <rPh sb="21" eb="23">
      <t>テイシュツ</t>
    </rPh>
    <phoneticPr fontId="3"/>
  </si>
  <si>
    <t>別紙③_移転・契約情報変更時利用</t>
    <rPh sb="0" eb="2">
      <t>ベッシ</t>
    </rPh>
    <rPh sb="4" eb="6">
      <t>イテン</t>
    </rPh>
    <rPh sb="7" eb="9">
      <t>ケイヤク</t>
    </rPh>
    <rPh sb="9" eb="11">
      <t>ジョウホウ</t>
    </rPh>
    <rPh sb="11" eb="13">
      <t>ヘンコウ</t>
    </rPh>
    <rPh sb="13" eb="14">
      <t>ジ</t>
    </rPh>
    <rPh sb="14" eb="16">
      <t>リヨウ</t>
    </rPh>
    <phoneticPr fontId="9"/>
  </si>
  <si>
    <t>西日本電信電話株式会社</t>
  </si>
  <si>
    <t>■必須記載欄</t>
  </si>
  <si>
    <t>契約ID</t>
    <rPh sb="0" eb="2">
      <t>ケイヤク</t>
    </rPh>
    <phoneticPr fontId="9"/>
  </si>
  <si>
    <t>【現登録情報】
ご契約者様名
（法人名）</t>
    <rPh sb="1" eb="2">
      <t>ウツツ</t>
    </rPh>
    <rPh sb="2" eb="4">
      <t>トウロク</t>
    </rPh>
    <rPh sb="4" eb="6">
      <t>ジョウホウ</t>
    </rPh>
    <rPh sb="12" eb="13">
      <t>サマ</t>
    </rPh>
    <rPh sb="13" eb="14">
      <t>メイ</t>
    </rPh>
    <rPh sb="16" eb="18">
      <t>ホウジン</t>
    </rPh>
    <rPh sb="18" eb="19">
      <t>メイ</t>
    </rPh>
    <phoneticPr fontId="9"/>
  </si>
  <si>
    <t>契約者名/部署名</t>
    <phoneticPr fontId="9"/>
  </si>
  <si>
    <t>氏名</t>
    <rPh sb="0" eb="2">
      <t>シメイ</t>
    </rPh>
    <phoneticPr fontId="3"/>
  </si>
  <si>
    <t>日中の連絡先
電話番号</t>
    <rPh sb="0" eb="2">
      <t>ニッチュウ</t>
    </rPh>
    <rPh sb="3" eb="5">
      <t>レンラク</t>
    </rPh>
    <rPh sb="5" eb="6">
      <t>サキ</t>
    </rPh>
    <rPh sb="7" eb="9">
      <t>デンワ</t>
    </rPh>
    <rPh sb="9" eb="11">
      <t>バンゴウ</t>
    </rPh>
    <phoneticPr fontId="9"/>
  </si>
  <si>
    <t>（</t>
    <phoneticPr fontId="9"/>
  </si>
  <si>
    <t>）</t>
    <phoneticPr fontId="9"/>
  </si>
  <si>
    <t>－</t>
    <phoneticPr fontId="9"/>
  </si>
  <si>
    <t>【現登録情報】
ご契約者様住所</t>
    <rPh sb="13" eb="15">
      <t>ジュウショ</t>
    </rPh>
    <phoneticPr fontId="9"/>
  </si>
  <si>
    <t>【現登録情報】
設置場所住所</t>
    <rPh sb="8" eb="10">
      <t>セッチ</t>
    </rPh>
    <rPh sb="10" eb="12">
      <t>バショ</t>
    </rPh>
    <rPh sb="12" eb="14">
      <t>ジュウショ</t>
    </rPh>
    <phoneticPr fontId="9"/>
  </si>
  <si>
    <t>【現登録情報】
契約アクセス回線</t>
    <rPh sb="8" eb="10">
      <t>ケイヤク</t>
    </rPh>
    <rPh sb="14" eb="16">
      <t>カイセン</t>
    </rPh>
    <phoneticPr fontId="3"/>
  </si>
  <si>
    <t>申込内容</t>
    <rPh sb="0" eb="2">
      <t>モウシコミ</t>
    </rPh>
    <rPh sb="2" eb="4">
      <t>ナイヨウ</t>
    </rPh>
    <phoneticPr fontId="3"/>
  </si>
  <si>
    <t>契約者名義の変更</t>
    <rPh sb="0" eb="3">
      <t>ケイヤクシャ</t>
    </rPh>
    <rPh sb="3" eb="5">
      <t>メイギ</t>
    </rPh>
    <rPh sb="6" eb="8">
      <t>ヘンコウ</t>
    </rPh>
    <phoneticPr fontId="3"/>
  </si>
  <si>
    <t>契約者住所の変更</t>
    <rPh sb="0" eb="3">
      <t>ケイヤクシャ</t>
    </rPh>
    <rPh sb="3" eb="5">
      <t>ジュウショ</t>
    </rPh>
    <rPh sb="6" eb="8">
      <t>ヘンコウ</t>
    </rPh>
    <phoneticPr fontId="3"/>
  </si>
  <si>
    <r>
      <t>設置場所住所の変更</t>
    </r>
    <r>
      <rPr>
        <sz val="8"/>
        <rFont val="HGP創英角ｺﾞｼｯｸUB"/>
        <family val="3"/>
        <charset val="128"/>
      </rPr>
      <t>（移転日）</t>
    </r>
    <rPh sb="0" eb="2">
      <t>セッチ</t>
    </rPh>
    <rPh sb="2" eb="4">
      <t>バショ</t>
    </rPh>
    <rPh sb="4" eb="6">
      <t>ジュウショ</t>
    </rPh>
    <rPh sb="7" eb="9">
      <t>ヘンコウ</t>
    </rPh>
    <rPh sb="10" eb="12">
      <t>イテン</t>
    </rPh>
    <rPh sb="12" eb="13">
      <t>ヒ</t>
    </rPh>
    <phoneticPr fontId="3"/>
  </si>
  <si>
    <t>【変更後】
ご契約者様名
（法人名）</t>
    <rPh sb="1" eb="3">
      <t>ヘンコウ</t>
    </rPh>
    <rPh sb="3" eb="4">
      <t>ゴ</t>
    </rPh>
    <rPh sb="10" eb="11">
      <t>サマ</t>
    </rPh>
    <rPh sb="11" eb="12">
      <t>メイ</t>
    </rPh>
    <rPh sb="14" eb="16">
      <t>ホウジン</t>
    </rPh>
    <rPh sb="16" eb="17">
      <t>メイ</t>
    </rPh>
    <phoneticPr fontId="9"/>
  </si>
  <si>
    <t>【変更後】
ご契約者様住所</t>
    <rPh sb="1" eb="3">
      <t>ヘンコウ</t>
    </rPh>
    <rPh sb="3" eb="4">
      <t>ゴ</t>
    </rPh>
    <rPh sb="10" eb="11">
      <t>サマ</t>
    </rPh>
    <rPh sb="11" eb="13">
      <t>ジュウショ</t>
    </rPh>
    <phoneticPr fontId="9"/>
  </si>
  <si>
    <t>【変更後】
設置場所住所</t>
    <rPh sb="1" eb="3">
      <t>ヘンコウ</t>
    </rPh>
    <rPh sb="3" eb="4">
      <t>ゴ</t>
    </rPh>
    <rPh sb="6" eb="8">
      <t>セッチ</t>
    </rPh>
    <rPh sb="8" eb="10">
      <t>バショ</t>
    </rPh>
    <rPh sb="10" eb="12">
      <t>ジュウショ</t>
    </rPh>
    <phoneticPr fontId="9"/>
  </si>
  <si>
    <t>【変更後】
契約アクセス回線</t>
    <rPh sb="1" eb="3">
      <t>ヘンコウ</t>
    </rPh>
    <rPh sb="3" eb="4">
      <t>ゴ</t>
    </rPh>
    <rPh sb="12" eb="14">
      <t>カイセン</t>
    </rPh>
    <phoneticPr fontId="3"/>
  </si>
  <si>
    <t>備考</t>
    <rPh sb="0" eb="2">
      <t>ビコウ</t>
    </rPh>
    <phoneticPr fontId="3"/>
  </si>
  <si>
    <t>LAN給電オプション違約金計算ツール</t>
    <rPh sb="3" eb="5">
      <t>キュウデン</t>
    </rPh>
    <rPh sb="10" eb="13">
      <t>イヤクキン</t>
    </rPh>
    <rPh sb="13" eb="15">
      <t>ケイサン</t>
    </rPh>
    <phoneticPr fontId="3"/>
  </si>
  <si>
    <t>※APの解約金は計算されません</t>
    <rPh sb="4" eb="6">
      <t>カイヤク</t>
    </rPh>
    <rPh sb="6" eb="7">
      <t>キン</t>
    </rPh>
    <rPh sb="8" eb="10">
      <t>ケイサン</t>
    </rPh>
    <phoneticPr fontId="3"/>
  </si>
  <si>
    <t>PoE廃止・減少希望日</t>
    <phoneticPr fontId="3"/>
  </si>
  <si>
    <t>違約金合計（税込）</t>
    <rPh sb="0" eb="3">
      <t>イヤクキン</t>
    </rPh>
    <rPh sb="3" eb="5">
      <t>ゴウケイ</t>
    </rPh>
    <rPh sb="6" eb="8">
      <t>ゼイコ</t>
    </rPh>
    <phoneticPr fontId="3"/>
  </si>
  <si>
    <t>利用開始</t>
    <rPh sb="0" eb="2">
      <t>リヨウ</t>
    </rPh>
    <rPh sb="2" eb="4">
      <t>カイシ</t>
    </rPh>
    <phoneticPr fontId="3"/>
  </si>
  <si>
    <t>満了</t>
    <rPh sb="0" eb="2">
      <t>マンリョウ</t>
    </rPh>
    <phoneticPr fontId="3"/>
  </si>
  <si>
    <t>解約日</t>
    <rPh sb="0" eb="2">
      <t>カイヤク</t>
    </rPh>
    <rPh sb="2" eb="3">
      <t>ヒ</t>
    </rPh>
    <phoneticPr fontId="3"/>
  </si>
  <si>
    <t>判定</t>
    <rPh sb="0" eb="2">
      <t>ハンテイ</t>
    </rPh>
    <phoneticPr fontId="3"/>
  </si>
  <si>
    <t>残期間</t>
    <rPh sb="0" eb="1">
      <t>ザン</t>
    </rPh>
    <rPh sb="1" eb="3">
      <t>キカン</t>
    </rPh>
    <phoneticPr fontId="3"/>
  </si>
  <si>
    <t>違約金</t>
    <rPh sb="0" eb="3">
      <t>イヤクキン</t>
    </rPh>
    <phoneticPr fontId="3"/>
  </si>
  <si>
    <t>　※先に「別紙①-1_月額支払い型申込書」か「別紙①-2_お客様お買い上げ型申込書」の</t>
    <rPh sb="2" eb="3">
      <t>サキ</t>
    </rPh>
    <rPh sb="5" eb="7">
      <t>ベッシ</t>
    </rPh>
    <rPh sb="11" eb="13">
      <t>ゲツガク</t>
    </rPh>
    <rPh sb="13" eb="15">
      <t>シハラ</t>
    </rPh>
    <rPh sb="16" eb="17">
      <t>ガタ</t>
    </rPh>
    <rPh sb="17" eb="20">
      <t>モウシコミショ</t>
    </rPh>
    <phoneticPr fontId="3"/>
  </si>
  <si>
    <t>プラン</t>
    <phoneticPr fontId="3"/>
  </si>
  <si>
    <t>利用開始日</t>
    <rPh sb="0" eb="5">
      <t>リヨウカイシヒ</t>
    </rPh>
    <phoneticPr fontId="3"/>
  </si>
  <si>
    <t>台数</t>
    <rPh sb="1" eb="2">
      <t>スウ</t>
    </rPh>
    <phoneticPr fontId="3"/>
  </si>
  <si>
    <t>歴日数</t>
    <rPh sb="0" eb="1">
      <t>レキ</t>
    </rPh>
    <rPh sb="1" eb="3">
      <t>ニッスウ</t>
    </rPh>
    <phoneticPr fontId="3"/>
  </si>
  <si>
    <t>EOM</t>
    <phoneticPr fontId="3"/>
  </si>
  <si>
    <t>日割数</t>
    <rPh sb="0" eb="2">
      <t>ヒワ</t>
    </rPh>
    <rPh sb="2" eb="3">
      <t>スウ</t>
    </rPh>
    <phoneticPr fontId="3"/>
  </si>
  <si>
    <t>満フラグ</t>
    <rPh sb="0" eb="1">
      <t>マン</t>
    </rPh>
    <phoneticPr fontId="3"/>
  </si>
  <si>
    <t>満了日</t>
    <rPh sb="0" eb="2">
      <t>マンリョウ</t>
    </rPh>
    <rPh sb="2" eb="3">
      <t>ビ</t>
    </rPh>
    <phoneticPr fontId="3"/>
  </si>
  <si>
    <t>日割数</t>
    <phoneticPr fontId="3"/>
  </si>
  <si>
    <t>違約金有無</t>
    <rPh sb="0" eb="3">
      <t>イヤクキン</t>
    </rPh>
    <rPh sb="3" eb="5">
      <t>ウム</t>
    </rPh>
    <phoneticPr fontId="3"/>
  </si>
  <si>
    <t>残期間(年)</t>
    <rPh sb="0" eb="1">
      <t>ザン</t>
    </rPh>
    <rPh sb="1" eb="3">
      <t>キカン</t>
    </rPh>
    <rPh sb="4" eb="5">
      <t>ネン</t>
    </rPh>
    <phoneticPr fontId="3"/>
  </si>
  <si>
    <t>残期間(月)</t>
    <rPh sb="0" eb="1">
      <t>ザン</t>
    </rPh>
    <rPh sb="1" eb="3">
      <t>キカン</t>
    </rPh>
    <rPh sb="4" eb="5">
      <t>ツキ</t>
    </rPh>
    <phoneticPr fontId="3"/>
  </si>
  <si>
    <t>残期間(日)</t>
    <rPh sb="0" eb="1">
      <t>ザン</t>
    </rPh>
    <rPh sb="1" eb="3">
      <t>キカン</t>
    </rPh>
    <rPh sb="4" eb="5">
      <t>ヒ</t>
    </rPh>
    <phoneticPr fontId="3"/>
  </si>
  <si>
    <t>解約金日割</t>
    <rPh sb="0" eb="2">
      <t>カイヤク</t>
    </rPh>
    <rPh sb="2" eb="3">
      <t>キン</t>
    </rPh>
    <rPh sb="3" eb="5">
      <t>ヒワ</t>
    </rPh>
    <phoneticPr fontId="3"/>
  </si>
  <si>
    <t>満額</t>
    <rPh sb="0" eb="2">
      <t>マンガク</t>
    </rPh>
    <phoneticPr fontId="3"/>
  </si>
  <si>
    <t>違約金計</t>
    <rPh sb="0" eb="3">
      <t>イヤクキン</t>
    </rPh>
    <rPh sb="3" eb="4">
      <t>ケイ</t>
    </rPh>
    <phoneticPr fontId="3"/>
  </si>
  <si>
    <t>違約金表示</t>
    <rPh sb="0" eb="3">
      <t>イヤクキン</t>
    </rPh>
    <rPh sb="3" eb="5">
      <t>ヒョウジ</t>
    </rPh>
    <phoneticPr fontId="3"/>
  </si>
  <si>
    <t>日</t>
    <rPh sb="0" eb="1">
      <t>ヒ</t>
    </rPh>
    <phoneticPr fontId="3"/>
  </si>
  <si>
    <t>AP</t>
    <phoneticPr fontId="3"/>
  </si>
  <si>
    <t>　　「PoE廃止・減少希望日」を入力してください。未入力時は計算されません。</t>
    <rPh sb="6" eb="8">
      <t>ハイシ</t>
    </rPh>
    <rPh sb="9" eb="11">
      <t>ゲンショウ</t>
    </rPh>
    <rPh sb="11" eb="13">
      <t>キボウ</t>
    </rPh>
    <rPh sb="13" eb="14">
      <t>ビ</t>
    </rPh>
    <rPh sb="16" eb="18">
      <t>ニュウリョク</t>
    </rPh>
    <rPh sb="25" eb="28">
      <t>ミニュウリョク</t>
    </rPh>
    <rPh sb="28" eb="29">
      <t>トキ</t>
    </rPh>
    <rPh sb="30" eb="32">
      <t>ケイサン</t>
    </rPh>
    <phoneticPr fontId="3"/>
  </si>
  <si>
    <t>月</t>
    <rPh sb="0" eb="1">
      <t>ガツ</t>
    </rPh>
    <phoneticPr fontId="3"/>
  </si>
  <si>
    <t>LAN給電2年</t>
    <rPh sb="3" eb="5">
      <t>キュウデン</t>
    </rPh>
    <rPh sb="6" eb="7">
      <t>ネン</t>
    </rPh>
    <phoneticPr fontId="3"/>
  </si>
  <si>
    <t>←この色のセルのみ入力してください。他は自動反映します。</t>
    <rPh sb="3" eb="4">
      <t>イロ</t>
    </rPh>
    <rPh sb="9" eb="11">
      <t>ニュウリョク</t>
    </rPh>
    <rPh sb="18" eb="19">
      <t>ホカ</t>
    </rPh>
    <rPh sb="20" eb="22">
      <t>ジドウ</t>
    </rPh>
    <rPh sb="22" eb="24">
      <t>ハンエイ</t>
    </rPh>
    <phoneticPr fontId="3"/>
  </si>
  <si>
    <t>LAN給電5年</t>
    <rPh sb="3" eb="5">
      <t>キュウデン</t>
    </rPh>
    <rPh sb="6" eb="7">
      <t>ネン</t>
    </rPh>
    <phoneticPr fontId="3"/>
  </si>
  <si>
    <t>　※同一プランを複数契約している場合でも、利用開始日が異なる場合は別々に入力が必要です。</t>
    <rPh sb="2" eb="4">
      <t>ドウイツ</t>
    </rPh>
    <rPh sb="8" eb="10">
      <t>フクスウ</t>
    </rPh>
    <rPh sb="10" eb="12">
      <t>ケイヤク</t>
    </rPh>
    <rPh sb="16" eb="18">
      <t>バアイ</t>
    </rPh>
    <rPh sb="21" eb="23">
      <t>リヨウ</t>
    </rPh>
    <rPh sb="23" eb="25">
      <t>カイシ</t>
    </rPh>
    <rPh sb="25" eb="26">
      <t>ビ</t>
    </rPh>
    <rPh sb="27" eb="28">
      <t>コト</t>
    </rPh>
    <rPh sb="30" eb="32">
      <t>バアイ</t>
    </rPh>
    <rPh sb="33" eb="35">
      <t>ベツベツ</t>
    </rPh>
    <rPh sb="36" eb="38">
      <t>ニュウリョク</t>
    </rPh>
    <rPh sb="39" eb="41">
      <t>ヒツヨウ</t>
    </rPh>
    <phoneticPr fontId="3"/>
  </si>
  <si>
    <t>（例）</t>
    <rPh sb="1" eb="2">
      <t>レイ</t>
    </rPh>
    <phoneticPr fontId="3"/>
  </si>
  <si>
    <t>契約プラン</t>
    <rPh sb="0" eb="2">
      <t>ケイヤク</t>
    </rPh>
    <phoneticPr fontId="3"/>
  </si>
  <si>
    <t>・LAN給電オプション(5年タイプ)を2017/2/4から3台利用中</t>
    <rPh sb="30" eb="31">
      <t>ダイ</t>
    </rPh>
    <phoneticPr fontId="3"/>
  </si>
  <si>
    <t>・LAN給電オプション(5年タイプ)を2017/5/1に2台追加して利用中</t>
    <rPh sb="29" eb="30">
      <t>ダイ</t>
    </rPh>
    <rPh sb="30" eb="32">
      <t>ツイカ</t>
    </rPh>
    <phoneticPr fontId="3"/>
  </si>
  <si>
    <t>・LAN給電オプション(2年タイプ)を2020/2/4に1台追加して利用中</t>
    <phoneticPr fontId="3"/>
  </si>
  <si>
    <t>2021/02/19にこれらを全廃止した場合、以下の通り入力が必要です。</t>
    <rPh sb="15" eb="16">
      <t>ゼン</t>
    </rPh>
    <rPh sb="16" eb="18">
      <t>ハイシ</t>
    </rPh>
    <rPh sb="20" eb="22">
      <t>バアイ</t>
    </rPh>
    <rPh sb="23" eb="25">
      <t>イカ</t>
    </rPh>
    <rPh sb="26" eb="27">
      <t>トオ</t>
    </rPh>
    <rPh sb="28" eb="30">
      <t>ニュウリョク</t>
    </rPh>
    <rPh sb="31" eb="33">
      <t>ヒツヨウ</t>
    </rPh>
    <phoneticPr fontId="3"/>
  </si>
  <si>
    <t>この場合、解約金は34,406円です。</t>
    <rPh sb="2" eb="4">
      <t>バアイ</t>
    </rPh>
    <rPh sb="5" eb="7">
      <t>カイヤク</t>
    </rPh>
    <rPh sb="7" eb="8">
      <t>キン</t>
    </rPh>
    <rPh sb="15" eb="16">
      <t>エン</t>
    </rPh>
    <phoneticPr fontId="3"/>
  </si>
  <si>
    <t>別紙①にも自動的に計算された金額が反映します。</t>
    <rPh sb="0" eb="2">
      <t>ベッシ</t>
    </rPh>
    <rPh sb="5" eb="8">
      <t>ジドウテキ</t>
    </rPh>
    <rPh sb="9" eb="11">
      <t>ケイサン</t>
    </rPh>
    <rPh sb="14" eb="16">
      <t>キンガク</t>
    </rPh>
    <rPh sb="17" eb="19">
      <t>ハンエイ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</si>
</sst>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 "/>
    <numFmt numFmtId="177" formatCode="[&lt;=999]000;[&lt;=9999]000\-00;000\-0000"/>
    <numFmt numFmtId="178" formatCode="[&lt;=99999999]####\-####;\(00\)\ ####\-####"/>
    <numFmt numFmtId="179" formatCode="#,##0_ "/>
    <numFmt numFmtId="180" formatCode="0_);[Red]\(0\)"/>
    <numFmt numFmtId="181" formatCode="&quot;¥&quot;#,##0_);[Red]\(&quot;¥&quot;#,##0\)"/>
  </numFmts>
  <fonts count="45" x14ac:knownFonts="1">
    <font>
      <sz val="11"/>
      <color theme="1"/>
      <name val="游ゴシック"/>
      <family val="2"/>
      <charset val="128"/>
      <scheme val="minor"/>
    </font>
    <font>
      <sz val="11"/>
      <color theme="1"/>
      <name val="游ゴシック"/>
      <family val="2"/>
      <charset val="128"/>
      <scheme val="minor"/>
    </font>
    <font>
      <sz val="11"/>
      <name val="HGP創英角ｺﾞｼｯｸUB"/>
      <family val="3"/>
      <charset val="128"/>
    </font>
    <font>
      <sz val="6"/>
      <name val="游ゴシック"/>
      <family val="2"/>
      <charset val="128"/>
      <scheme val="minor"/>
    </font>
    <font>
      <sz val="16"/>
      <name val="HGP創英角ｺﾞｼｯｸUB"/>
      <family val="3"/>
      <charset val="128"/>
    </font>
    <font>
      <sz val="12"/>
      <name val="HGP創英角ｺﾞｼｯｸUB"/>
      <family val="3"/>
      <charset val="128"/>
    </font>
    <font>
      <sz val="11"/>
      <color rgb="FFFF0000"/>
      <name val="游ゴシック"/>
      <family val="3"/>
      <charset val="128"/>
      <scheme val="minor"/>
    </font>
    <font>
      <sz val="9"/>
      <name val="HGP創英角ｺﾞｼｯｸUB"/>
      <family val="3"/>
      <charset val="128"/>
    </font>
    <font>
      <b/>
      <sz val="16"/>
      <name val="HGP創英角ｺﾞｼｯｸUB"/>
      <family val="3"/>
      <charset val="128"/>
    </font>
    <font>
      <sz val="6"/>
      <name val="ＭＳ Ｐゴシック"/>
      <family val="3"/>
      <charset val="128"/>
    </font>
    <font>
      <sz val="10"/>
      <name val="HGP創英角ｺﾞｼｯｸUB"/>
      <family val="3"/>
      <charset val="128"/>
    </font>
    <font>
      <sz val="8"/>
      <name val="HGP創英角ｺﾞｼｯｸUB"/>
      <family val="3"/>
      <charset val="128"/>
    </font>
    <font>
      <sz val="9"/>
      <color rgb="FFFF0000"/>
      <name val="HGP創英角ｺﾞｼｯｸUB"/>
      <family val="3"/>
      <charset val="128"/>
    </font>
    <font>
      <sz val="11"/>
      <name val="游ゴシック"/>
      <family val="2"/>
      <charset val="128"/>
      <scheme val="minor"/>
    </font>
    <font>
      <sz val="8"/>
      <color theme="0" tint="-0.34998626667073579"/>
      <name val="HGP創英角ｺﾞｼｯｸUB"/>
      <family val="3"/>
      <charset val="128"/>
    </font>
    <font>
      <sz val="12"/>
      <name val="ＭＳ ゴシック"/>
      <family val="3"/>
      <charset val="128"/>
    </font>
    <font>
      <sz val="14"/>
      <name val="HGP創英角ｺﾞｼｯｸUB"/>
      <family val="3"/>
      <charset val="128"/>
    </font>
    <font>
      <sz val="11"/>
      <color theme="1"/>
      <name val="HGP創英角ｺﾞｼｯｸUB"/>
      <family val="3"/>
      <charset val="128"/>
    </font>
    <font>
      <sz val="6"/>
      <name val="HGP創英角ｺﾞｼｯｸUB"/>
      <family val="3"/>
      <charset val="128"/>
    </font>
    <font>
      <sz val="8"/>
      <color rgb="FFFF0000"/>
      <name val="HGP創英角ｺﾞｼｯｸUB"/>
      <family val="3"/>
      <charset val="128"/>
    </font>
    <font>
      <sz val="9"/>
      <color theme="1"/>
      <name val="HGP創英角ｺﾞｼｯｸUB"/>
      <family val="3"/>
      <charset val="128"/>
    </font>
    <font>
      <sz val="7"/>
      <name val="HGP創英角ｺﾞｼｯｸUB"/>
      <family val="3"/>
      <charset val="128"/>
    </font>
    <font>
      <sz val="9"/>
      <name val="MS UI Gothic"/>
      <family val="3"/>
      <charset val="128"/>
    </font>
    <font>
      <b/>
      <sz val="9"/>
      <color indexed="81"/>
      <name val="ＭＳ Ｐゴシック"/>
      <family val="3"/>
      <charset val="128"/>
    </font>
    <font>
      <sz val="9"/>
      <color indexed="81"/>
      <name val="ＭＳ Ｐゴシック"/>
      <family val="3"/>
      <charset val="128"/>
    </font>
    <font>
      <sz val="9"/>
      <color theme="1"/>
      <name val="游ゴシック"/>
      <family val="2"/>
      <charset val="128"/>
      <scheme val="minor"/>
    </font>
    <font>
      <sz val="12"/>
      <color rgb="FFFF0000"/>
      <name val="HGP創英角ｺﾞｼｯｸUB"/>
      <family val="3"/>
      <charset val="128"/>
    </font>
    <font>
      <sz val="10"/>
      <color theme="1"/>
      <name val="HGP創英角ｺﾞｼｯｸUB"/>
      <family val="3"/>
      <charset val="128"/>
    </font>
    <font>
      <sz val="10"/>
      <color rgb="FFFF0000"/>
      <name val="HGP創英角ｺﾞｼｯｸUB"/>
      <family val="3"/>
      <charset val="128"/>
    </font>
    <font>
      <b/>
      <sz val="10"/>
      <color rgb="FF00CC00"/>
      <name val="HGP創英角ｺﾞｼｯｸUB"/>
      <family val="3"/>
      <charset val="128"/>
    </font>
    <font>
      <sz val="11"/>
      <name val="ＭＳ ゴシック"/>
      <family val="3"/>
      <charset val="128"/>
    </font>
    <font>
      <b/>
      <sz val="9"/>
      <color indexed="10"/>
      <name val="ＭＳ Ｐゴシック"/>
      <family val="3"/>
      <charset val="128"/>
    </font>
    <font>
      <sz val="22"/>
      <name val="HGP創英角ｺﾞｼｯｸUB"/>
      <family val="3"/>
      <charset val="128"/>
    </font>
    <font>
      <sz val="11"/>
      <color theme="1"/>
      <name val="游ゴシック"/>
      <family val="3"/>
      <charset val="128"/>
      <scheme val="minor"/>
    </font>
    <font>
      <sz val="18"/>
      <name val="HGP創英角ｺﾞｼｯｸUB"/>
      <family val="3"/>
      <charset val="128"/>
    </font>
    <font>
      <sz val="11"/>
      <color indexed="8"/>
      <name val="HGP創英角ｺﾞｼｯｸUB"/>
      <family val="3"/>
      <charset val="128"/>
    </font>
    <font>
      <b/>
      <sz val="18"/>
      <color rgb="FF0070C0"/>
      <name val="Meiryo UI"/>
      <family val="3"/>
      <charset val="128"/>
    </font>
    <font>
      <sz val="11"/>
      <color theme="1"/>
      <name val="Meiryo UI"/>
      <family val="3"/>
      <charset val="128"/>
    </font>
    <font>
      <b/>
      <sz val="11"/>
      <color rgb="FFFF0000"/>
      <name val="Meiryo UI"/>
      <family val="3"/>
      <charset val="128"/>
    </font>
    <font>
      <sz val="12"/>
      <color theme="1"/>
      <name val="Meiryo UI"/>
      <family val="3"/>
      <charset val="128"/>
    </font>
    <font>
      <b/>
      <sz val="14"/>
      <color rgb="FFFF0000"/>
      <name val="Meiryo UI"/>
      <family val="3"/>
      <charset val="128"/>
    </font>
    <font>
      <sz val="11"/>
      <color rgb="FFFF0000"/>
      <name val="Meiryo UI"/>
      <family val="3"/>
      <charset val="128"/>
    </font>
    <font>
      <b/>
      <sz val="14"/>
      <color theme="1"/>
      <name val="Meiryo UI"/>
      <family val="3"/>
      <charset val="128"/>
    </font>
    <font>
      <sz val="16"/>
      <color theme="1"/>
      <name val="Meiryo UI"/>
      <family val="3"/>
      <charset val="128"/>
    </font>
    <font>
      <sz val="11"/>
      <name val="Meiryo UI"/>
      <family val="3"/>
      <charset val="128"/>
    </font>
  </fonts>
  <fills count="16">
    <fill>
      <patternFill patternType="none"/>
    </fill>
    <fill>
      <patternFill patternType="gray125"/>
    </fill>
    <fill>
      <patternFill patternType="solid">
        <fgColor theme="0"/>
        <bgColor indexed="64"/>
      </patternFill>
    </fill>
    <fill>
      <patternFill patternType="solid">
        <fgColor rgb="FFF2F2F2"/>
        <bgColor indexed="64"/>
      </patternFill>
    </fill>
    <fill>
      <patternFill patternType="solid">
        <fgColor theme="0" tint="-4.9989318521683403E-2"/>
        <bgColor indexed="64"/>
      </patternFill>
    </fill>
    <fill>
      <patternFill patternType="solid">
        <fgColor indexed="2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9" tint="0.79998168889431442"/>
        <bgColor indexed="64"/>
      </patternFill>
    </fill>
  </fills>
  <borders count="8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indexed="64"/>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34998626667073579"/>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right style="thin">
        <color auto="1"/>
      </right>
      <top style="thin">
        <color theme="0" tint="-0.499984740745262"/>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theme="1"/>
      </left>
      <right/>
      <top/>
      <bottom/>
      <diagonal/>
    </border>
    <border>
      <left/>
      <right style="thin">
        <color theme="1"/>
      </right>
      <top/>
      <bottom/>
      <diagonal/>
    </border>
    <border>
      <left/>
      <right style="thin">
        <color auto="1"/>
      </right>
      <top/>
      <bottom/>
      <diagonal/>
    </border>
    <border>
      <left style="thin">
        <color auto="1"/>
      </left>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bottom style="thin">
        <color indexed="64"/>
      </bottom>
      <diagonal/>
    </border>
    <border>
      <left/>
      <right style="thin">
        <color auto="1"/>
      </right>
      <top/>
      <bottom style="thin">
        <color auto="1"/>
      </bottom>
      <diagonal/>
    </border>
    <border>
      <left style="thin">
        <color auto="1"/>
      </left>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style="thin">
        <color theme="0" tint="-0.499984740745262"/>
      </top>
      <bottom style="hair">
        <color indexed="64"/>
      </bottom>
      <diagonal/>
    </border>
    <border>
      <left/>
      <right style="thin">
        <color theme="0" tint="-0.499984740745262"/>
      </right>
      <top style="thin">
        <color theme="0" tint="-0.499984740745262"/>
      </top>
      <bottom style="hair">
        <color indexed="64"/>
      </bottom>
      <diagonal/>
    </border>
    <border>
      <left/>
      <right/>
      <top style="hair">
        <color indexed="64"/>
      </top>
      <bottom style="hair">
        <color indexed="64"/>
      </bottom>
      <diagonal/>
    </border>
    <border>
      <left/>
      <right style="thin">
        <color theme="0" tint="-0.499984740745262"/>
      </right>
      <top style="hair">
        <color indexed="64"/>
      </top>
      <bottom style="hair">
        <color indexed="64"/>
      </bottom>
      <diagonal/>
    </border>
    <border>
      <left style="thin">
        <color theme="0" tint="-0.499984740745262"/>
      </left>
      <right/>
      <top style="hair">
        <color indexed="64"/>
      </top>
      <bottom style="thin">
        <color theme="0" tint="-0.499984740745262"/>
      </bottom>
      <diagonal/>
    </border>
    <border>
      <left/>
      <right/>
      <top style="hair">
        <color indexed="64"/>
      </top>
      <bottom style="thin">
        <color theme="0" tint="-0.499984740745262"/>
      </bottom>
      <diagonal/>
    </border>
    <border>
      <left/>
      <right style="thin">
        <color theme="0" tint="-0.499984740745262"/>
      </right>
      <top style="hair">
        <color indexed="64"/>
      </top>
      <bottom style="thin">
        <color theme="0" tint="-0.499984740745262"/>
      </bottom>
      <diagonal/>
    </border>
    <border>
      <left style="thin">
        <color theme="0" tint="-0.499984740745262"/>
      </left>
      <right/>
      <top style="thin">
        <color theme="1" tint="0.499984740745262"/>
      </top>
      <bottom/>
      <diagonal/>
    </border>
    <border>
      <left/>
      <right/>
      <top style="thin">
        <color theme="1" tint="0.499984740745262"/>
      </top>
      <bottom/>
      <diagonal/>
    </border>
    <border>
      <left style="thin">
        <color theme="0" tint="-0.499984740745262"/>
      </left>
      <right/>
      <top style="thin">
        <color theme="1" tint="0.499984740745262"/>
      </top>
      <bottom style="thin">
        <color theme="0" tint="-0.499984740745262"/>
      </bottom>
      <diagonal/>
    </border>
    <border>
      <left/>
      <right style="thin">
        <color theme="0" tint="-0.499984740745262"/>
      </right>
      <top style="thin">
        <color theme="1" tint="0.499984740745262"/>
      </top>
      <bottom style="thin">
        <color theme="0" tint="-0.499984740745262"/>
      </bottom>
      <diagonal/>
    </border>
    <border>
      <left style="thin">
        <color theme="0" tint="-0.499984740745262"/>
      </left>
      <right/>
      <top style="thin">
        <color theme="1" tint="0.499984740745262"/>
      </top>
      <bottom style="hair">
        <color indexed="64"/>
      </bottom>
      <diagonal/>
    </border>
    <border>
      <left/>
      <right/>
      <top style="thin">
        <color theme="1" tint="0.499984740745262"/>
      </top>
      <bottom style="hair">
        <color indexed="64"/>
      </bottom>
      <diagonal/>
    </border>
    <border>
      <left/>
      <right style="thin">
        <color theme="0" tint="-0.499984740745262"/>
      </right>
      <top style="thin">
        <color theme="1" tint="0.499984740745262"/>
      </top>
      <bottom style="hair">
        <color indexed="64"/>
      </bottom>
      <diagonal/>
    </border>
    <border>
      <left style="thin">
        <color theme="0" tint="-0.499984740745262"/>
      </left>
      <right/>
      <top style="thin">
        <color theme="0" tint="-0.499984740745262"/>
      </top>
      <bottom style="hair">
        <color indexed="64"/>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0" tint="-0.499984740745262"/>
      </right>
      <top style="thin">
        <color theme="1" tint="0.499984740745262"/>
      </top>
      <bottom/>
      <diagonal/>
    </border>
    <border>
      <left/>
      <right style="thin">
        <color theme="1" tint="0.499984740745262"/>
      </right>
      <top style="thin">
        <color theme="0" tint="-0.499984740745262"/>
      </top>
      <bottom style="thin">
        <color theme="0" tint="-0.499984740745262"/>
      </bottom>
      <diagonal/>
    </border>
    <border>
      <left/>
      <right style="thin">
        <color theme="0" tint="-0.499984740745262"/>
      </right>
      <top style="thin">
        <color theme="1" tint="0.499984740745262"/>
      </top>
      <bottom style="thin">
        <color theme="1" tint="0.499984740745262"/>
      </bottom>
      <diagonal/>
    </border>
    <border>
      <left style="thin">
        <color theme="1" tint="0.499984740745262"/>
      </left>
      <right/>
      <top/>
      <bottom style="thin">
        <color theme="0" tint="-0.499984740745262"/>
      </bottom>
      <diagonal/>
    </border>
    <border>
      <left style="thin">
        <color theme="0" tint="-0.499984740745262"/>
      </left>
      <right/>
      <top style="thin">
        <color theme="0" tint="-0.499984740745262"/>
      </top>
      <bottom style="thin">
        <color theme="1" tint="0.499984740745262"/>
      </bottom>
      <diagonal/>
    </border>
    <border>
      <left/>
      <right/>
      <top style="thin">
        <color theme="0" tint="-0.499984740745262"/>
      </top>
      <bottom style="thin">
        <color theme="1" tint="0.499984740745262"/>
      </bottom>
      <diagonal/>
    </border>
    <border>
      <left style="thin">
        <color theme="0" tint="-0.499984740745262"/>
      </left>
      <right style="thin">
        <color auto="1"/>
      </right>
      <top style="thin">
        <color theme="0" tint="-0.499984740745262"/>
      </top>
      <bottom style="thin">
        <color auto="1"/>
      </bottom>
      <diagonal/>
    </border>
    <border>
      <left style="thin">
        <color auto="1"/>
      </left>
      <right style="thin">
        <color auto="1"/>
      </right>
      <top style="thin">
        <color theme="0" tint="-0.499984740745262"/>
      </top>
      <bottom style="thin">
        <color auto="1"/>
      </bottom>
      <diagonal/>
    </border>
    <border>
      <left style="thin">
        <color auto="1"/>
      </left>
      <right style="thin">
        <color theme="0" tint="-0.499984740745262"/>
      </right>
      <top style="thin">
        <color theme="0" tint="-0.499984740745262"/>
      </top>
      <bottom style="thin">
        <color auto="1"/>
      </bottom>
      <diagonal/>
    </border>
    <border>
      <left style="thin">
        <color theme="0" tint="-0.499984740745262"/>
      </left>
      <right style="thin">
        <color auto="1"/>
      </right>
      <top style="thin">
        <color auto="1"/>
      </top>
      <bottom style="thin">
        <color theme="0" tint="-0.499984740745262"/>
      </bottom>
      <diagonal/>
    </border>
    <border>
      <left style="thin">
        <color auto="1"/>
      </left>
      <right style="thin">
        <color auto="1"/>
      </right>
      <top style="thin">
        <color auto="1"/>
      </top>
      <bottom style="thin">
        <color theme="0" tint="-0.499984740745262"/>
      </bottom>
      <diagonal/>
    </border>
    <border>
      <left style="thin">
        <color auto="1"/>
      </left>
      <right style="thin">
        <color theme="0" tint="-0.499984740745262"/>
      </right>
      <top style="thin">
        <color auto="1"/>
      </top>
      <bottom style="thin">
        <color theme="0" tint="-0.499984740745262"/>
      </bottom>
      <diagonal/>
    </border>
    <border>
      <left/>
      <right/>
      <top style="thin">
        <color theme="0" tint="-0.34998626667073579"/>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34998626667073579"/>
      </left>
      <right/>
      <top/>
      <bottom style="thin">
        <color theme="0" tint="-0.499984740745262"/>
      </bottom>
      <diagonal/>
    </border>
    <border>
      <left style="hair">
        <color auto="1"/>
      </left>
      <right style="hair">
        <color auto="1"/>
      </right>
      <top style="thin">
        <color auto="1"/>
      </top>
      <bottom style="thin">
        <color auto="1"/>
      </bottom>
      <diagonal/>
    </border>
  </borders>
  <cellStyleXfs count="4">
    <xf numFmtId="0" fontId="0" fillId="0" borderId="0">
      <alignment vertical="center"/>
    </xf>
    <xf numFmtId="0" fontId="1" fillId="0" borderId="0">
      <alignment vertical="center"/>
    </xf>
    <xf numFmtId="0" fontId="1" fillId="0" borderId="0">
      <alignment vertical="center"/>
    </xf>
    <xf numFmtId="0" fontId="33" fillId="0" borderId="0">
      <alignment vertical="center"/>
    </xf>
  </cellStyleXfs>
  <cellXfs count="693">
    <xf numFmtId="0" fontId="0" fillId="0" borderId="0" xfId="0">
      <alignment vertical="center"/>
    </xf>
    <xf numFmtId="0" fontId="2" fillId="2" borderId="0" xfId="0" applyFont="1" applyFill="1">
      <alignment vertical="center"/>
    </xf>
    <xf numFmtId="49" fontId="4" fillId="2" borderId="0" xfId="0" applyNumberFormat="1" applyFont="1" applyFill="1" applyAlignment="1">
      <alignment horizontal="center" vertical="center"/>
    </xf>
    <xf numFmtId="0" fontId="2" fillId="0" borderId="0" xfId="0" applyFont="1">
      <alignment vertical="center"/>
    </xf>
    <xf numFmtId="0" fontId="5" fillId="2" borderId="0" xfId="0" applyFont="1" applyFill="1">
      <alignment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0" borderId="1" xfId="0" applyFont="1" applyBorder="1" applyAlignment="1" applyProtection="1">
      <alignment horizontal="center" vertic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2" borderId="1" xfId="0" applyFont="1" applyFill="1" applyBorder="1" applyAlignment="1">
      <alignment horizontal="center" vertical="center"/>
    </xf>
    <xf numFmtId="0" fontId="2" fillId="0" borderId="5" xfId="0" applyFont="1" applyBorder="1" applyAlignment="1" applyProtection="1">
      <alignment horizontal="center" vertical="center"/>
      <protection locked="0"/>
    </xf>
    <xf numFmtId="0" fontId="2" fillId="0" borderId="6" xfId="0" applyFont="1" applyBorder="1" applyAlignment="1" applyProtection="1">
      <alignment horizontal="center" vertical="center"/>
      <protection locked="0"/>
    </xf>
    <xf numFmtId="0" fontId="2" fillId="0" borderId="7" xfId="0" applyFont="1" applyBorder="1" applyAlignment="1">
      <alignment horizontal="center" vertical="center"/>
    </xf>
    <xf numFmtId="0" fontId="2" fillId="0" borderId="4" xfId="0" applyFont="1"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2" fillId="0" borderId="8"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0" fontId="2" fillId="2" borderId="1" xfId="0" applyFont="1" applyFill="1" applyBorder="1" applyAlignment="1" applyProtection="1">
      <alignment horizontal="center" vertical="center"/>
      <protection locked="0"/>
    </xf>
    <xf numFmtId="0" fontId="2" fillId="2" borderId="2" xfId="0" applyFont="1" applyFill="1" applyBorder="1" applyAlignment="1" applyProtection="1">
      <alignment horizontal="center" vertical="center"/>
      <protection locked="0"/>
    </xf>
    <xf numFmtId="0" fontId="2" fillId="2" borderId="1" xfId="0" applyFont="1" applyFill="1" applyBorder="1" applyAlignment="1">
      <alignment horizontal="center" vertical="center" wrapText="1"/>
    </xf>
    <xf numFmtId="0" fontId="7" fillId="0" borderId="0" xfId="0" applyFont="1">
      <alignment vertical="center"/>
    </xf>
    <xf numFmtId="49" fontId="8" fillId="0" borderId="0" xfId="0" applyNumberFormat="1" applyFont="1" applyAlignment="1">
      <alignment horizontal="center" vertical="center" wrapText="1"/>
    </xf>
    <xf numFmtId="49" fontId="4" fillId="0" borderId="0" xfId="0" applyNumberFormat="1" applyFont="1" applyAlignment="1">
      <alignment horizontal="center" vertical="center"/>
    </xf>
    <xf numFmtId="49" fontId="7" fillId="0" borderId="0" xfId="0" applyNumberFormat="1" applyFont="1">
      <alignment vertical="center"/>
    </xf>
    <xf numFmtId="14" fontId="7" fillId="0" borderId="0" xfId="0" applyNumberFormat="1" applyFont="1">
      <alignment vertical="center"/>
    </xf>
    <xf numFmtId="49" fontId="7" fillId="3" borderId="10" xfId="1" applyNumberFormat="1" applyFont="1" applyFill="1" applyBorder="1" applyAlignment="1">
      <alignment horizontal="center" vertical="center"/>
    </xf>
    <xf numFmtId="0" fontId="0" fillId="0" borderId="11" xfId="1" applyFont="1" applyBorder="1">
      <alignment vertical="center"/>
    </xf>
    <xf numFmtId="0" fontId="0" fillId="0" borderId="12" xfId="1" applyFont="1" applyBorder="1">
      <alignment vertical="center"/>
    </xf>
    <xf numFmtId="49" fontId="10" fillId="0" borderId="10" xfId="0" applyNumberFormat="1" applyFont="1" applyBorder="1" applyAlignment="1">
      <alignment horizontal="center" vertical="center"/>
    </xf>
    <xf numFmtId="49" fontId="10" fillId="0" borderId="11"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4" fillId="0" borderId="0" xfId="0" applyNumberFormat="1" applyFont="1" applyAlignment="1">
      <alignment horizontal="center" vertical="center"/>
    </xf>
    <xf numFmtId="0" fontId="2" fillId="2" borderId="0" xfId="2" applyFont="1" applyFill="1" applyAlignment="1">
      <alignment horizontal="right" vertical="center"/>
    </xf>
    <xf numFmtId="49" fontId="11" fillId="0" borderId="0" xfId="0" applyNumberFormat="1" applyFont="1" applyAlignment="1">
      <alignment horizontal="left" vertical="center"/>
    </xf>
    <xf numFmtId="49" fontId="7" fillId="3" borderId="1" xfId="0" applyNumberFormat="1" applyFont="1" applyFill="1" applyBorder="1" applyAlignment="1">
      <alignment horizontal="center" vertical="center"/>
    </xf>
    <xf numFmtId="176" fontId="7" fillId="0" borderId="1" xfId="0" applyNumberFormat="1" applyFont="1" applyBorder="1" applyAlignment="1" applyProtection="1">
      <alignment horizontal="center" vertical="center"/>
      <protection locked="0"/>
    </xf>
    <xf numFmtId="49" fontId="7" fillId="3" borderId="1" xfId="0" applyNumberFormat="1" applyFont="1" applyFill="1" applyBorder="1" applyAlignment="1">
      <alignment horizontal="center" vertical="center"/>
    </xf>
    <xf numFmtId="49" fontId="12" fillId="3" borderId="2" xfId="0" applyNumberFormat="1" applyFont="1" applyFill="1" applyBorder="1">
      <alignment vertical="center"/>
    </xf>
    <xf numFmtId="49" fontId="12" fillId="3" borderId="13" xfId="0" applyNumberFormat="1" applyFont="1" applyFill="1" applyBorder="1">
      <alignment vertical="center"/>
    </xf>
    <xf numFmtId="49" fontId="7" fillId="3" borderId="14"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49" fontId="7" fillId="3" borderId="15" xfId="0" applyNumberFormat="1" applyFont="1" applyFill="1" applyBorder="1" applyAlignment="1">
      <alignment horizontal="center" vertical="center"/>
    </xf>
    <xf numFmtId="0" fontId="7" fillId="3" borderId="2" xfId="0" applyFont="1" applyFill="1" applyBorder="1" applyAlignment="1">
      <alignment horizontal="center" vertical="center"/>
    </xf>
    <xf numFmtId="0" fontId="7" fillId="3" borderId="13" xfId="0" applyFont="1" applyFill="1" applyBorder="1" applyAlignment="1">
      <alignment horizontal="center" vertical="center"/>
    </xf>
    <xf numFmtId="0" fontId="7" fillId="3" borderId="15" xfId="0" applyFont="1" applyFill="1" applyBorder="1" applyAlignment="1">
      <alignment horizontal="center" vertical="center"/>
    </xf>
    <xf numFmtId="0" fontId="2" fillId="0" borderId="0" xfId="0" applyFont="1" applyAlignment="1">
      <alignment horizontal="left" vertical="center"/>
    </xf>
    <xf numFmtId="0" fontId="13" fillId="0" borderId="0" xfId="0" applyFont="1" applyAlignment="1">
      <alignment horizontal="center" vertical="center"/>
    </xf>
    <xf numFmtId="14" fontId="2" fillId="0" borderId="0" xfId="0" applyNumberFormat="1" applyFont="1" applyAlignment="1">
      <alignment horizontal="center" vertical="center"/>
    </xf>
    <xf numFmtId="49" fontId="7" fillId="3" borderId="1" xfId="0" applyNumberFormat="1" applyFont="1" applyFill="1" applyBorder="1" applyAlignment="1">
      <alignment horizontal="center" vertical="center" wrapText="1"/>
    </xf>
    <xf numFmtId="49" fontId="11" fillId="3" borderId="1" xfId="0" applyNumberFormat="1" applyFont="1" applyFill="1" applyBorder="1" applyAlignment="1">
      <alignment horizontal="left" vertical="center"/>
    </xf>
    <xf numFmtId="49" fontId="11" fillId="0" borderId="2" xfId="0" applyNumberFormat="1" applyFont="1" applyBorder="1" applyProtection="1">
      <alignment vertical="center"/>
      <protection locked="0"/>
    </xf>
    <xf numFmtId="49" fontId="11" fillId="0" borderId="13" xfId="0" applyNumberFormat="1" applyFont="1" applyBorder="1" applyProtection="1">
      <alignment vertical="center"/>
      <protection locked="0"/>
    </xf>
    <xf numFmtId="49" fontId="11" fillId="0" borderId="15" xfId="0" applyNumberFormat="1" applyFont="1" applyBorder="1" applyProtection="1">
      <alignment vertical="center"/>
      <protection locked="0"/>
    </xf>
    <xf numFmtId="49" fontId="14" fillId="0" borderId="6" xfId="0" applyNumberFormat="1" applyFont="1" applyBorder="1" applyAlignment="1">
      <alignment horizontal="center" vertical="center"/>
    </xf>
    <xf numFmtId="49" fontId="14" fillId="0" borderId="16" xfId="0" applyNumberFormat="1" applyFont="1" applyBorder="1" applyAlignment="1">
      <alignment horizontal="center" vertical="center"/>
    </xf>
    <xf numFmtId="0" fontId="13" fillId="0" borderId="0" xfId="0" applyFont="1">
      <alignment vertical="center"/>
    </xf>
    <xf numFmtId="14" fontId="2" fillId="0" borderId="0" xfId="0" applyNumberFormat="1" applyFont="1">
      <alignment vertical="center"/>
    </xf>
    <xf numFmtId="49" fontId="5" fillId="0" borderId="5" xfId="0" applyNumberFormat="1" applyFont="1" applyBorder="1" applyProtection="1">
      <alignment vertical="center"/>
      <protection locked="0"/>
    </xf>
    <xf numFmtId="49" fontId="5" fillId="0" borderId="6" xfId="0" applyNumberFormat="1" applyFont="1" applyBorder="1" applyProtection="1">
      <alignment vertical="center"/>
      <protection locked="0"/>
    </xf>
    <xf numFmtId="49" fontId="5" fillId="0" borderId="16" xfId="0" applyNumberFormat="1" applyFont="1" applyBorder="1" applyProtection="1">
      <alignment vertical="center"/>
      <protection locked="0"/>
    </xf>
    <xf numFmtId="49" fontId="14" fillId="0" borderId="0" xfId="0" applyNumberFormat="1" applyFont="1" applyAlignment="1">
      <alignment horizontal="center" vertical="center"/>
    </xf>
    <xf numFmtId="49" fontId="14" fillId="0" borderId="17" xfId="0" applyNumberFormat="1" applyFont="1" applyBorder="1" applyAlignment="1">
      <alignment horizontal="center" vertical="center"/>
    </xf>
    <xf numFmtId="14" fontId="13" fillId="0" borderId="0" xfId="0" applyNumberFormat="1" applyFont="1">
      <alignment vertical="center"/>
    </xf>
    <xf numFmtId="49" fontId="5" fillId="0" borderId="8" xfId="0" applyNumberFormat="1" applyFont="1" applyBorder="1" applyProtection="1">
      <alignment vertical="center"/>
      <protection locked="0"/>
    </xf>
    <xf numFmtId="49" fontId="5" fillId="0" borderId="9" xfId="0" applyNumberFormat="1" applyFont="1" applyBorder="1" applyProtection="1">
      <alignment vertical="center"/>
      <protection locked="0"/>
    </xf>
    <xf numFmtId="49" fontId="5" fillId="0" borderId="18" xfId="0" applyNumberFormat="1" applyFont="1" applyBorder="1" applyProtection="1">
      <alignment vertical="center"/>
      <protection locked="0"/>
    </xf>
    <xf numFmtId="49" fontId="14" fillId="0" borderId="9" xfId="0" applyNumberFormat="1" applyFont="1" applyBorder="1" applyAlignment="1">
      <alignment horizontal="center" vertical="center"/>
    </xf>
    <xf numFmtId="49" fontId="14" fillId="0" borderId="18" xfId="0" applyNumberFormat="1" applyFont="1" applyBorder="1" applyAlignment="1">
      <alignment horizontal="center" vertical="center"/>
    </xf>
    <xf numFmtId="14" fontId="13" fillId="0" borderId="0" xfId="0" applyNumberFormat="1" applyFont="1" applyAlignment="1">
      <alignment horizontal="center" vertical="center"/>
    </xf>
    <xf numFmtId="49" fontId="7" fillId="3" borderId="5" xfId="0" applyNumberFormat="1" applyFont="1" applyFill="1" applyBorder="1" applyAlignment="1">
      <alignment horizontal="center" vertical="center"/>
    </xf>
    <xf numFmtId="49" fontId="7" fillId="3" borderId="6"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 xfId="0" applyNumberFormat="1" applyFont="1" applyFill="1" applyBorder="1">
      <alignment vertical="center"/>
    </xf>
    <xf numFmtId="177" fontId="7" fillId="0" borderId="1" xfId="0" quotePrefix="1" applyNumberFormat="1" applyFont="1" applyBorder="1" applyAlignment="1" applyProtection="1">
      <alignment horizontal="center" vertical="center"/>
      <protection locked="0"/>
    </xf>
    <xf numFmtId="49" fontId="11" fillId="0" borderId="2" xfId="0" applyNumberFormat="1" applyFont="1" applyBorder="1" applyAlignment="1" applyProtection="1">
      <alignment horizontal="left" vertical="center"/>
      <protection locked="0"/>
    </xf>
    <xf numFmtId="49" fontId="11" fillId="0" borderId="13" xfId="0" applyNumberFormat="1" applyFont="1" applyBorder="1" applyAlignment="1" applyProtection="1">
      <alignment horizontal="left" vertical="center"/>
      <protection locked="0"/>
    </xf>
    <xf numFmtId="49" fontId="11" fillId="0" borderId="15" xfId="0" applyNumberFormat="1" applyFont="1" applyBorder="1" applyAlignment="1" applyProtection="1">
      <alignment horizontal="left" vertical="center"/>
      <protection locked="0"/>
    </xf>
    <xf numFmtId="0" fontId="15" fillId="0" borderId="0" xfId="0" applyFont="1" applyAlignment="1"/>
    <xf numFmtId="49" fontId="7" fillId="3" borderId="4" xfId="0" applyNumberFormat="1" applyFont="1" applyFill="1" applyBorder="1" applyAlignment="1">
      <alignment horizontal="center" vertical="center"/>
    </xf>
    <xf numFmtId="49" fontId="7" fillId="3" borderId="0" xfId="0" applyNumberFormat="1" applyFont="1" applyFill="1" applyAlignment="1">
      <alignment horizontal="center" vertical="center"/>
    </xf>
    <xf numFmtId="49" fontId="7" fillId="3" borderId="17" xfId="0" applyNumberFormat="1" applyFont="1" applyFill="1" applyBorder="1" applyAlignment="1">
      <alignment horizontal="center" vertical="center"/>
    </xf>
    <xf numFmtId="49" fontId="11" fillId="4" borderId="5" xfId="0" applyNumberFormat="1" applyFont="1" applyFill="1" applyBorder="1" applyAlignment="1">
      <alignment horizontal="center" vertical="center"/>
    </xf>
    <xf numFmtId="49" fontId="11" fillId="4" borderId="6" xfId="0" applyNumberFormat="1" applyFont="1" applyFill="1" applyBorder="1" applyAlignment="1">
      <alignment horizontal="center" vertical="center"/>
    </xf>
    <xf numFmtId="49" fontId="11" fillId="4" borderId="16" xfId="0" applyNumberFormat="1" applyFont="1" applyFill="1" applyBorder="1" applyAlignment="1">
      <alignment horizontal="center" vertical="center"/>
    </xf>
    <xf numFmtId="0" fontId="2" fillId="0" borderId="16" xfId="0" applyFont="1" applyBorder="1" applyAlignment="1" applyProtection="1">
      <alignment horizontal="center" vertical="center"/>
      <protection locked="0"/>
    </xf>
    <xf numFmtId="49" fontId="11" fillId="3" borderId="5" xfId="0" applyNumberFormat="1" applyFont="1" applyFill="1" applyBorder="1" applyAlignment="1">
      <alignment horizontal="center" vertical="center" wrapText="1"/>
    </xf>
    <xf numFmtId="49" fontId="11" fillId="3" borderId="6" xfId="0" applyNumberFormat="1" applyFont="1" applyFill="1" applyBorder="1" applyAlignment="1">
      <alignment horizontal="center" vertical="center"/>
    </xf>
    <xf numFmtId="49" fontId="11" fillId="3" borderId="16" xfId="0" applyNumberFormat="1" applyFont="1" applyFill="1" applyBorder="1" applyAlignment="1">
      <alignment horizontal="center" vertical="center"/>
    </xf>
    <xf numFmtId="0" fontId="2" fillId="0" borderId="5" xfId="0" applyFont="1" applyBorder="1" applyAlignment="1" applyProtection="1">
      <alignment horizontal="left" vertical="center" wrapText="1"/>
      <protection locked="0"/>
    </xf>
    <xf numFmtId="0" fontId="2" fillId="0" borderId="6" xfId="0" applyFont="1" applyBorder="1" applyAlignment="1" applyProtection="1">
      <alignment horizontal="left" vertical="center" wrapText="1"/>
      <protection locked="0"/>
    </xf>
    <xf numFmtId="0" fontId="2" fillId="0" borderId="16" xfId="0" applyFont="1" applyBorder="1" applyAlignment="1" applyProtection="1">
      <alignment horizontal="left" vertical="center" wrapText="1"/>
      <protection locked="0"/>
    </xf>
    <xf numFmtId="0" fontId="15" fillId="0" borderId="0" xfId="0" applyFont="1" applyAlignment="1">
      <alignment vertical="top"/>
    </xf>
    <xf numFmtId="49" fontId="11" fillId="4" borderId="8" xfId="0" applyNumberFormat="1" applyFont="1" applyFill="1" applyBorder="1" applyAlignment="1">
      <alignment horizontal="center" vertical="center"/>
    </xf>
    <xf numFmtId="49" fontId="11" fillId="4" borderId="9" xfId="0" applyNumberFormat="1" applyFont="1" applyFill="1" applyBorder="1" applyAlignment="1">
      <alignment horizontal="center" vertical="center"/>
    </xf>
    <xf numFmtId="49" fontId="11" fillId="4" borderId="18" xfId="0" applyNumberFormat="1" applyFont="1" applyFill="1" applyBorder="1" applyAlignment="1">
      <alignment horizontal="center" vertical="center"/>
    </xf>
    <xf numFmtId="0" fontId="2" fillId="0" borderId="18" xfId="0" applyFont="1" applyBorder="1" applyAlignment="1" applyProtection="1">
      <alignment horizontal="center" vertical="center"/>
      <protection locked="0"/>
    </xf>
    <xf numFmtId="49" fontId="11" fillId="3" borderId="8" xfId="0" applyNumberFormat="1" applyFont="1" applyFill="1" applyBorder="1" applyAlignment="1">
      <alignment horizontal="center" vertical="center"/>
    </xf>
    <xf numFmtId="49" fontId="11" fillId="3" borderId="9" xfId="0" applyNumberFormat="1" applyFont="1" applyFill="1" applyBorder="1" applyAlignment="1">
      <alignment horizontal="center" vertical="center"/>
    </xf>
    <xf numFmtId="49" fontId="11" fillId="3" borderId="18" xfId="0" applyNumberFormat="1" applyFont="1" applyFill="1" applyBorder="1" applyAlignment="1">
      <alignment horizontal="center" vertical="center"/>
    </xf>
    <xf numFmtId="0" fontId="2" fillId="0" borderId="8" xfId="0" applyFont="1" applyBorder="1" applyAlignment="1" applyProtection="1">
      <alignment horizontal="left" vertical="center" wrapText="1"/>
      <protection locked="0"/>
    </xf>
    <xf numFmtId="0" fontId="2" fillId="0" borderId="9" xfId="0" applyFont="1" applyBorder="1" applyAlignment="1" applyProtection="1">
      <alignment horizontal="left" vertical="center" wrapText="1"/>
      <protection locked="0"/>
    </xf>
    <xf numFmtId="0" fontId="2" fillId="0" borderId="18" xfId="0" applyFont="1" applyBorder="1" applyAlignment="1" applyProtection="1">
      <alignment horizontal="left" vertical="center" wrapText="1"/>
      <protection locked="0"/>
    </xf>
    <xf numFmtId="49" fontId="7" fillId="3" borderId="8" xfId="0" applyNumberFormat="1" applyFont="1" applyFill="1" applyBorder="1" applyAlignment="1">
      <alignment horizontal="center" vertical="center"/>
    </xf>
    <xf numFmtId="49" fontId="7" fillId="3" borderId="9" xfId="0" applyNumberFormat="1" applyFont="1" applyFill="1" applyBorder="1" applyAlignment="1">
      <alignment horizontal="center" vertical="center"/>
    </xf>
    <xf numFmtId="49" fontId="7" fillId="3" borderId="18" xfId="0" applyNumberFormat="1" applyFont="1" applyFill="1" applyBorder="1" applyAlignment="1">
      <alignment horizontal="center" vertical="center"/>
    </xf>
    <xf numFmtId="49" fontId="2" fillId="0" borderId="2" xfId="0" applyNumberFormat="1" applyFont="1" applyBorder="1" applyAlignment="1" applyProtection="1">
      <alignment horizontal="center" vertical="center"/>
      <protection locked="0"/>
    </xf>
    <xf numFmtId="49" fontId="2" fillId="0" borderId="13" xfId="0" applyNumberFormat="1" applyFont="1" applyBorder="1" applyAlignment="1" applyProtection="1">
      <alignment horizontal="center" vertical="center"/>
      <protection locked="0"/>
    </xf>
    <xf numFmtId="49" fontId="11" fillId="0" borderId="13" xfId="0" applyNumberFormat="1" applyFont="1" applyBorder="1" applyAlignment="1">
      <alignment horizontal="left" vertical="center"/>
    </xf>
    <xf numFmtId="49" fontId="11" fillId="0" borderId="15" xfId="0" applyNumberFormat="1" applyFont="1" applyBorder="1" applyAlignment="1">
      <alignment horizontal="left" vertical="center"/>
    </xf>
    <xf numFmtId="49" fontId="11" fillId="3" borderId="2" xfId="0" applyNumberFormat="1" applyFont="1" applyFill="1" applyBorder="1" applyAlignment="1">
      <alignment horizontal="left" vertical="center" wrapText="1"/>
    </xf>
    <xf numFmtId="49" fontId="11" fillId="3" borderId="13" xfId="0" applyNumberFormat="1" applyFont="1" applyFill="1" applyBorder="1" applyAlignment="1">
      <alignment horizontal="left" vertical="center" wrapText="1"/>
    </xf>
    <xf numFmtId="49" fontId="11" fillId="3" borderId="15" xfId="0" applyNumberFormat="1" applyFont="1" applyFill="1" applyBorder="1" applyAlignment="1">
      <alignment horizontal="left" vertical="center" wrapText="1"/>
    </xf>
    <xf numFmtId="49" fontId="10" fillId="0" borderId="2" xfId="0" applyNumberFormat="1" applyFont="1" applyBorder="1" applyAlignment="1" applyProtection="1">
      <alignment horizontal="left" vertical="center" wrapText="1"/>
      <protection locked="0"/>
    </xf>
    <xf numFmtId="49" fontId="10" fillId="0" borderId="13" xfId="0" applyNumberFormat="1" applyFont="1" applyBorder="1" applyAlignment="1" applyProtection="1">
      <alignment horizontal="left" vertical="center" wrapText="1"/>
      <protection locked="0"/>
    </xf>
    <xf numFmtId="49" fontId="10" fillId="0" borderId="15" xfId="0" applyNumberFormat="1" applyFont="1" applyBorder="1" applyAlignment="1" applyProtection="1">
      <alignment horizontal="left" vertical="center" wrapText="1"/>
      <protection locked="0"/>
    </xf>
    <xf numFmtId="49" fontId="7" fillId="3" borderId="2" xfId="0" applyNumberFormat="1" applyFont="1" applyFill="1" applyBorder="1" applyAlignment="1">
      <alignment horizontal="center" vertical="center"/>
    </xf>
    <xf numFmtId="49" fontId="7" fillId="0" borderId="13" xfId="0" applyNumberFormat="1" applyFont="1" applyBorder="1" applyAlignment="1">
      <alignment horizontal="left" vertical="center"/>
    </xf>
    <xf numFmtId="49" fontId="7" fillId="0" borderId="15" xfId="0" applyNumberFormat="1" applyFont="1" applyBorder="1" applyAlignment="1">
      <alignment horizontal="left" vertical="center"/>
    </xf>
    <xf numFmtId="49" fontId="7" fillId="3" borderId="15" xfId="0" applyNumberFormat="1" applyFont="1" applyFill="1" applyBorder="1">
      <alignment vertical="center"/>
    </xf>
    <xf numFmtId="49" fontId="11" fillId="0" borderId="1" xfId="0" applyNumberFormat="1" applyFont="1" applyBorder="1" applyAlignment="1" applyProtection="1">
      <alignment horizontal="left" vertical="center"/>
      <protection locked="0"/>
    </xf>
    <xf numFmtId="0" fontId="2" fillId="0" borderId="0" xfId="0" applyFont="1" applyAlignment="1">
      <alignment horizontal="center" vertical="center"/>
    </xf>
    <xf numFmtId="49" fontId="11" fillId="0" borderId="6" xfId="0" applyNumberFormat="1" applyFont="1" applyBorder="1" applyAlignment="1">
      <alignment horizontal="left" vertical="center"/>
    </xf>
    <xf numFmtId="49" fontId="11" fillId="0" borderId="16" xfId="0" applyNumberFormat="1" applyFont="1" applyBorder="1" applyAlignment="1">
      <alignment horizontal="left" vertical="center"/>
    </xf>
    <xf numFmtId="49" fontId="11" fillId="3" borderId="5" xfId="0" applyNumberFormat="1" applyFont="1" applyFill="1" applyBorder="1" applyAlignment="1">
      <alignment horizontal="left" vertical="center" wrapText="1"/>
    </xf>
    <xf numFmtId="49" fontId="11" fillId="3" borderId="6" xfId="0" applyNumberFormat="1" applyFont="1" applyFill="1" applyBorder="1" applyAlignment="1">
      <alignment horizontal="left" vertical="center" wrapText="1"/>
    </xf>
    <xf numFmtId="49" fontId="11" fillId="3" borderId="16" xfId="0" applyNumberFormat="1" applyFont="1" applyFill="1" applyBorder="1" applyAlignment="1">
      <alignment horizontal="left" vertical="center" wrapText="1"/>
    </xf>
    <xf numFmtId="49" fontId="10" fillId="0" borderId="5" xfId="0" applyNumberFormat="1" applyFont="1" applyBorder="1" applyAlignment="1" applyProtection="1">
      <alignment horizontal="left" vertical="center" wrapText="1"/>
      <protection locked="0"/>
    </xf>
    <xf numFmtId="49" fontId="10" fillId="0" borderId="6" xfId="0" applyNumberFormat="1" applyFont="1" applyBorder="1" applyAlignment="1" applyProtection="1">
      <alignment horizontal="left" vertical="center" wrapText="1"/>
      <protection locked="0"/>
    </xf>
    <xf numFmtId="49" fontId="7" fillId="3" borderId="5" xfId="0" applyNumberFormat="1" applyFont="1" applyFill="1" applyBorder="1" applyAlignment="1">
      <alignment horizontal="center" vertical="center" wrapText="1"/>
    </xf>
    <xf numFmtId="49" fontId="7" fillId="3" borderId="6" xfId="0" applyNumberFormat="1" applyFont="1" applyFill="1" applyBorder="1" applyAlignment="1">
      <alignment horizontal="center" vertical="center" wrapText="1"/>
    </xf>
    <xf numFmtId="49" fontId="7" fillId="3" borderId="16" xfId="0" applyNumberFormat="1" applyFont="1" applyFill="1" applyBorder="1" applyAlignment="1">
      <alignment horizontal="center" vertical="center" wrapText="1"/>
    </xf>
    <xf numFmtId="49" fontId="16" fillId="0" borderId="5" xfId="0" applyNumberFormat="1" applyFont="1" applyBorder="1" applyAlignment="1" applyProtection="1">
      <alignment horizontal="center" vertical="center"/>
      <protection locked="0"/>
    </xf>
    <xf numFmtId="49" fontId="16" fillId="0" borderId="6" xfId="0" applyNumberFormat="1" applyFont="1" applyBorder="1" applyAlignment="1" applyProtection="1">
      <alignment horizontal="center" vertical="center"/>
      <protection locked="0"/>
    </xf>
    <xf numFmtId="49" fontId="16" fillId="0" borderId="16" xfId="0" applyNumberFormat="1" applyFont="1" applyBorder="1" applyAlignment="1" applyProtection="1">
      <alignment horizontal="center" vertical="center"/>
      <protection locked="0"/>
    </xf>
    <xf numFmtId="49" fontId="11" fillId="3" borderId="2" xfId="0" applyNumberFormat="1" applyFont="1" applyFill="1" applyBorder="1" applyAlignment="1">
      <alignment horizontal="center" vertical="center"/>
    </xf>
    <xf numFmtId="49" fontId="11" fillId="3" borderId="13" xfId="0" applyNumberFormat="1" applyFont="1" applyFill="1" applyBorder="1" applyAlignment="1">
      <alignment horizontal="center" vertical="center"/>
    </xf>
    <xf numFmtId="49" fontId="11" fillId="3" borderId="15" xfId="0" applyNumberFormat="1" applyFont="1" applyFill="1" applyBorder="1" applyAlignment="1">
      <alignment horizontal="center" vertical="center"/>
    </xf>
    <xf numFmtId="49" fontId="11" fillId="0" borderId="2" xfId="0" applyNumberFormat="1" applyFont="1" applyBorder="1" applyAlignment="1" applyProtection="1">
      <alignment horizontal="center" vertical="center"/>
      <protection locked="0"/>
    </xf>
    <xf numFmtId="49" fontId="11" fillId="0" borderId="13" xfId="0" applyNumberFormat="1" applyFont="1" applyBorder="1" applyAlignment="1" applyProtection="1">
      <alignment horizontal="center" vertical="center"/>
      <protection locked="0"/>
    </xf>
    <xf numFmtId="49" fontId="11" fillId="0" borderId="15" xfId="0" applyNumberFormat="1" applyFont="1" applyBorder="1" applyAlignment="1" applyProtection="1">
      <alignment horizontal="center" vertical="center"/>
      <protection locked="0"/>
    </xf>
    <xf numFmtId="49" fontId="7" fillId="3" borderId="4" xfId="0" applyNumberFormat="1" applyFont="1" applyFill="1" applyBorder="1" applyAlignment="1">
      <alignment horizontal="center" vertical="center" wrapText="1"/>
    </xf>
    <xf numFmtId="49" fontId="7" fillId="3" borderId="0" xfId="0" applyNumberFormat="1" applyFont="1" applyFill="1" applyAlignment="1">
      <alignment horizontal="center" vertical="center" wrapText="1"/>
    </xf>
    <xf numFmtId="49" fontId="7" fillId="3" borderId="17" xfId="0" applyNumberFormat="1" applyFont="1" applyFill="1" applyBorder="1" applyAlignment="1">
      <alignment horizontal="center" vertical="center" wrapText="1"/>
    </xf>
    <xf numFmtId="49" fontId="16" fillId="0" borderId="4" xfId="0" applyNumberFormat="1" applyFont="1" applyBorder="1" applyAlignment="1" applyProtection="1">
      <alignment horizontal="center" vertical="center"/>
      <protection locked="0"/>
    </xf>
    <xf numFmtId="49" fontId="16" fillId="0" borderId="0" xfId="0" applyNumberFormat="1" applyFont="1" applyAlignment="1" applyProtection="1">
      <alignment horizontal="center" vertical="center"/>
      <protection locked="0"/>
    </xf>
    <xf numFmtId="49" fontId="16" fillId="0" borderId="17" xfId="0" applyNumberFormat="1" applyFont="1" applyBorder="1" applyAlignment="1" applyProtection="1">
      <alignment horizontal="center" vertical="center"/>
      <protection locked="0"/>
    </xf>
    <xf numFmtId="49" fontId="7" fillId="3" borderId="8" xfId="0" applyNumberFormat="1" applyFont="1" applyFill="1" applyBorder="1" applyAlignment="1">
      <alignment horizontal="center" vertical="center" wrapText="1"/>
    </xf>
    <xf numFmtId="49" fontId="7" fillId="3" borderId="9" xfId="0" applyNumberFormat="1" applyFont="1" applyFill="1" applyBorder="1" applyAlignment="1">
      <alignment horizontal="center" vertical="center" wrapText="1"/>
    </xf>
    <xf numFmtId="49" fontId="7" fillId="3" borderId="18" xfId="0" applyNumberFormat="1" applyFont="1" applyFill="1" applyBorder="1" applyAlignment="1">
      <alignment horizontal="center" vertical="center" wrapText="1"/>
    </xf>
    <xf numFmtId="49" fontId="16" fillId="0" borderId="8" xfId="0" applyNumberFormat="1" applyFont="1" applyBorder="1" applyAlignment="1" applyProtection="1">
      <alignment horizontal="center" vertical="center"/>
      <protection locked="0"/>
    </xf>
    <xf numFmtId="49" fontId="16" fillId="0" borderId="9" xfId="0" applyNumberFormat="1" applyFont="1" applyBorder="1" applyAlignment="1" applyProtection="1">
      <alignment horizontal="center" vertical="center"/>
      <protection locked="0"/>
    </xf>
    <xf numFmtId="49" fontId="16" fillId="0" borderId="18" xfId="0" applyNumberFormat="1" applyFont="1" applyBorder="1" applyAlignment="1" applyProtection="1">
      <alignment horizontal="center" vertical="center"/>
      <protection locked="0"/>
    </xf>
    <xf numFmtId="49" fontId="2" fillId="3" borderId="2" xfId="0" applyNumberFormat="1" applyFont="1" applyFill="1" applyBorder="1" applyAlignment="1">
      <alignment horizontal="right" vertical="center"/>
    </xf>
    <xf numFmtId="49" fontId="2" fillId="3" borderId="13" xfId="0" applyNumberFormat="1" applyFont="1" applyFill="1" applyBorder="1" applyAlignment="1">
      <alignment horizontal="right" vertical="center"/>
    </xf>
    <xf numFmtId="49" fontId="2" fillId="3" borderId="19" xfId="0" applyNumberFormat="1" applyFont="1" applyFill="1" applyBorder="1" applyAlignment="1">
      <alignment horizontal="right" vertical="center"/>
    </xf>
    <xf numFmtId="49" fontId="11" fillId="0" borderId="20" xfId="0" applyNumberFormat="1" applyFont="1" applyBorder="1" applyAlignment="1" applyProtection="1">
      <alignment horizontal="left" vertical="center"/>
      <protection locked="0"/>
    </xf>
    <xf numFmtId="49" fontId="10" fillId="3" borderId="21" xfId="0" applyNumberFormat="1" applyFont="1" applyFill="1" applyBorder="1" applyAlignment="1">
      <alignment horizontal="left" vertical="center" wrapText="1"/>
    </xf>
    <xf numFmtId="49" fontId="10" fillId="3" borderId="13" xfId="0" applyNumberFormat="1" applyFont="1" applyFill="1" applyBorder="1" applyAlignment="1">
      <alignment horizontal="left" vertical="center" wrapText="1"/>
    </xf>
    <xf numFmtId="49" fontId="10" fillId="3" borderId="15" xfId="0" applyNumberFormat="1" applyFont="1" applyFill="1" applyBorder="1" applyAlignment="1">
      <alignment horizontal="left" vertical="center" wrapText="1"/>
    </xf>
    <xf numFmtId="49" fontId="7" fillId="3" borderId="22" xfId="0" applyNumberFormat="1" applyFont="1" applyFill="1" applyBorder="1" applyAlignment="1">
      <alignment horizontal="center" vertical="center" textRotation="255" wrapText="1"/>
    </xf>
    <xf numFmtId="49" fontId="2" fillId="0" borderId="4" xfId="0" applyNumberFormat="1" applyFont="1" applyBorder="1" applyAlignment="1" applyProtection="1">
      <alignment horizontal="center" vertical="center"/>
      <protection locked="0"/>
    </xf>
    <xf numFmtId="49" fontId="2" fillId="0" borderId="0" xfId="0" applyNumberFormat="1" applyFont="1" applyAlignment="1" applyProtection="1">
      <alignment horizontal="center" vertical="center"/>
      <protection locked="0"/>
    </xf>
    <xf numFmtId="49" fontId="2" fillId="0" borderId="17" xfId="0" applyNumberFormat="1" applyFont="1" applyBorder="1" applyAlignment="1" applyProtection="1">
      <alignment horizontal="center" vertical="center"/>
      <protection locked="0"/>
    </xf>
    <xf numFmtId="49" fontId="7" fillId="3" borderId="3" xfId="0" applyNumberFormat="1" applyFont="1" applyFill="1" applyBorder="1" applyAlignment="1">
      <alignment horizontal="center" vertical="center" textRotation="255" wrapText="1"/>
    </xf>
    <xf numFmtId="49" fontId="2" fillId="0" borderId="5" xfId="0" applyNumberFormat="1" applyFont="1" applyBorder="1" applyAlignment="1" applyProtection="1">
      <alignment horizontal="left" vertical="center"/>
      <protection locked="0"/>
    </xf>
    <xf numFmtId="49" fontId="2" fillId="0" borderId="6" xfId="0" applyNumberFormat="1" applyFont="1" applyBorder="1" applyAlignment="1" applyProtection="1">
      <alignment horizontal="left" vertical="center"/>
      <protection locked="0"/>
    </xf>
    <xf numFmtId="49" fontId="2" fillId="0" borderId="16" xfId="0" applyNumberFormat="1" applyFont="1" applyBorder="1" applyAlignment="1" applyProtection="1">
      <alignment horizontal="left" vertical="center"/>
      <protection locked="0"/>
    </xf>
    <xf numFmtId="49" fontId="2" fillId="0" borderId="8" xfId="0" applyNumberFormat="1" applyFont="1" applyBorder="1" applyAlignment="1" applyProtection="1">
      <alignment horizontal="center" vertical="center"/>
      <protection locked="0"/>
    </xf>
    <xf numFmtId="49" fontId="2" fillId="0" borderId="9" xfId="0" applyNumberFormat="1" applyFont="1" applyBorder="1" applyAlignment="1" applyProtection="1">
      <alignment horizontal="center" vertical="center"/>
      <protection locked="0"/>
    </xf>
    <xf numFmtId="49" fontId="2" fillId="0" borderId="18" xfId="0" applyNumberFormat="1" applyFont="1" applyBorder="1" applyAlignment="1" applyProtection="1">
      <alignment horizontal="center" vertical="center"/>
      <protection locked="0"/>
    </xf>
    <xf numFmtId="49" fontId="2" fillId="0" borderId="8" xfId="0" applyNumberFormat="1" applyFont="1" applyBorder="1" applyAlignment="1" applyProtection="1">
      <alignment horizontal="left" vertical="center"/>
      <protection locked="0"/>
    </xf>
    <xf numFmtId="49" fontId="2" fillId="0" borderId="9" xfId="0" applyNumberFormat="1" applyFont="1" applyBorder="1" applyAlignment="1" applyProtection="1">
      <alignment horizontal="left" vertical="center"/>
      <protection locked="0"/>
    </xf>
    <xf numFmtId="49" fontId="2" fillId="0" borderId="18" xfId="0" applyNumberFormat="1" applyFont="1" applyBorder="1" applyAlignment="1" applyProtection="1">
      <alignment horizontal="left" vertical="center"/>
      <protection locked="0"/>
    </xf>
    <xf numFmtId="49" fontId="2" fillId="3" borderId="6" xfId="0" applyNumberFormat="1" applyFont="1" applyFill="1" applyBorder="1" applyAlignment="1">
      <alignment horizontal="center" vertical="center" wrapText="1"/>
    </xf>
    <xf numFmtId="49" fontId="2" fillId="3" borderId="16" xfId="0" applyNumberFormat="1" applyFont="1" applyFill="1" applyBorder="1" applyAlignment="1">
      <alignment horizontal="center" vertical="center" wrapText="1"/>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16" xfId="0" applyFont="1" applyFill="1" applyBorder="1" applyAlignment="1">
      <alignment horizontal="center" vertical="center"/>
    </xf>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16" xfId="0" applyFont="1" applyFill="1" applyBorder="1" applyAlignment="1">
      <alignment horizontal="left" vertical="center" wrapText="1"/>
    </xf>
    <xf numFmtId="49" fontId="2" fillId="3" borderId="0" xfId="0" applyNumberFormat="1" applyFont="1" applyFill="1" applyAlignment="1">
      <alignment horizontal="center" vertical="center" wrapText="1"/>
    </xf>
    <xf numFmtId="49" fontId="2" fillId="3" borderId="17" xfId="0" applyNumberFormat="1" applyFont="1" applyFill="1" applyBorder="1" applyAlignment="1">
      <alignment horizontal="center" vertical="center" wrapText="1"/>
    </xf>
    <xf numFmtId="0" fontId="13" fillId="2" borderId="4" xfId="0" applyFont="1" applyFill="1" applyBorder="1" applyAlignment="1">
      <alignment horizontal="center" vertical="center"/>
    </xf>
    <xf numFmtId="49" fontId="7" fillId="2" borderId="0" xfId="0" applyNumberFormat="1" applyFont="1" applyFill="1" applyAlignment="1" applyProtection="1">
      <alignment horizontal="center" vertical="center"/>
      <protection locked="0"/>
    </xf>
    <xf numFmtId="0" fontId="13" fillId="2" borderId="0" xfId="0" applyFont="1" applyFill="1" applyAlignment="1">
      <alignment horizontal="center" vertical="center"/>
    </xf>
    <xf numFmtId="49" fontId="7" fillId="2" borderId="17" xfId="0" applyNumberFormat="1" applyFont="1" applyFill="1" applyBorder="1" applyAlignment="1" applyProtection="1">
      <alignment horizontal="center" vertical="center"/>
      <protection locked="0"/>
    </xf>
    <xf numFmtId="0" fontId="2" fillId="3" borderId="4"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17" xfId="0" applyFont="1" applyFill="1" applyBorder="1" applyAlignment="1">
      <alignment horizontal="left" vertical="center" wrapText="1"/>
    </xf>
    <xf numFmtId="49" fontId="2" fillId="3" borderId="9" xfId="0" applyNumberFormat="1" applyFont="1" applyFill="1" applyBorder="1" applyAlignment="1">
      <alignment horizontal="center" vertical="center" wrapText="1"/>
    </xf>
    <xf numFmtId="49" fontId="2" fillId="3" borderId="18" xfId="0" applyNumberFormat="1" applyFont="1" applyFill="1" applyBorder="1" applyAlignment="1">
      <alignment horizontal="center" vertical="center" wrapText="1"/>
    </xf>
    <xf numFmtId="0" fontId="13" fillId="2" borderId="8" xfId="0" applyFont="1" applyFill="1" applyBorder="1" applyAlignment="1">
      <alignment horizontal="center" vertical="center"/>
    </xf>
    <xf numFmtId="0" fontId="13" fillId="2" borderId="9" xfId="0" applyFont="1" applyFill="1" applyBorder="1" applyAlignment="1">
      <alignment horizontal="center" vertical="center"/>
    </xf>
    <xf numFmtId="178" fontId="13" fillId="2" borderId="9" xfId="0" applyNumberFormat="1" applyFont="1" applyFill="1" applyBorder="1" applyAlignment="1">
      <alignment horizontal="center" vertical="center"/>
    </xf>
    <xf numFmtId="0" fontId="13" fillId="2" borderId="18" xfId="0" applyFont="1" applyFill="1" applyBorder="1" applyAlignment="1">
      <alignment horizontal="center" vertical="center"/>
    </xf>
    <xf numFmtId="0" fontId="13" fillId="2" borderId="17" xfId="0" applyFont="1" applyFill="1" applyBorder="1" applyAlignment="1">
      <alignment horizontal="center" vertical="center"/>
    </xf>
    <xf numFmtId="49" fontId="7" fillId="3" borderId="23" xfId="0" applyNumberFormat="1" applyFont="1" applyFill="1" applyBorder="1" applyAlignment="1">
      <alignment horizontal="center" vertical="center" textRotation="255" wrapText="1"/>
    </xf>
    <xf numFmtId="49" fontId="2" fillId="3" borderId="15"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49" fontId="10" fillId="2" borderId="2" xfId="0" applyNumberFormat="1" applyFont="1" applyFill="1" applyBorder="1" applyAlignment="1" applyProtection="1">
      <alignment horizontal="left" vertical="center" wrapText="1"/>
      <protection locked="0"/>
    </xf>
    <xf numFmtId="49" fontId="10" fillId="2" borderId="13" xfId="0" applyNumberFormat="1" applyFont="1" applyFill="1" applyBorder="1" applyAlignment="1" applyProtection="1">
      <alignment horizontal="left" vertical="center" wrapText="1"/>
      <protection locked="0"/>
    </xf>
    <xf numFmtId="49" fontId="10" fillId="2" borderId="15" xfId="0" applyNumberFormat="1" applyFont="1" applyFill="1" applyBorder="1" applyAlignment="1" applyProtection="1">
      <alignment horizontal="left" vertical="center" wrapText="1"/>
      <protection locked="0"/>
    </xf>
    <xf numFmtId="49" fontId="2" fillId="3" borderId="1" xfId="0" applyNumberFormat="1" applyFont="1" applyFill="1" applyBorder="1" applyAlignment="1">
      <alignment vertical="center" wrapText="1"/>
    </xf>
    <xf numFmtId="49" fontId="10" fillId="2" borderId="1" xfId="0" applyNumberFormat="1" applyFont="1" applyFill="1" applyBorder="1" applyAlignment="1" applyProtection="1">
      <alignment horizontal="left" vertical="center" wrapText="1"/>
      <protection locked="0"/>
    </xf>
    <xf numFmtId="49" fontId="2" fillId="0" borderId="6" xfId="0" applyNumberFormat="1" applyFont="1" applyBorder="1" applyAlignment="1">
      <alignment horizontal="left"/>
    </xf>
    <xf numFmtId="49" fontId="2" fillId="0" borderId="2" xfId="0" applyNumberFormat="1" applyFont="1" applyBorder="1">
      <alignment vertical="center"/>
    </xf>
    <xf numFmtId="49" fontId="2" fillId="0" borderId="13" xfId="0" applyNumberFormat="1" applyFont="1" applyBorder="1" applyAlignment="1" applyProtection="1">
      <alignment horizontal="center" vertical="center"/>
      <protection locked="0"/>
    </xf>
    <xf numFmtId="49" fontId="2" fillId="0" borderId="13" xfId="0" applyNumberFormat="1" applyFont="1" applyBorder="1">
      <alignment vertical="center"/>
    </xf>
    <xf numFmtId="0" fontId="17" fillId="0" borderId="13" xfId="0" applyFont="1" applyBorder="1">
      <alignment vertical="center"/>
    </xf>
    <xf numFmtId="49" fontId="2" fillId="0" borderId="13" xfId="0" applyNumberFormat="1" applyFont="1" applyBorder="1" applyAlignment="1">
      <alignment horizontal="left" vertical="center"/>
    </xf>
    <xf numFmtId="49" fontId="2" fillId="0" borderId="13" xfId="0" applyNumberFormat="1" applyFont="1" applyBorder="1" applyAlignment="1">
      <alignment horizontal="center" vertical="center"/>
    </xf>
    <xf numFmtId="49" fontId="2" fillId="0" borderId="15" xfId="0" applyNumberFormat="1" applyFont="1" applyBorder="1" applyAlignment="1">
      <alignment horizontal="center" vertical="center"/>
    </xf>
    <xf numFmtId="49" fontId="7" fillId="3" borderId="2" xfId="0" applyNumberFormat="1" applyFont="1" applyFill="1" applyBorder="1" applyAlignment="1">
      <alignment horizontal="center" vertical="center" wrapText="1"/>
    </xf>
    <xf numFmtId="49" fontId="2" fillId="0" borderId="2" xfId="0" applyNumberFormat="1" applyFont="1" applyBorder="1" applyAlignment="1" applyProtection="1">
      <alignment horizontal="left" vertical="center"/>
      <protection locked="0"/>
    </xf>
    <xf numFmtId="49" fontId="2" fillId="0" borderId="13" xfId="0" applyNumberFormat="1" applyFont="1" applyBorder="1" applyAlignment="1" applyProtection="1">
      <alignment horizontal="left" vertical="center"/>
      <protection locked="0"/>
    </xf>
    <xf numFmtId="49" fontId="2" fillId="0" borderId="15" xfId="0" applyNumberFormat="1" applyFont="1" applyBorder="1" applyAlignment="1" applyProtection="1">
      <alignment horizontal="left" vertical="center"/>
      <protection locked="0"/>
    </xf>
    <xf numFmtId="49" fontId="2" fillId="3" borderId="15" xfId="0" applyNumberFormat="1" applyFont="1" applyFill="1" applyBorder="1" applyAlignment="1">
      <alignment horizontal="right" vertical="center"/>
    </xf>
    <xf numFmtId="49" fontId="7" fillId="3" borderId="5" xfId="0" applyNumberFormat="1" applyFont="1" applyFill="1" applyBorder="1" applyAlignment="1">
      <alignment horizontal="center" vertical="center" wrapText="1"/>
    </xf>
    <xf numFmtId="49" fontId="7" fillId="3" borderId="6" xfId="0" applyNumberFormat="1" applyFont="1" applyFill="1" applyBorder="1" applyAlignment="1">
      <alignment horizontal="center" vertical="center"/>
    </xf>
    <xf numFmtId="49" fontId="2" fillId="3" borderId="6" xfId="0" applyNumberFormat="1" applyFont="1" applyFill="1" applyBorder="1" applyAlignment="1">
      <alignment horizontal="left" vertical="center"/>
    </xf>
    <xf numFmtId="49" fontId="2" fillId="3" borderId="16" xfId="0" applyNumberFormat="1" applyFont="1" applyFill="1" applyBorder="1" applyAlignment="1">
      <alignment horizontal="left" vertical="center"/>
    </xf>
    <xf numFmtId="49" fontId="2" fillId="0" borderId="13" xfId="0" applyNumberFormat="1" applyFont="1" applyBorder="1" applyAlignment="1">
      <alignment horizontal="left" vertical="center"/>
    </xf>
    <xf numFmtId="49" fontId="2" fillId="0" borderId="15" xfId="0" applyNumberFormat="1" applyFont="1" applyBorder="1" applyAlignment="1" applyProtection="1">
      <alignment horizontal="center" vertical="center"/>
      <protection locked="0"/>
    </xf>
    <xf numFmtId="49" fontId="2" fillId="3" borderId="2" xfId="0" applyNumberFormat="1" applyFont="1" applyFill="1" applyBorder="1" applyAlignment="1">
      <alignment horizontal="center" vertical="center"/>
    </xf>
    <xf numFmtId="49" fontId="2" fillId="3" borderId="13" xfId="0" applyNumberFormat="1" applyFont="1" applyFill="1" applyBorder="1" applyAlignment="1">
      <alignment horizontal="center" vertical="center"/>
    </xf>
    <xf numFmtId="49" fontId="2" fillId="3" borderId="15" xfId="0" applyNumberFormat="1" applyFont="1" applyFill="1" applyBorder="1" applyAlignment="1">
      <alignment horizontal="center" vertical="center"/>
    </xf>
    <xf numFmtId="49" fontId="19" fillId="3" borderId="2" xfId="0" applyNumberFormat="1" applyFont="1" applyFill="1" applyBorder="1" applyAlignment="1">
      <alignment horizontal="left" vertical="center" wrapText="1"/>
    </xf>
    <xf numFmtId="49" fontId="19" fillId="3" borderId="13" xfId="0" applyNumberFormat="1" applyFont="1" applyFill="1" applyBorder="1" applyAlignment="1">
      <alignment horizontal="left" vertical="center" wrapText="1"/>
    </xf>
    <xf numFmtId="49" fontId="19" fillId="3" borderId="15" xfId="0" applyNumberFormat="1" applyFont="1" applyFill="1" applyBorder="1" applyAlignment="1">
      <alignment horizontal="left" vertical="center" wrapText="1"/>
    </xf>
    <xf numFmtId="176" fontId="7" fillId="0" borderId="2" xfId="0" applyNumberFormat="1" applyFont="1" applyBorder="1" applyAlignment="1" applyProtection="1">
      <alignment horizontal="center" vertical="center"/>
      <protection locked="0"/>
    </xf>
    <xf numFmtId="176" fontId="7" fillId="0" borderId="13" xfId="0" applyNumberFormat="1" applyFont="1" applyBorder="1" applyAlignment="1" applyProtection="1">
      <alignment horizontal="center" vertical="center"/>
      <protection locked="0"/>
    </xf>
    <xf numFmtId="176" fontId="7" fillId="0" borderId="15" xfId="0" applyNumberFormat="1" applyFont="1" applyBorder="1" applyAlignment="1" applyProtection="1">
      <alignment horizontal="center" vertical="center"/>
      <protection locked="0"/>
    </xf>
    <xf numFmtId="49" fontId="7" fillId="3" borderId="2" xfId="0" applyNumberFormat="1" applyFont="1" applyFill="1" applyBorder="1" applyAlignment="1">
      <alignment horizontal="center" vertical="center"/>
    </xf>
    <xf numFmtId="0" fontId="7"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7" fillId="3" borderId="16" xfId="0" applyFont="1" applyFill="1" applyBorder="1" applyAlignment="1">
      <alignment horizontal="left" vertical="center" wrapText="1"/>
    </xf>
    <xf numFmtId="49" fontId="7" fillId="3" borderId="22" xfId="0" applyNumberFormat="1" applyFont="1" applyFill="1" applyBorder="1" applyAlignment="1">
      <alignment horizontal="center" vertical="center"/>
    </xf>
    <xf numFmtId="49" fontId="7" fillId="3" borderId="22" xfId="0" applyNumberFormat="1" applyFont="1" applyFill="1" applyBorder="1" applyAlignment="1">
      <alignment horizontal="center" vertical="center"/>
    </xf>
    <xf numFmtId="49" fontId="7" fillId="3" borderId="5" xfId="0" applyNumberFormat="1" applyFont="1" applyFill="1" applyBorder="1" applyAlignment="1">
      <alignment horizontal="center" vertical="center"/>
    </xf>
    <xf numFmtId="0" fontId="7" fillId="3" borderId="4" xfId="0" applyFont="1" applyFill="1" applyBorder="1" applyAlignment="1">
      <alignment horizontal="left" vertical="center" wrapText="1"/>
    </xf>
    <xf numFmtId="0" fontId="7" fillId="3" borderId="0" xfId="0" applyFont="1" applyFill="1" applyAlignment="1">
      <alignment horizontal="left" vertical="center" wrapText="1"/>
    </xf>
    <xf numFmtId="0" fontId="7" fillId="3" borderId="17" xfId="0" applyFont="1" applyFill="1" applyBorder="1" applyAlignment="1">
      <alignment horizontal="left" vertical="center" wrapText="1"/>
    </xf>
    <xf numFmtId="49" fontId="7" fillId="3" borderId="13" xfId="0" applyNumberFormat="1" applyFont="1" applyFill="1" applyBorder="1" applyAlignment="1">
      <alignment horizontal="center" vertical="center" wrapText="1"/>
    </xf>
    <xf numFmtId="49" fontId="7" fillId="3" borderId="15" xfId="0" applyNumberFormat="1" applyFont="1" applyFill="1" applyBorder="1" applyAlignment="1">
      <alignment horizontal="center" vertical="center" wrapText="1"/>
    </xf>
    <xf numFmtId="0" fontId="7" fillId="3" borderId="8" xfId="0" applyFont="1" applyFill="1" applyBorder="1" applyAlignment="1">
      <alignment horizontal="left" vertical="center" wrapText="1"/>
    </xf>
    <xf numFmtId="0" fontId="7" fillId="3" borderId="9" xfId="0" applyFont="1" applyFill="1" applyBorder="1" applyAlignment="1">
      <alignment horizontal="left" vertical="center" wrapText="1"/>
    </xf>
    <xf numFmtId="0" fontId="7" fillId="3" borderId="18" xfId="0" applyFont="1" applyFill="1" applyBorder="1" applyAlignment="1">
      <alignment horizontal="left" vertical="center" wrapText="1"/>
    </xf>
    <xf numFmtId="177" fontId="7" fillId="0" borderId="2" xfId="0" quotePrefix="1" applyNumberFormat="1" applyFont="1" applyBorder="1" applyAlignment="1" applyProtection="1">
      <alignment horizontal="center" vertical="center"/>
      <protection locked="0"/>
    </xf>
    <xf numFmtId="177" fontId="7" fillId="0" borderId="13" xfId="0" quotePrefix="1" applyNumberFormat="1" applyFont="1" applyBorder="1" applyAlignment="1" applyProtection="1">
      <alignment horizontal="center" vertical="center"/>
      <protection locked="0"/>
    </xf>
    <xf numFmtId="177" fontId="7" fillId="0" borderId="15" xfId="0" quotePrefix="1" applyNumberFormat="1" applyFont="1" applyBorder="1" applyAlignment="1" applyProtection="1">
      <alignment horizontal="center" vertical="center"/>
      <protection locked="0"/>
    </xf>
    <xf numFmtId="0" fontId="7" fillId="0" borderId="2" xfId="0" quotePrefix="1" applyFont="1" applyBorder="1" applyAlignment="1" applyProtection="1">
      <alignment horizontal="center" vertical="center"/>
      <protection locked="0"/>
    </xf>
    <xf numFmtId="0" fontId="7" fillId="0" borderId="13" xfId="0" quotePrefix="1" applyFont="1" applyBorder="1" applyAlignment="1" applyProtection="1">
      <alignment horizontal="center" vertical="center"/>
      <protection locked="0"/>
    </xf>
    <xf numFmtId="177" fontId="7" fillId="0" borderId="13" xfId="0" quotePrefix="1" applyNumberFormat="1" applyFont="1" applyBorder="1">
      <alignment vertical="center"/>
    </xf>
    <xf numFmtId="49" fontId="7" fillId="0" borderId="13" xfId="0" quotePrefix="1" applyNumberFormat="1" applyFont="1" applyBorder="1" applyAlignment="1" applyProtection="1">
      <alignment horizontal="center" vertical="center"/>
      <protection locked="0"/>
    </xf>
    <xf numFmtId="49" fontId="7" fillId="0" borderId="15" xfId="0" quotePrefix="1" applyNumberFormat="1" applyFont="1" applyBorder="1" applyAlignment="1" applyProtection="1">
      <alignment horizontal="center" vertical="center"/>
      <protection locked="0"/>
    </xf>
    <xf numFmtId="49" fontId="7" fillId="3" borderId="20" xfId="0" applyNumberFormat="1" applyFont="1" applyFill="1" applyBorder="1">
      <alignment vertical="center"/>
    </xf>
    <xf numFmtId="0" fontId="7" fillId="0" borderId="20" xfId="0" quotePrefix="1" applyFont="1" applyBorder="1" applyAlignment="1">
      <alignment horizontal="center" vertical="center"/>
    </xf>
    <xf numFmtId="0" fontId="7" fillId="0" borderId="24" xfId="0" quotePrefix="1" applyFont="1" applyBorder="1" applyAlignment="1">
      <alignment horizontal="center" vertical="center"/>
    </xf>
    <xf numFmtId="177" fontId="7" fillId="0" borderId="25" xfId="0" quotePrefix="1" applyNumberFormat="1" applyFont="1" applyBorder="1">
      <alignment vertical="center"/>
    </xf>
    <xf numFmtId="49" fontId="7" fillId="0" borderId="26" xfId="0" quotePrefix="1" applyNumberFormat="1" applyFont="1" applyBorder="1" applyAlignment="1">
      <alignment horizontal="center" vertical="center"/>
    </xf>
    <xf numFmtId="49" fontId="7" fillId="0" borderId="20" xfId="0" quotePrefix="1" applyNumberFormat="1" applyFont="1" applyBorder="1" applyAlignment="1">
      <alignment horizontal="center" vertical="center"/>
    </xf>
    <xf numFmtId="49" fontId="11" fillId="3" borderId="20" xfId="0" applyNumberFormat="1" applyFont="1" applyFill="1" applyBorder="1" applyAlignment="1">
      <alignment horizontal="left" vertical="center"/>
    </xf>
    <xf numFmtId="49" fontId="11" fillId="0" borderId="20" xfId="0" applyNumberFormat="1" applyFont="1" applyBorder="1" applyAlignment="1">
      <alignment horizontal="left" vertical="center"/>
    </xf>
    <xf numFmtId="0" fontId="16" fillId="0" borderId="5" xfId="0" applyFont="1" applyBorder="1" applyAlignment="1" applyProtection="1">
      <alignment horizontal="center" vertical="center"/>
      <protection locked="0"/>
    </xf>
    <xf numFmtId="0" fontId="16" fillId="0" borderId="6" xfId="0" applyFont="1" applyBorder="1" applyAlignment="1" applyProtection="1">
      <alignment horizontal="center" vertical="center"/>
      <protection locked="0"/>
    </xf>
    <xf numFmtId="0" fontId="16" fillId="0" borderId="16" xfId="0" applyFont="1" applyBorder="1" applyAlignment="1" applyProtection="1">
      <alignment horizontal="center" vertical="center"/>
      <protection locked="0"/>
    </xf>
    <xf numFmtId="0" fontId="16" fillId="0" borderId="5"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16" xfId="0" applyFont="1" applyBorder="1" applyAlignment="1" applyProtection="1">
      <alignment horizontal="center" vertical="center" wrapText="1"/>
      <protection locked="0"/>
    </xf>
    <xf numFmtId="49" fontId="11" fillId="3" borderId="6" xfId="0" applyNumberFormat="1" applyFont="1" applyFill="1" applyBorder="1" applyAlignment="1">
      <alignment horizontal="center" vertical="center" wrapText="1"/>
    </xf>
    <xf numFmtId="49" fontId="11" fillId="3" borderId="16" xfId="0" applyNumberFormat="1" applyFont="1" applyFill="1" applyBorder="1" applyAlignment="1">
      <alignment horizontal="center" vertical="center" wrapText="1"/>
    </xf>
    <xf numFmtId="49" fontId="11" fillId="4" borderId="20" xfId="0" applyNumberFormat="1" applyFont="1" applyFill="1" applyBorder="1" applyAlignment="1">
      <alignment horizontal="center" vertical="center"/>
    </xf>
    <xf numFmtId="0" fontId="16" fillId="0" borderId="20" xfId="0" applyFont="1" applyBorder="1" applyAlignment="1">
      <alignment horizontal="center" vertical="center"/>
    </xf>
    <xf numFmtId="49" fontId="11" fillId="3" borderId="20" xfId="0" applyNumberFormat="1" applyFont="1" applyFill="1" applyBorder="1" applyAlignment="1">
      <alignment horizontal="center" vertical="center" wrapText="1"/>
    </xf>
    <xf numFmtId="49" fontId="11" fillId="3" borderId="20" xfId="0" applyNumberFormat="1" applyFont="1" applyFill="1" applyBorder="1" applyAlignment="1">
      <alignment horizontal="center" vertical="center"/>
    </xf>
    <xf numFmtId="0" fontId="16" fillId="0" borderId="20" xfId="0" applyFont="1" applyBorder="1" applyAlignment="1">
      <alignment horizontal="center" vertical="center" wrapText="1"/>
    </xf>
    <xf numFmtId="0" fontId="16" fillId="0" borderId="8" xfId="0" applyFont="1" applyBorder="1" applyAlignment="1" applyProtection="1">
      <alignment horizontal="center" vertical="center"/>
      <protection locked="0"/>
    </xf>
    <xf numFmtId="0" fontId="16" fillId="0" borderId="9" xfId="0" applyFont="1" applyBorder="1" applyAlignment="1" applyProtection="1">
      <alignment horizontal="center" vertical="center"/>
      <protection locked="0"/>
    </xf>
    <xf numFmtId="0" fontId="16" fillId="0" borderId="18" xfId="0" applyFont="1" applyBorder="1" applyAlignment="1" applyProtection="1">
      <alignment horizontal="center" vertical="center"/>
      <protection locked="0"/>
    </xf>
    <xf numFmtId="0" fontId="16" fillId="0" borderId="8"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0" fontId="16" fillId="0" borderId="18" xfId="0" applyFont="1" applyBorder="1" applyAlignment="1" applyProtection="1">
      <alignment horizontal="center" vertical="center" wrapText="1"/>
      <protection locked="0"/>
    </xf>
    <xf numFmtId="49" fontId="11" fillId="3" borderId="8" xfId="0" applyNumberFormat="1" applyFont="1" applyFill="1" applyBorder="1" applyAlignment="1">
      <alignment horizontal="center" vertical="center" wrapText="1"/>
    </xf>
    <xf numFmtId="49" fontId="11" fillId="3" borderId="9" xfId="0" applyNumberFormat="1" applyFont="1" applyFill="1" applyBorder="1" applyAlignment="1">
      <alignment horizontal="center" vertical="center" wrapText="1"/>
    </xf>
    <xf numFmtId="49" fontId="11" fillId="3" borderId="18" xfId="0" applyNumberFormat="1" applyFont="1" applyFill="1" applyBorder="1" applyAlignment="1">
      <alignment horizontal="center" vertical="center" wrapText="1"/>
    </xf>
    <xf numFmtId="49" fontId="2" fillId="0" borderId="20" xfId="0" applyNumberFormat="1" applyFont="1" applyBorder="1" applyAlignment="1">
      <alignment horizontal="center" vertical="center"/>
    </xf>
    <xf numFmtId="49" fontId="11" fillId="3" borderId="20" xfId="0" applyNumberFormat="1" applyFont="1" applyFill="1" applyBorder="1" applyAlignment="1">
      <alignment horizontal="left" vertical="center" wrapText="1"/>
    </xf>
    <xf numFmtId="49" fontId="10" fillId="0" borderId="20" xfId="0" applyNumberFormat="1" applyFont="1" applyBorder="1" applyAlignment="1">
      <alignment horizontal="left" vertical="center" wrapText="1"/>
    </xf>
    <xf numFmtId="49" fontId="7" fillId="3" borderId="20" xfId="0" applyNumberFormat="1" applyFont="1" applyFill="1" applyBorder="1" applyAlignment="1">
      <alignment horizontal="center" vertical="center" wrapText="1"/>
    </xf>
    <xf numFmtId="49" fontId="10" fillId="0" borderId="20" xfId="0" applyNumberFormat="1" applyFont="1" applyBorder="1" applyAlignment="1">
      <alignment horizontal="center" vertical="center" wrapText="1"/>
    </xf>
    <xf numFmtId="49" fontId="10" fillId="0" borderId="20" xfId="0" applyNumberFormat="1" applyFont="1" applyBorder="1" applyAlignment="1">
      <alignment horizontal="center" vertical="center"/>
    </xf>
    <xf numFmtId="49" fontId="11" fillId="0" borderId="20" xfId="0" applyNumberFormat="1" applyFont="1" applyBorder="1" applyAlignment="1">
      <alignment horizontal="center" vertical="center"/>
    </xf>
    <xf numFmtId="49" fontId="16" fillId="0" borderId="20" xfId="0" applyNumberFormat="1" applyFont="1" applyBorder="1" applyAlignment="1">
      <alignment horizontal="center" vertical="center"/>
    </xf>
    <xf numFmtId="49" fontId="7" fillId="3" borderId="27" xfId="0" applyNumberFormat="1" applyFont="1" applyFill="1" applyBorder="1" applyAlignment="1">
      <alignment horizontal="center" vertical="center" wrapText="1"/>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16" xfId="0" applyFill="1" applyBorder="1" applyAlignment="1">
      <alignment horizontal="center" vertical="center"/>
    </xf>
    <xf numFmtId="49" fontId="11" fillId="3" borderId="5" xfId="0" applyNumberFormat="1" applyFont="1" applyFill="1" applyBorder="1" applyAlignment="1">
      <alignment horizontal="center" vertical="center"/>
    </xf>
    <xf numFmtId="49" fontId="7" fillId="3" borderId="28" xfId="0" applyNumberFormat="1" applyFont="1" applyFill="1" applyBorder="1" applyAlignment="1">
      <alignment horizontal="center" vertical="center" wrapText="1"/>
    </xf>
    <xf numFmtId="49" fontId="7" fillId="3" borderId="29" xfId="0" applyNumberFormat="1" applyFont="1" applyFill="1" applyBorder="1" applyAlignment="1">
      <alignment horizontal="center" vertical="center" wrapText="1"/>
    </xf>
    <xf numFmtId="49" fontId="7" fillId="3" borderId="30" xfId="0" applyNumberFormat="1" applyFont="1" applyFill="1" applyBorder="1" applyAlignment="1">
      <alignment horizontal="center" vertical="center" wrapText="1"/>
    </xf>
    <xf numFmtId="0" fontId="0" fillId="2" borderId="31" xfId="0" applyFill="1" applyBorder="1" applyAlignment="1">
      <alignment horizontal="center" vertical="center"/>
    </xf>
    <xf numFmtId="0" fontId="0" fillId="2" borderId="32" xfId="0" applyFill="1" applyBorder="1" applyAlignment="1">
      <alignment horizontal="center" vertical="center"/>
    </xf>
    <xf numFmtId="49" fontId="7" fillId="3" borderId="33" xfId="0" applyNumberFormat="1" applyFont="1" applyFill="1" applyBorder="1" applyAlignment="1">
      <alignment horizontal="center" vertical="center" wrapText="1"/>
    </xf>
    <xf numFmtId="49" fontId="7" fillId="3" borderId="31" xfId="0" applyNumberFormat="1" applyFont="1" applyFill="1" applyBorder="1" applyAlignment="1">
      <alignment horizontal="center" vertical="center" wrapText="1"/>
    </xf>
    <xf numFmtId="49" fontId="7" fillId="3" borderId="32" xfId="0" applyNumberFormat="1" applyFont="1" applyFill="1" applyBorder="1" applyAlignment="1">
      <alignment horizontal="center" vertical="center" wrapText="1"/>
    </xf>
    <xf numFmtId="0" fontId="0" fillId="2" borderId="33" xfId="0" applyFill="1" applyBorder="1" applyAlignment="1">
      <alignment horizontal="center" vertical="center"/>
    </xf>
    <xf numFmtId="49" fontId="11" fillId="3" borderId="31" xfId="0" applyNumberFormat="1" applyFont="1" applyFill="1" applyBorder="1" applyAlignment="1">
      <alignment horizontal="center" vertical="center"/>
    </xf>
    <xf numFmtId="49" fontId="11" fillId="3" borderId="32" xfId="0" applyNumberFormat="1" applyFont="1" applyFill="1" applyBorder="1" applyAlignment="1">
      <alignment horizontal="center" vertical="center"/>
    </xf>
    <xf numFmtId="0" fontId="0" fillId="2" borderId="4" xfId="0" applyFill="1" applyBorder="1" applyAlignment="1">
      <alignment horizontal="center" vertical="center"/>
    </xf>
    <xf numFmtId="49" fontId="20" fillId="2" borderId="0" xfId="0" applyNumberFormat="1" applyFont="1" applyFill="1" applyAlignment="1" applyProtection="1">
      <alignment horizontal="center" vertical="center"/>
      <protection locked="0"/>
    </xf>
    <xf numFmtId="0" fontId="0" fillId="2" borderId="0" xfId="0" applyFill="1" applyAlignment="1">
      <alignment horizontal="center" vertical="center"/>
    </xf>
    <xf numFmtId="49" fontId="20" fillId="2" borderId="17" xfId="0" applyNumberFormat="1" applyFont="1" applyFill="1" applyBorder="1" applyAlignment="1" applyProtection="1">
      <alignment horizontal="center" vertical="center"/>
      <protection locked="0"/>
    </xf>
    <xf numFmtId="49" fontId="11" fillId="3" borderId="4" xfId="0" applyNumberFormat="1" applyFont="1" applyFill="1" applyBorder="1" applyAlignment="1">
      <alignment horizontal="center" vertical="center"/>
    </xf>
    <xf numFmtId="49" fontId="11" fillId="3" borderId="17" xfId="0" applyNumberFormat="1" applyFont="1" applyFill="1" applyBorder="1" applyAlignment="1">
      <alignment horizontal="center" vertical="center"/>
    </xf>
    <xf numFmtId="49" fontId="7" fillId="3" borderId="34" xfId="0" applyNumberFormat="1" applyFont="1" applyFill="1" applyBorder="1" applyAlignment="1">
      <alignment horizontal="center" vertical="center" wrapText="1"/>
    </xf>
    <xf numFmtId="49" fontId="7" fillId="3" borderId="35" xfId="0" applyNumberFormat="1" applyFont="1" applyFill="1" applyBorder="1" applyAlignment="1">
      <alignment horizontal="center" vertical="center" wrapText="1"/>
    </xf>
    <xf numFmtId="49" fontId="20" fillId="2" borderId="0" xfId="0" applyNumberFormat="1" applyFont="1" applyFill="1" applyAlignment="1">
      <alignment horizontal="center" vertical="center"/>
    </xf>
    <xf numFmtId="49" fontId="20" fillId="2" borderId="36" xfId="0" applyNumberFormat="1" applyFont="1" applyFill="1" applyBorder="1" applyAlignment="1">
      <alignment horizontal="center" vertical="center"/>
    </xf>
    <xf numFmtId="49" fontId="7" fillId="3" borderId="37" xfId="0" applyNumberFormat="1" applyFont="1" applyFill="1" applyBorder="1" applyAlignment="1">
      <alignment horizontal="center" vertical="center" wrapText="1"/>
    </xf>
    <xf numFmtId="49" fontId="7" fillId="3" borderId="36" xfId="0" applyNumberFormat="1" applyFont="1" applyFill="1" applyBorder="1" applyAlignment="1">
      <alignment horizontal="center" vertical="center" wrapText="1"/>
    </xf>
    <xf numFmtId="0" fontId="0" fillId="2" borderId="37" xfId="0" applyFill="1" applyBorder="1" applyAlignment="1">
      <alignment horizontal="center" vertical="center"/>
    </xf>
    <xf numFmtId="49" fontId="11" fillId="3" borderId="0" xfId="0" applyNumberFormat="1" applyFont="1" applyFill="1" applyAlignment="1">
      <alignment horizontal="center" vertical="center"/>
    </xf>
    <xf numFmtId="49" fontId="11" fillId="3" borderId="36" xfId="0" applyNumberFormat="1" applyFont="1" applyFill="1" applyBorder="1" applyAlignment="1">
      <alignment horizontal="center" vertical="center"/>
    </xf>
    <xf numFmtId="178" fontId="0" fillId="2" borderId="0" xfId="0" applyNumberFormat="1" applyFill="1" applyAlignment="1">
      <alignment horizontal="center" vertical="center"/>
    </xf>
    <xf numFmtId="0" fontId="0" fillId="2" borderId="17" xfId="0" applyFill="1" applyBorder="1" applyAlignment="1">
      <alignment horizontal="center" vertical="center"/>
    </xf>
    <xf numFmtId="49" fontId="7" fillId="3" borderId="38" xfId="0" applyNumberFormat="1" applyFont="1" applyFill="1" applyBorder="1" applyAlignment="1">
      <alignment horizontal="center" vertical="center" wrapText="1"/>
    </xf>
    <xf numFmtId="49" fontId="7" fillId="3" borderId="39" xfId="0" applyNumberFormat="1" applyFont="1" applyFill="1" applyBorder="1" applyAlignment="1">
      <alignment horizontal="center" vertical="center" wrapText="1"/>
    </xf>
    <xf numFmtId="49" fontId="7" fillId="3" borderId="40" xfId="0" applyNumberFormat="1" applyFont="1" applyFill="1" applyBorder="1" applyAlignment="1">
      <alignment horizontal="center" vertical="center" wrapText="1"/>
    </xf>
    <xf numFmtId="0" fontId="0" fillId="2" borderId="41" xfId="0" applyFill="1" applyBorder="1" applyAlignment="1">
      <alignment horizontal="center" vertical="center"/>
    </xf>
    <xf numFmtId="178" fontId="0" fillId="2" borderId="41" xfId="0" applyNumberFormat="1" applyFill="1" applyBorder="1" applyAlignment="1">
      <alignment horizontal="center" vertical="center"/>
    </xf>
    <xf numFmtId="0" fontId="0" fillId="2" borderId="42" xfId="0" applyFill="1" applyBorder="1" applyAlignment="1">
      <alignment horizontal="center" vertical="center"/>
    </xf>
    <xf numFmtId="49" fontId="7" fillId="3" borderId="43" xfId="0" applyNumberFormat="1" applyFont="1" applyFill="1" applyBorder="1" applyAlignment="1">
      <alignment horizontal="center" vertical="center" wrapText="1"/>
    </xf>
    <xf numFmtId="49" fontId="7" fillId="3" borderId="41" xfId="0" applyNumberFormat="1" applyFont="1" applyFill="1" applyBorder="1" applyAlignment="1">
      <alignment horizontal="center" vertical="center" wrapText="1"/>
    </xf>
    <xf numFmtId="49" fontId="7" fillId="3" borderId="42" xfId="0" applyNumberFormat="1" applyFont="1" applyFill="1" applyBorder="1" applyAlignment="1">
      <alignment horizontal="center" vertical="center" wrapText="1"/>
    </xf>
    <xf numFmtId="0" fontId="0" fillId="2" borderId="43" xfId="0" applyFill="1" applyBorder="1" applyAlignment="1">
      <alignment horizontal="center" vertical="center"/>
    </xf>
    <xf numFmtId="49" fontId="11" fillId="3" borderId="41" xfId="0" applyNumberFormat="1" applyFont="1" applyFill="1" applyBorder="1" applyAlignment="1">
      <alignment horizontal="center" vertical="center"/>
    </xf>
    <xf numFmtId="49" fontId="11" fillId="3" borderId="42"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wrapText="1"/>
    </xf>
    <xf numFmtId="49" fontId="12" fillId="3" borderId="1" xfId="0" applyNumberFormat="1" applyFont="1" applyFill="1" applyBorder="1" applyAlignment="1">
      <alignment horizontal="left" vertical="center"/>
    </xf>
    <xf numFmtId="14" fontId="2" fillId="2" borderId="0" xfId="0" applyNumberFormat="1" applyFont="1" applyFill="1" applyAlignment="1">
      <alignment horizontal="center" vertical="center"/>
    </xf>
    <xf numFmtId="49" fontId="7" fillId="0" borderId="9" xfId="0" applyNumberFormat="1" applyFont="1" applyBorder="1" applyAlignment="1">
      <alignment horizontal="left"/>
    </xf>
    <xf numFmtId="49" fontId="11" fillId="3" borderId="4" xfId="0" applyNumberFormat="1" applyFont="1" applyFill="1" applyBorder="1" applyAlignment="1">
      <alignment horizontal="left" vertical="center" wrapText="1"/>
    </xf>
    <xf numFmtId="49" fontId="11" fillId="3" borderId="0" xfId="0" applyNumberFormat="1" applyFont="1" applyFill="1" applyAlignment="1">
      <alignment horizontal="left" vertical="center" wrapText="1"/>
    </xf>
    <xf numFmtId="49" fontId="11" fillId="3" borderId="17" xfId="0" applyNumberFormat="1" applyFont="1" applyFill="1" applyBorder="1" applyAlignment="1">
      <alignment horizontal="left" vertical="center" wrapText="1"/>
    </xf>
    <xf numFmtId="0" fontId="13" fillId="3" borderId="6" xfId="0" applyFont="1" applyFill="1" applyBorder="1" applyAlignment="1">
      <alignment horizontal="center" vertical="center"/>
    </xf>
    <xf numFmtId="0" fontId="13" fillId="3" borderId="16" xfId="0" applyFont="1" applyFill="1" applyBorder="1" applyAlignment="1">
      <alignment horizontal="center" vertical="center"/>
    </xf>
    <xf numFmtId="49" fontId="7" fillId="3" borderId="3" xfId="0" applyNumberFormat="1" applyFont="1" applyFill="1" applyBorder="1" applyAlignment="1">
      <alignment horizontal="center" vertical="center"/>
    </xf>
    <xf numFmtId="49" fontId="7" fillId="3" borderId="3" xfId="0" applyNumberFormat="1" applyFont="1" applyFill="1" applyBorder="1" applyAlignment="1">
      <alignment horizontal="center" vertical="center"/>
    </xf>
    <xf numFmtId="176" fontId="7" fillId="0" borderId="22" xfId="0" applyNumberFormat="1" applyFont="1" applyBorder="1" applyAlignment="1" applyProtection="1">
      <alignment horizontal="center" vertical="center"/>
      <protection locked="0"/>
    </xf>
    <xf numFmtId="49" fontId="7" fillId="3" borderId="23" xfId="0" applyNumberFormat="1" applyFont="1" applyFill="1" applyBorder="1" applyAlignment="1">
      <alignment horizontal="center" vertical="center"/>
    </xf>
    <xf numFmtId="49" fontId="11" fillId="3" borderId="8" xfId="0" applyNumberFormat="1" applyFont="1" applyFill="1" applyBorder="1" applyAlignment="1">
      <alignment horizontal="left" vertical="center" wrapText="1"/>
    </xf>
    <xf numFmtId="49" fontId="11" fillId="3" borderId="9" xfId="0" applyNumberFormat="1" applyFont="1" applyFill="1" applyBorder="1" applyAlignment="1">
      <alignment horizontal="left" vertical="center" wrapText="1"/>
    </xf>
    <xf numFmtId="49" fontId="11" fillId="3" borderId="18" xfId="0" applyNumberFormat="1" applyFont="1" applyFill="1" applyBorder="1" applyAlignment="1">
      <alignment horizontal="left" vertical="center" wrapText="1"/>
    </xf>
    <xf numFmtId="49" fontId="2" fillId="0" borderId="1" xfId="0" applyNumberFormat="1" applyFont="1" applyBorder="1" applyAlignment="1" applyProtection="1">
      <alignment horizontal="center" vertical="center"/>
      <protection locked="0"/>
    </xf>
    <xf numFmtId="49" fontId="2" fillId="0" borderId="1" xfId="0" applyNumberFormat="1" applyFont="1" applyBorder="1" applyAlignment="1">
      <alignment horizontal="left" vertical="center"/>
    </xf>
    <xf numFmtId="49" fontId="2" fillId="0" borderId="1" xfId="0" applyNumberFormat="1" applyFont="1" applyBorder="1">
      <alignment vertical="center"/>
    </xf>
    <xf numFmtId="49" fontId="2" fillId="3" borderId="1" xfId="0" applyNumberFormat="1" applyFont="1" applyFill="1" applyBorder="1" applyAlignment="1">
      <alignment horizontal="center" vertical="center"/>
    </xf>
    <xf numFmtId="49" fontId="7" fillId="2" borderId="6" xfId="0" applyNumberFormat="1" applyFont="1" applyFill="1" applyBorder="1" applyAlignment="1">
      <alignment horizontal="left" vertical="center" wrapText="1"/>
    </xf>
    <xf numFmtId="49" fontId="7" fillId="2" borderId="0" xfId="0" applyNumberFormat="1" applyFont="1" applyFill="1" applyAlignment="1">
      <alignment horizontal="left" vertical="center" wrapText="1"/>
    </xf>
    <xf numFmtId="49" fontId="7" fillId="2" borderId="0" xfId="0" applyNumberFormat="1" applyFont="1" applyFill="1">
      <alignment vertical="center"/>
    </xf>
    <xf numFmtId="49" fontId="7" fillId="2" borderId="0" xfId="0" applyNumberFormat="1" applyFont="1" applyFill="1" applyAlignment="1">
      <alignment horizontal="center" vertical="center" wrapText="1"/>
    </xf>
    <xf numFmtId="49" fontId="2" fillId="2" borderId="0" xfId="0" applyNumberFormat="1" applyFont="1" applyFill="1" applyAlignment="1">
      <alignment horizontal="center" vertical="center"/>
    </xf>
    <xf numFmtId="49" fontId="2" fillId="2" borderId="0" xfId="0" applyNumberFormat="1" applyFont="1" applyFill="1" applyAlignment="1">
      <alignment horizontal="left" vertical="center"/>
    </xf>
    <xf numFmtId="49" fontId="2" fillId="2" borderId="0" xfId="0" applyNumberFormat="1" applyFont="1" applyFill="1">
      <alignment vertical="center"/>
    </xf>
    <xf numFmtId="49" fontId="7" fillId="2" borderId="0" xfId="0" applyNumberFormat="1" applyFont="1" applyFill="1" applyAlignment="1">
      <alignment horizontal="left" vertical="center" wrapText="1"/>
    </xf>
    <xf numFmtId="0" fontId="2" fillId="0" borderId="0" xfId="0" applyFont="1" applyAlignment="1">
      <alignment horizontal="left"/>
    </xf>
    <xf numFmtId="0" fontId="2" fillId="0" borderId="9" xfId="0" applyFont="1" applyBorder="1" applyAlignment="1">
      <alignment horizontal="left"/>
    </xf>
    <xf numFmtId="0" fontId="2" fillId="3" borderId="2" xfId="0" applyFont="1" applyFill="1" applyBorder="1" applyAlignment="1">
      <alignment horizontal="left" vertical="center"/>
    </xf>
    <xf numFmtId="0" fontId="2" fillId="3" borderId="13" xfId="0" applyFont="1" applyFill="1" applyBorder="1" applyAlignment="1">
      <alignment horizontal="left" vertical="center"/>
    </xf>
    <xf numFmtId="0" fontId="2" fillId="3" borderId="15" xfId="0" applyFont="1" applyFill="1" applyBorder="1" applyAlignment="1">
      <alignment horizontal="left" vertical="center"/>
    </xf>
    <xf numFmtId="0" fontId="2" fillId="2" borderId="2"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2" fillId="2" borderId="15" xfId="0" applyFont="1" applyFill="1" applyBorder="1" applyAlignment="1" applyProtection="1">
      <alignment horizontal="left" vertical="center"/>
      <protection locked="0"/>
    </xf>
    <xf numFmtId="0" fontId="7" fillId="3" borderId="20" xfId="0" applyFont="1" applyFill="1" applyBorder="1" applyAlignment="1">
      <alignment horizontal="left" vertical="center"/>
    </xf>
    <xf numFmtId="0" fontId="7" fillId="0" borderId="24" xfId="0" applyFont="1" applyBorder="1" applyAlignment="1" applyProtection="1">
      <alignment horizontal="left" vertical="center"/>
      <protection locked="0"/>
    </xf>
    <xf numFmtId="0" fontId="7" fillId="0" borderId="25" xfId="0" applyFont="1" applyBorder="1" applyAlignment="1" applyProtection="1">
      <alignment horizontal="left" vertical="center"/>
      <protection locked="0"/>
    </xf>
    <xf numFmtId="0" fontId="7" fillId="0" borderId="26" xfId="0" applyFont="1" applyBorder="1" applyAlignment="1" applyProtection="1">
      <alignment horizontal="left" vertical="center"/>
      <protection locked="0"/>
    </xf>
    <xf numFmtId="0" fontId="21" fillId="3" borderId="20" xfId="0" applyFont="1" applyFill="1" applyBorder="1" applyAlignment="1">
      <alignment horizontal="left" vertical="center"/>
    </xf>
    <xf numFmtId="0" fontId="7" fillId="0" borderId="24" xfId="0" applyFont="1" applyBorder="1" applyProtection="1">
      <alignment vertical="center"/>
      <protection locked="0"/>
    </xf>
    <xf numFmtId="0" fontId="7" fillId="0" borderId="25" xfId="0" applyFont="1" applyBorder="1" applyProtection="1">
      <alignment vertical="center"/>
      <protection locked="0"/>
    </xf>
    <xf numFmtId="0" fontId="7" fillId="0" borderId="26" xfId="0" applyFont="1" applyBorder="1" applyProtection="1">
      <alignment vertical="center"/>
      <protection locked="0"/>
    </xf>
    <xf numFmtId="0" fontId="21" fillId="3" borderId="24" xfId="0" applyFont="1" applyFill="1" applyBorder="1">
      <alignment vertical="center"/>
    </xf>
    <xf numFmtId="0" fontId="21" fillId="3" borderId="25" xfId="0" applyFont="1" applyFill="1" applyBorder="1">
      <alignment vertical="center"/>
    </xf>
    <xf numFmtId="0" fontId="21" fillId="3" borderId="26" xfId="0" applyFont="1" applyFill="1" applyBorder="1">
      <alignment vertical="center"/>
    </xf>
    <xf numFmtId="179" fontId="12" fillId="0" borderId="24" xfId="0" applyNumberFormat="1" applyFont="1" applyBorder="1" applyAlignment="1">
      <alignment horizontal="center" vertical="center"/>
    </xf>
    <xf numFmtId="179" fontId="12" fillId="0" borderId="25" xfId="0" applyNumberFormat="1" applyFont="1" applyBorder="1" applyAlignment="1">
      <alignment horizontal="center" vertical="center"/>
    </xf>
    <xf numFmtId="0" fontId="12" fillId="0" borderId="25" xfId="0" applyFont="1" applyBorder="1">
      <alignment vertical="center"/>
    </xf>
    <xf numFmtId="0" fontId="7" fillId="0" borderId="25" xfId="0" applyFont="1" applyBorder="1">
      <alignment vertical="center"/>
    </xf>
    <xf numFmtId="0" fontId="7" fillId="0" borderId="26" xfId="0" applyFont="1" applyBorder="1">
      <alignment vertical="center"/>
    </xf>
    <xf numFmtId="0" fontId="22" fillId="0" borderId="0" xfId="0" applyFont="1" applyAlignment="1">
      <alignment horizontal="left" vertical="center" readingOrder="1"/>
    </xf>
    <xf numFmtId="49" fontId="7" fillId="3" borderId="1" xfId="1" applyNumberFormat="1" applyFont="1" applyFill="1" applyBorder="1" applyAlignment="1">
      <alignment horizontal="center" vertical="center"/>
    </xf>
    <xf numFmtId="0" fontId="0" fillId="0" borderId="1" xfId="1" applyFont="1" applyBorder="1">
      <alignment vertical="center"/>
    </xf>
    <xf numFmtId="49" fontId="10" fillId="0" borderId="1" xfId="0" applyNumberFormat="1" applyFont="1" applyBorder="1" applyAlignment="1">
      <alignment horizontal="center" vertical="center"/>
    </xf>
    <xf numFmtId="49" fontId="7" fillId="3" borderId="2" xfId="0" applyNumberFormat="1" applyFont="1" applyFill="1" applyBorder="1">
      <alignment vertical="center"/>
    </xf>
    <xf numFmtId="49" fontId="7" fillId="3" borderId="13" xfId="0" applyNumberFormat="1" applyFont="1" applyFill="1" applyBorder="1">
      <alignment vertical="center"/>
    </xf>
    <xf numFmtId="49" fontId="11" fillId="3" borderId="2" xfId="0" applyNumberFormat="1" applyFont="1" applyFill="1" applyBorder="1" applyAlignment="1">
      <alignment horizontal="left" vertical="center"/>
    </xf>
    <xf numFmtId="49" fontId="11" fillId="3" borderId="13" xfId="0" applyNumberFormat="1" applyFont="1" applyFill="1" applyBorder="1" applyAlignment="1">
      <alignment horizontal="left" vertical="center"/>
    </xf>
    <xf numFmtId="49" fontId="11" fillId="3" borderId="15" xfId="0" applyNumberFormat="1" applyFont="1" applyFill="1" applyBorder="1" applyAlignment="1">
      <alignment horizontal="left" vertical="center"/>
    </xf>
    <xf numFmtId="49" fontId="11" fillId="0" borderId="20" xfId="0" applyNumberFormat="1" applyFont="1" applyBorder="1" applyAlignment="1" applyProtection="1">
      <alignment horizontal="left" vertical="center" wrapText="1"/>
      <protection locked="0"/>
    </xf>
    <xf numFmtId="49" fontId="2" fillId="0" borderId="5" xfId="0" applyNumberFormat="1" applyFont="1" applyBorder="1" applyAlignment="1" applyProtection="1">
      <alignment horizontal="center" vertical="center"/>
      <protection locked="0"/>
    </xf>
    <xf numFmtId="49" fontId="2" fillId="0" borderId="6" xfId="0" applyNumberFormat="1" applyFont="1" applyBorder="1" applyAlignment="1" applyProtection="1">
      <alignment horizontal="center" vertical="center"/>
      <protection locked="0"/>
    </xf>
    <xf numFmtId="49" fontId="2" fillId="0" borderId="0" xfId="0" applyNumberFormat="1" applyFont="1" applyAlignment="1">
      <alignment horizontal="left"/>
    </xf>
    <xf numFmtId="49" fontId="2" fillId="3" borderId="5" xfId="0" applyNumberFormat="1" applyFont="1" applyFill="1" applyBorder="1" applyAlignment="1">
      <alignment horizontal="right" vertical="center"/>
    </xf>
    <xf numFmtId="49" fontId="2" fillId="3" borderId="6" xfId="0" applyNumberFormat="1" applyFont="1" applyFill="1" applyBorder="1" applyAlignment="1">
      <alignment horizontal="right" vertical="center"/>
    </xf>
    <xf numFmtId="49" fontId="2" fillId="3" borderId="16" xfId="0" applyNumberFormat="1" applyFont="1" applyFill="1" applyBorder="1" applyAlignment="1">
      <alignment horizontal="right" vertical="center"/>
    </xf>
    <xf numFmtId="49" fontId="2" fillId="0" borderId="6" xfId="0" applyNumberFormat="1" applyFont="1" applyBorder="1" applyAlignment="1">
      <alignment horizontal="center" vertical="center"/>
    </xf>
    <xf numFmtId="49" fontId="2" fillId="0" borderId="16" xfId="0" applyNumberFormat="1" applyFont="1" applyBorder="1" applyAlignment="1">
      <alignment horizontal="center" vertical="center"/>
    </xf>
    <xf numFmtId="49" fontId="2" fillId="0" borderId="16" xfId="0" applyNumberFormat="1" applyFont="1" applyBorder="1" applyAlignment="1" applyProtection="1">
      <alignment horizontal="center" vertical="center"/>
      <protection locked="0"/>
    </xf>
    <xf numFmtId="49" fontId="2" fillId="0" borderId="5" xfId="0" applyNumberFormat="1" applyFont="1" applyBorder="1" applyAlignment="1">
      <alignment horizontal="center" vertical="center"/>
    </xf>
    <xf numFmtId="49" fontId="19" fillId="3" borderId="2" xfId="0" applyNumberFormat="1" applyFont="1" applyFill="1" applyBorder="1">
      <alignment vertical="center"/>
    </xf>
    <xf numFmtId="49" fontId="19" fillId="3" borderId="13" xfId="0" applyNumberFormat="1" applyFont="1" applyFill="1" applyBorder="1">
      <alignment vertical="center"/>
    </xf>
    <xf numFmtId="49" fontId="2" fillId="3" borderId="13" xfId="0" applyNumberFormat="1" applyFont="1" applyFill="1" applyBorder="1">
      <alignment vertical="center"/>
    </xf>
    <xf numFmtId="49" fontId="2" fillId="3" borderId="15" xfId="0" applyNumberFormat="1" applyFont="1" applyFill="1" applyBorder="1">
      <alignment vertical="center"/>
    </xf>
    <xf numFmtId="49" fontId="2" fillId="0" borderId="9"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8" xfId="0" applyNumberFormat="1" applyFont="1" applyBorder="1" applyAlignment="1">
      <alignment horizontal="center" vertical="center"/>
    </xf>
    <xf numFmtId="14" fontId="2" fillId="0" borderId="20" xfId="0" applyNumberFormat="1" applyFont="1" applyBorder="1" applyAlignment="1">
      <alignment horizontal="center" vertical="center"/>
    </xf>
    <xf numFmtId="0" fontId="2" fillId="0" borderId="20" xfId="0" applyFont="1" applyBorder="1">
      <alignment vertical="center"/>
    </xf>
    <xf numFmtId="49" fontId="7" fillId="3" borderId="0" xfId="0" applyNumberFormat="1" applyFont="1" applyFill="1">
      <alignment vertical="center"/>
    </xf>
    <xf numFmtId="177" fontId="7" fillId="0" borderId="0" xfId="0" quotePrefix="1" applyNumberFormat="1" applyFont="1" applyAlignment="1">
      <alignment horizontal="center" vertical="center"/>
    </xf>
    <xf numFmtId="49" fontId="11" fillId="3" borderId="0" xfId="0" applyNumberFormat="1" applyFont="1" applyFill="1" applyAlignment="1">
      <alignment horizontal="left" vertical="center"/>
    </xf>
    <xf numFmtId="49" fontId="11" fillId="0" borderId="0" xfId="0" applyNumberFormat="1" applyFont="1" applyAlignment="1">
      <alignment horizontal="left" vertical="center"/>
    </xf>
    <xf numFmtId="49" fontId="11" fillId="4" borderId="0" xfId="0" applyNumberFormat="1" applyFont="1" applyFill="1" applyAlignment="1">
      <alignment horizontal="center" vertical="center"/>
    </xf>
    <xf numFmtId="0" fontId="2" fillId="0" borderId="0" xfId="0" applyFont="1" applyAlignment="1">
      <alignment horizontal="center" vertical="center"/>
    </xf>
    <xf numFmtId="49" fontId="11" fillId="3" borderId="0" xfId="0" applyNumberFormat="1" applyFont="1" applyFill="1" applyAlignment="1">
      <alignment horizontal="center" vertical="center" wrapText="1"/>
    </xf>
    <xf numFmtId="0" fontId="2" fillId="0" borderId="0" xfId="0" applyFont="1" applyAlignment="1">
      <alignment horizontal="left" vertical="center" wrapText="1"/>
    </xf>
    <xf numFmtId="49" fontId="2" fillId="0" borderId="0" xfId="0" applyNumberFormat="1" applyFont="1" applyAlignment="1">
      <alignment horizontal="center" vertical="center"/>
    </xf>
    <xf numFmtId="49" fontId="10" fillId="0" borderId="0" xfId="0" applyNumberFormat="1" applyFont="1" applyAlignment="1">
      <alignment horizontal="left" vertical="center" wrapText="1"/>
    </xf>
    <xf numFmtId="178" fontId="0" fillId="2" borderId="9" xfId="0" applyNumberFormat="1" applyFill="1" applyBorder="1" applyAlignment="1">
      <alignment horizontal="center" vertical="center"/>
    </xf>
    <xf numFmtId="14" fontId="2" fillId="0" borderId="20" xfId="0" applyNumberFormat="1" applyFont="1" applyBorder="1" applyAlignment="1">
      <alignment horizontal="center" vertical="center" wrapText="1"/>
    </xf>
    <xf numFmtId="0" fontId="25" fillId="3" borderId="1" xfId="0" applyFont="1" applyFill="1" applyBorder="1" applyAlignment="1">
      <alignment horizontal="left" vertical="center"/>
    </xf>
    <xf numFmtId="14" fontId="2" fillId="0" borderId="0" xfId="0" applyNumberFormat="1" applyFont="1" applyAlignment="1">
      <alignment horizontal="center" vertical="center"/>
    </xf>
    <xf numFmtId="14" fontId="2" fillId="0" borderId="0" xfId="0" applyNumberFormat="1" applyFont="1" applyAlignment="1">
      <alignment horizontal="center" vertical="center" wrapText="1"/>
    </xf>
    <xf numFmtId="49" fontId="7" fillId="3" borderId="0" xfId="0" applyNumberFormat="1" applyFont="1" applyFill="1" applyAlignment="1">
      <alignment horizontal="center" vertical="center" wrapText="1"/>
    </xf>
    <xf numFmtId="178" fontId="0" fillId="2" borderId="0" xfId="0" applyNumberFormat="1" applyFill="1" applyAlignment="1">
      <alignment horizontal="center" vertical="center"/>
    </xf>
    <xf numFmtId="49" fontId="11" fillId="3" borderId="0" xfId="0" applyNumberFormat="1" applyFont="1" applyFill="1" applyAlignment="1">
      <alignment horizontal="center" vertical="center"/>
    </xf>
    <xf numFmtId="49" fontId="7" fillId="0" borderId="1" xfId="0" applyNumberFormat="1" applyFont="1" applyBorder="1" applyAlignment="1" applyProtection="1">
      <alignment horizontal="center" vertical="center"/>
      <protection locked="0"/>
    </xf>
    <xf numFmtId="49" fontId="7" fillId="3" borderId="5" xfId="0" applyNumberFormat="1" applyFont="1" applyFill="1" applyBorder="1" applyAlignment="1">
      <alignment horizontal="left" vertical="center" wrapText="1"/>
    </xf>
    <xf numFmtId="49" fontId="7" fillId="3" borderId="6" xfId="0" applyNumberFormat="1" applyFont="1" applyFill="1" applyBorder="1" applyAlignment="1">
      <alignment horizontal="left" vertical="center" wrapText="1"/>
    </xf>
    <xf numFmtId="49" fontId="7" fillId="3" borderId="16" xfId="0" applyNumberFormat="1" applyFont="1" applyFill="1" applyBorder="1" applyAlignment="1">
      <alignment horizontal="left" vertical="center" wrapText="1"/>
    </xf>
    <xf numFmtId="49" fontId="7" fillId="3" borderId="4" xfId="0" applyNumberFormat="1" applyFont="1" applyFill="1" applyBorder="1" applyAlignment="1">
      <alignment horizontal="left" vertical="center" wrapText="1"/>
    </xf>
    <xf numFmtId="49" fontId="7" fillId="3" borderId="0" xfId="0" applyNumberFormat="1" applyFont="1" applyFill="1" applyAlignment="1">
      <alignment horizontal="left" vertical="center" wrapText="1"/>
    </xf>
    <xf numFmtId="49" fontId="7" fillId="3" borderId="17" xfId="0" applyNumberFormat="1" applyFont="1" applyFill="1" applyBorder="1" applyAlignment="1">
      <alignment horizontal="left" vertical="center" wrapText="1"/>
    </xf>
    <xf numFmtId="49" fontId="7" fillId="0" borderId="22" xfId="0" applyNumberFormat="1" applyFont="1" applyBorder="1" applyAlignment="1" applyProtection="1">
      <alignment horizontal="center" vertical="center"/>
      <protection locked="0"/>
    </xf>
    <xf numFmtId="49" fontId="7" fillId="3" borderId="9" xfId="0" applyNumberFormat="1" applyFont="1" applyFill="1" applyBorder="1" applyAlignment="1">
      <alignment horizontal="left" vertical="center" wrapText="1"/>
    </xf>
    <xf numFmtId="49" fontId="7" fillId="3" borderId="18" xfId="0" applyNumberFormat="1" applyFont="1" applyFill="1" applyBorder="1" applyAlignment="1">
      <alignment horizontal="left" vertical="center" wrapText="1"/>
    </xf>
    <xf numFmtId="0" fontId="2" fillId="0" borderId="0" xfId="0" applyFont="1" applyAlignment="1"/>
    <xf numFmtId="0" fontId="2" fillId="0" borderId="9" xfId="0" applyFont="1" applyBorder="1" applyAlignment="1"/>
    <xf numFmtId="0" fontId="15" fillId="0" borderId="0" xfId="0" applyFont="1" applyProtection="1">
      <alignment vertical="center"/>
      <protection hidden="1"/>
    </xf>
    <xf numFmtId="0" fontId="5" fillId="5" borderId="44" xfId="0" applyFont="1" applyFill="1" applyBorder="1" applyAlignment="1" applyProtection="1">
      <alignment horizontal="center" vertical="center"/>
      <protection hidden="1"/>
    </xf>
    <xf numFmtId="0" fontId="5" fillId="5" borderId="45" xfId="0" applyFont="1" applyFill="1" applyBorder="1" applyAlignment="1" applyProtection="1">
      <alignment horizontal="center" vertical="center"/>
      <protection hidden="1"/>
    </xf>
    <xf numFmtId="0" fontId="5" fillId="5" borderId="46" xfId="0" applyFont="1" applyFill="1" applyBorder="1" applyAlignment="1" applyProtection="1">
      <alignment horizontal="center" vertical="center"/>
      <protection hidden="1"/>
    </xf>
    <xf numFmtId="0" fontId="27" fillId="0" borderId="47" xfId="0" applyFont="1" applyBorder="1" applyAlignment="1">
      <alignment vertical="center" wrapText="1"/>
    </xf>
    <xf numFmtId="0" fontId="27" fillId="0" borderId="0" xfId="0" applyFont="1" applyAlignment="1">
      <alignment vertical="center" wrapText="1"/>
    </xf>
    <xf numFmtId="0" fontId="27" fillId="0" borderId="48" xfId="0" applyFont="1" applyBorder="1" applyAlignment="1">
      <alignment vertical="center" wrapText="1"/>
    </xf>
    <xf numFmtId="0" fontId="27" fillId="0" borderId="47" xfId="0" applyFont="1" applyBorder="1">
      <alignment vertical="center"/>
    </xf>
    <xf numFmtId="0" fontId="27" fillId="0" borderId="0" xfId="0" applyFont="1">
      <alignment vertical="center"/>
    </xf>
    <xf numFmtId="0" fontId="27" fillId="0" borderId="48" xfId="0" applyFont="1" applyBorder="1">
      <alignment vertical="center"/>
    </xf>
    <xf numFmtId="0" fontId="27" fillId="0" borderId="49" xfId="0" applyFont="1" applyBorder="1" applyAlignment="1">
      <alignment vertical="center" wrapText="1"/>
    </xf>
    <xf numFmtId="0" fontId="27" fillId="0" borderId="50" xfId="0" applyFont="1" applyBorder="1" applyAlignment="1">
      <alignment vertical="center" wrapText="1"/>
    </xf>
    <xf numFmtId="0" fontId="27" fillId="0" borderId="51" xfId="0" applyFont="1" applyBorder="1" applyAlignment="1">
      <alignment vertical="center" wrapText="1"/>
    </xf>
    <xf numFmtId="0" fontId="27" fillId="0" borderId="47" xfId="0" applyFont="1" applyBorder="1">
      <alignment vertical="center"/>
    </xf>
    <xf numFmtId="0" fontId="27" fillId="0" borderId="0" xfId="0" applyFont="1">
      <alignment vertical="center"/>
    </xf>
    <xf numFmtId="0" fontId="27" fillId="0" borderId="52" xfId="0" applyFont="1" applyBorder="1">
      <alignment vertical="center"/>
    </xf>
    <xf numFmtId="0" fontId="27" fillId="0" borderId="48" xfId="0" applyFont="1" applyBorder="1">
      <alignment vertical="center"/>
    </xf>
    <xf numFmtId="0" fontId="10" fillId="5" borderId="44" xfId="0" applyFont="1" applyFill="1" applyBorder="1" applyProtection="1">
      <alignment vertical="center"/>
      <protection hidden="1"/>
    </xf>
    <xf numFmtId="0" fontId="10" fillId="5" borderId="45" xfId="0" applyFont="1" applyFill="1" applyBorder="1" applyProtection="1">
      <alignment vertical="center"/>
      <protection hidden="1"/>
    </xf>
    <xf numFmtId="0" fontId="10" fillId="5" borderId="46" xfId="0" applyFont="1" applyFill="1" applyBorder="1" applyProtection="1">
      <alignment vertical="center"/>
      <protection hidden="1"/>
    </xf>
    <xf numFmtId="0" fontId="30" fillId="0" borderId="0" xfId="0" applyFont="1">
      <alignment vertical="center"/>
    </xf>
    <xf numFmtId="0" fontId="10" fillId="0" borderId="47" xfId="0" applyFont="1" applyBorder="1">
      <alignment vertical="center"/>
    </xf>
    <xf numFmtId="0" fontId="10" fillId="0" borderId="0" xfId="0" applyFont="1">
      <alignment vertical="center"/>
    </xf>
    <xf numFmtId="0" fontId="10" fillId="0" borderId="48" xfId="0" applyFont="1" applyBorder="1">
      <alignment vertical="center"/>
    </xf>
    <xf numFmtId="0" fontId="10" fillId="0" borderId="47" xfId="0" applyFont="1" applyBorder="1" applyAlignment="1">
      <alignment vertical="center" wrapText="1"/>
    </xf>
    <xf numFmtId="0" fontId="10" fillId="0" borderId="0" xfId="0" applyFont="1" applyAlignment="1">
      <alignment vertical="center" wrapText="1"/>
    </xf>
    <xf numFmtId="0" fontId="10" fillId="0" borderId="48" xfId="0" applyFont="1" applyBorder="1" applyAlignment="1">
      <alignment vertical="center" wrapText="1"/>
    </xf>
    <xf numFmtId="49" fontId="4" fillId="2" borderId="0" xfId="0" applyNumberFormat="1" applyFont="1" applyFill="1" applyAlignment="1">
      <alignment horizontal="center" vertical="center" wrapText="1"/>
    </xf>
    <xf numFmtId="0" fontId="17" fillId="2" borderId="0" xfId="0" applyFont="1" applyFill="1">
      <alignment vertical="center"/>
    </xf>
    <xf numFmtId="49" fontId="21" fillId="2" borderId="0" xfId="0" applyNumberFormat="1" applyFont="1" applyFill="1">
      <alignment vertical="center"/>
    </xf>
    <xf numFmtId="0" fontId="17" fillId="0" borderId="0" xfId="0" applyFont="1">
      <alignment vertical="center"/>
    </xf>
    <xf numFmtId="49" fontId="4" fillId="2" borderId="5" xfId="0" applyNumberFormat="1" applyFont="1" applyFill="1" applyBorder="1" applyAlignment="1">
      <alignment horizontal="center" vertical="center" wrapText="1"/>
    </xf>
    <xf numFmtId="49" fontId="4" fillId="2" borderId="6" xfId="0" applyNumberFormat="1" applyFont="1" applyFill="1" applyBorder="1" applyAlignment="1">
      <alignment horizontal="center" vertical="center" wrapText="1"/>
    </xf>
    <xf numFmtId="49" fontId="4" fillId="2" borderId="16" xfId="0" applyNumberFormat="1" applyFont="1" applyFill="1" applyBorder="1" applyAlignment="1">
      <alignment horizontal="center" vertical="center" wrapText="1"/>
    </xf>
    <xf numFmtId="49" fontId="4" fillId="2" borderId="4" xfId="0" applyNumberFormat="1" applyFont="1" applyFill="1" applyBorder="1" applyAlignment="1">
      <alignment horizontal="center" vertical="center" wrapText="1"/>
    </xf>
    <xf numFmtId="49" fontId="4" fillId="2" borderId="17"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xf>
    <xf numFmtId="49" fontId="2" fillId="2" borderId="9" xfId="0" applyNumberFormat="1" applyFont="1" applyFill="1" applyBorder="1" applyAlignment="1">
      <alignment horizontal="center" vertical="center"/>
    </xf>
    <xf numFmtId="49" fontId="2" fillId="2" borderId="18" xfId="0" applyNumberFormat="1" applyFont="1" applyFill="1" applyBorder="1" applyAlignment="1">
      <alignment horizontal="center" vertical="center"/>
    </xf>
    <xf numFmtId="49" fontId="7" fillId="2" borderId="0" xfId="0" applyNumberFormat="1" applyFont="1" applyFill="1" applyAlignment="1">
      <alignment vertical="center" wrapText="1"/>
    </xf>
    <xf numFmtId="49" fontId="11" fillId="2" borderId="0" xfId="0" applyNumberFormat="1" applyFont="1" applyFill="1" applyAlignment="1">
      <alignment vertical="center" wrapText="1"/>
    </xf>
    <xf numFmtId="49" fontId="16" fillId="3" borderId="5" xfId="0" applyNumberFormat="1" applyFont="1" applyFill="1" applyBorder="1" applyAlignment="1">
      <alignment horizontal="center" vertical="center"/>
    </xf>
    <xf numFmtId="49" fontId="16" fillId="3" borderId="6" xfId="0" applyNumberFormat="1" applyFont="1" applyFill="1" applyBorder="1" applyAlignment="1">
      <alignment horizontal="center" vertical="center"/>
    </xf>
    <xf numFmtId="49" fontId="16" fillId="3" borderId="16" xfId="0" applyNumberFormat="1" applyFont="1" applyFill="1" applyBorder="1" applyAlignment="1">
      <alignment horizontal="center" vertical="center"/>
    </xf>
    <xf numFmtId="49" fontId="16" fillId="3" borderId="4" xfId="0" applyNumberFormat="1" applyFont="1" applyFill="1" applyBorder="1" applyAlignment="1">
      <alignment horizontal="center" vertical="center"/>
    </xf>
    <xf numFmtId="49" fontId="16" fillId="3" borderId="0" xfId="0" applyNumberFormat="1" applyFont="1" applyFill="1" applyAlignment="1">
      <alignment horizontal="center" vertical="center"/>
    </xf>
    <xf numFmtId="49" fontId="16" fillId="3" borderId="17" xfId="0" applyNumberFormat="1" applyFont="1" applyFill="1" applyBorder="1" applyAlignment="1">
      <alignment horizontal="center" vertical="center"/>
    </xf>
    <xf numFmtId="49" fontId="16" fillId="3" borderId="8" xfId="0" applyNumberFormat="1" applyFont="1" applyFill="1" applyBorder="1" applyAlignment="1">
      <alignment horizontal="center" vertical="center"/>
    </xf>
    <xf numFmtId="49" fontId="16" fillId="3" borderId="9" xfId="0" applyNumberFormat="1" applyFont="1" applyFill="1" applyBorder="1" applyAlignment="1">
      <alignment horizontal="center" vertical="center"/>
    </xf>
    <xf numFmtId="49" fontId="16" fillId="3" borderId="18" xfId="0" applyNumberFormat="1" applyFont="1" applyFill="1" applyBorder="1" applyAlignment="1">
      <alignment horizontal="center" vertical="center"/>
    </xf>
    <xf numFmtId="49" fontId="16" fillId="2" borderId="0" xfId="0" applyNumberFormat="1" applyFont="1" applyFill="1" applyAlignment="1">
      <alignment horizontal="center" vertical="center"/>
    </xf>
    <xf numFmtId="49" fontId="2" fillId="3" borderId="5" xfId="0" applyNumberFormat="1" applyFont="1" applyFill="1" applyBorder="1">
      <alignment vertical="center"/>
    </xf>
    <xf numFmtId="49" fontId="2" fillId="3" borderId="6" xfId="0" applyNumberFormat="1" applyFont="1" applyFill="1" applyBorder="1">
      <alignment vertical="center"/>
    </xf>
    <xf numFmtId="49" fontId="2" fillId="3" borderId="16" xfId="0" applyNumberFormat="1" applyFont="1" applyFill="1" applyBorder="1">
      <alignment vertical="center"/>
    </xf>
    <xf numFmtId="49" fontId="5" fillId="2" borderId="0" xfId="0" applyNumberFormat="1" applyFont="1" applyFill="1" applyAlignment="1">
      <alignment horizontal="center" vertical="center"/>
    </xf>
    <xf numFmtId="49" fontId="5" fillId="2" borderId="0" xfId="0" applyNumberFormat="1" applyFont="1" applyFill="1">
      <alignment vertical="center"/>
    </xf>
    <xf numFmtId="49" fontId="7" fillId="3" borderId="5" xfId="0" applyNumberFormat="1" applyFont="1" applyFill="1" applyBorder="1" applyAlignment="1">
      <alignment vertical="center" wrapText="1"/>
    </xf>
    <xf numFmtId="49" fontId="7" fillId="3" borderId="6" xfId="0" applyNumberFormat="1" applyFont="1" applyFill="1" applyBorder="1">
      <alignment vertical="center"/>
    </xf>
    <xf numFmtId="49" fontId="11" fillId="0" borderId="2" xfId="0" applyNumberFormat="1" applyFont="1" applyBorder="1" applyAlignment="1">
      <alignment horizontal="center" vertical="center"/>
    </xf>
    <xf numFmtId="49" fontId="11" fillId="0" borderId="15" xfId="0" applyNumberFormat="1" applyFont="1" applyBorder="1" applyAlignment="1">
      <alignment horizontal="center" vertical="center"/>
    </xf>
    <xf numFmtId="49" fontId="11" fillId="2" borderId="53" xfId="0" applyNumberFormat="1" applyFont="1" applyFill="1" applyBorder="1" applyAlignment="1" applyProtection="1">
      <alignment horizontal="left" vertical="center"/>
      <protection locked="0"/>
    </xf>
    <xf numFmtId="49" fontId="11" fillId="2" borderId="54" xfId="0" applyNumberFormat="1" applyFont="1" applyFill="1" applyBorder="1" applyAlignment="1" applyProtection="1">
      <alignment horizontal="left" vertical="center"/>
      <protection locked="0"/>
    </xf>
    <xf numFmtId="49" fontId="7" fillId="3" borderId="4" xfId="0" applyNumberFormat="1" applyFont="1" applyFill="1" applyBorder="1" applyAlignment="1">
      <alignment horizontal="center" vertical="top" wrapText="1"/>
    </xf>
    <xf numFmtId="49" fontId="7" fillId="3" borderId="0" xfId="0" applyNumberFormat="1" applyFont="1" applyFill="1" applyAlignment="1">
      <alignment horizontal="center" vertical="top"/>
    </xf>
    <xf numFmtId="49" fontId="7" fillId="3" borderId="17" xfId="0" applyNumberFormat="1" applyFont="1" applyFill="1" applyBorder="1" applyAlignment="1">
      <alignment horizontal="center" vertical="top"/>
    </xf>
    <xf numFmtId="49" fontId="32" fillId="2" borderId="55" xfId="0" applyNumberFormat="1" applyFont="1" applyFill="1" applyBorder="1" applyAlignment="1" applyProtection="1">
      <alignment horizontal="left" vertical="center"/>
      <protection locked="0"/>
    </xf>
    <xf numFmtId="49" fontId="32" fillId="2" borderId="56" xfId="0" applyNumberFormat="1" applyFont="1" applyFill="1" applyBorder="1" applyAlignment="1" applyProtection="1">
      <alignment horizontal="left" vertical="center"/>
      <protection locked="0"/>
    </xf>
    <xf numFmtId="49" fontId="7" fillId="3" borderId="8" xfId="0" applyNumberFormat="1" applyFont="1" applyFill="1" applyBorder="1" applyAlignment="1">
      <alignment horizontal="center" vertical="top"/>
    </xf>
    <xf numFmtId="49" fontId="7" fillId="3" borderId="9" xfId="0" applyNumberFormat="1" applyFont="1" applyFill="1" applyBorder="1" applyAlignment="1">
      <alignment horizontal="center" vertical="top"/>
    </xf>
    <xf numFmtId="49" fontId="7" fillId="3" borderId="18" xfId="0" applyNumberFormat="1" applyFont="1" applyFill="1" applyBorder="1" applyAlignment="1">
      <alignment horizontal="center" vertical="top"/>
    </xf>
    <xf numFmtId="49" fontId="7" fillId="2" borderId="57" xfId="3" applyNumberFormat="1" applyFont="1" applyFill="1" applyBorder="1" applyAlignment="1">
      <alignment horizontal="left" vertical="center" wrapText="1"/>
    </xf>
    <xf numFmtId="49" fontId="7" fillId="2" borderId="58" xfId="3" applyNumberFormat="1" applyFont="1" applyFill="1" applyBorder="1" applyAlignment="1">
      <alignment horizontal="left" vertical="center" wrapText="1"/>
    </xf>
    <xf numFmtId="49" fontId="7" fillId="2" borderId="59" xfId="3" applyNumberFormat="1" applyFont="1" applyFill="1" applyBorder="1" applyAlignment="1">
      <alignment horizontal="left" vertical="center" wrapText="1"/>
    </xf>
    <xf numFmtId="49" fontId="16" fillId="2" borderId="55" xfId="0" applyNumberFormat="1" applyFont="1" applyFill="1" applyBorder="1" applyAlignment="1" applyProtection="1">
      <alignment horizontal="left" vertical="center"/>
      <protection locked="0"/>
    </xf>
    <xf numFmtId="49" fontId="16" fillId="2" borderId="56" xfId="0" applyNumberFormat="1" applyFont="1" applyFill="1" applyBorder="1" applyAlignment="1" applyProtection="1">
      <alignment horizontal="left" vertical="center"/>
      <protection locked="0"/>
    </xf>
    <xf numFmtId="49" fontId="5" fillId="6" borderId="2" xfId="0" applyNumberFormat="1" applyFont="1" applyFill="1" applyBorder="1" applyAlignment="1">
      <alignment horizontal="center" vertical="center"/>
    </xf>
    <xf numFmtId="49" fontId="5" fillId="6" borderId="13" xfId="0" applyNumberFormat="1" applyFont="1" applyFill="1" applyBorder="1" applyAlignment="1">
      <alignment horizontal="center" vertical="center"/>
    </xf>
    <xf numFmtId="49" fontId="5" fillId="6" borderId="15" xfId="0" applyNumberFormat="1" applyFont="1" applyFill="1" applyBorder="1" applyAlignment="1">
      <alignment horizontal="center" vertical="center"/>
    </xf>
    <xf numFmtId="0" fontId="17" fillId="2" borderId="0" xfId="0" applyFont="1" applyFill="1" applyAlignment="1">
      <alignment horizontal="center" vertical="center"/>
    </xf>
    <xf numFmtId="0" fontId="17" fillId="0" borderId="0" xfId="0" applyFont="1" applyAlignment="1">
      <alignment horizontal="center" vertical="center"/>
    </xf>
    <xf numFmtId="49" fontId="11" fillId="2" borderId="2" xfId="0" applyNumberFormat="1" applyFont="1" applyFill="1" applyBorder="1" applyAlignment="1">
      <alignment horizontal="center" vertical="center"/>
    </xf>
    <xf numFmtId="49" fontId="11" fillId="2" borderId="15" xfId="0" applyNumberFormat="1" applyFont="1" applyFill="1" applyBorder="1" applyAlignment="1">
      <alignment horizontal="center" vertical="center"/>
    </xf>
    <xf numFmtId="49" fontId="34" fillId="2" borderId="55" xfId="0" applyNumberFormat="1" applyFont="1" applyFill="1" applyBorder="1" applyAlignment="1" applyProtection="1">
      <alignment horizontal="left" vertical="center"/>
      <protection locked="0"/>
    </xf>
    <xf numFmtId="49" fontId="34" fillId="2" borderId="56" xfId="0" applyNumberFormat="1" applyFont="1" applyFill="1" applyBorder="1" applyAlignment="1" applyProtection="1">
      <alignment horizontal="left" vertical="center"/>
      <protection locked="0"/>
    </xf>
    <xf numFmtId="49" fontId="7" fillId="3" borderId="60" xfId="0" applyNumberFormat="1" applyFont="1" applyFill="1" applyBorder="1" applyAlignment="1">
      <alignment vertical="center" wrapText="1"/>
    </xf>
    <xf numFmtId="49" fontId="7" fillId="3" borderId="61" xfId="0" applyNumberFormat="1" applyFont="1" applyFill="1" applyBorder="1">
      <alignment vertical="center"/>
    </xf>
    <xf numFmtId="49" fontId="11" fillId="2" borderId="62" xfId="0" applyNumberFormat="1" applyFont="1" applyFill="1" applyBorder="1" applyAlignment="1">
      <alignment horizontal="center" vertical="center"/>
    </xf>
    <xf numFmtId="49" fontId="11" fillId="2" borderId="63" xfId="0" applyNumberFormat="1" applyFont="1" applyFill="1" applyBorder="1" applyAlignment="1">
      <alignment horizontal="center" vertical="center"/>
    </xf>
    <xf numFmtId="49" fontId="11" fillId="2" borderId="64" xfId="0" applyNumberFormat="1" applyFont="1" applyFill="1" applyBorder="1" applyAlignment="1" applyProtection="1">
      <alignment horizontal="left" vertical="center"/>
      <protection locked="0"/>
    </xf>
    <xf numFmtId="49" fontId="11" fillId="2" borderId="65" xfId="0" applyNumberFormat="1" applyFont="1" applyFill="1" applyBorder="1" applyAlignment="1" applyProtection="1">
      <alignment horizontal="left" vertical="center"/>
      <protection locked="0"/>
    </xf>
    <xf numFmtId="49" fontId="11" fillId="2" borderId="66" xfId="0" applyNumberFormat="1" applyFont="1" applyFill="1" applyBorder="1" applyAlignment="1" applyProtection="1">
      <alignment horizontal="left" vertical="center"/>
      <protection locked="0"/>
    </xf>
    <xf numFmtId="49" fontId="7" fillId="2" borderId="55" xfId="0" applyNumberFormat="1" applyFont="1" applyFill="1" applyBorder="1" applyAlignment="1" applyProtection="1">
      <alignment horizontal="left" vertical="center"/>
      <protection locked="0"/>
    </xf>
    <xf numFmtId="49" fontId="7" fillId="2" borderId="56" xfId="0" applyNumberFormat="1" applyFont="1" applyFill="1" applyBorder="1" applyAlignment="1" applyProtection="1">
      <alignment horizontal="left" vertical="center"/>
      <protection locked="0"/>
    </xf>
    <xf numFmtId="49" fontId="11" fillId="2" borderId="67" xfId="0" applyNumberFormat="1" applyFont="1" applyFill="1" applyBorder="1" applyAlignment="1" applyProtection="1">
      <alignment horizontal="left" vertical="center"/>
      <protection locked="0"/>
    </xf>
    <xf numFmtId="0" fontId="20" fillId="3" borderId="2" xfId="0" applyFont="1" applyFill="1" applyBorder="1" applyAlignment="1">
      <alignment horizontal="center" vertical="center"/>
    </xf>
    <xf numFmtId="0" fontId="20" fillId="3" borderId="13" xfId="0" applyFont="1" applyFill="1" applyBorder="1" applyAlignment="1">
      <alignment horizontal="center" vertical="center"/>
    </xf>
    <xf numFmtId="49" fontId="2" fillId="2" borderId="68" xfId="0" applyNumberFormat="1" applyFont="1" applyFill="1" applyBorder="1" applyAlignment="1" applyProtection="1">
      <alignment horizontal="center" vertical="center"/>
      <protection locked="0"/>
    </xf>
    <xf numFmtId="49" fontId="2" fillId="2" borderId="69" xfId="0" applyNumberFormat="1" applyFont="1" applyFill="1" applyBorder="1" applyAlignment="1" applyProtection="1">
      <alignment horizontal="center" vertical="center"/>
      <protection locked="0"/>
    </xf>
    <xf numFmtId="0" fontId="20" fillId="2" borderId="69" xfId="0" applyFont="1" applyFill="1" applyBorder="1">
      <alignment vertical="center"/>
    </xf>
    <xf numFmtId="0" fontId="20" fillId="2" borderId="70" xfId="0" applyFont="1" applyFill="1" applyBorder="1">
      <alignment vertical="center"/>
    </xf>
    <xf numFmtId="49" fontId="2" fillId="2" borderId="71" xfId="0" applyNumberFormat="1" applyFont="1" applyFill="1" applyBorder="1" applyProtection="1">
      <alignment vertical="center"/>
      <protection locked="0"/>
    </xf>
    <xf numFmtId="49" fontId="2" fillId="2" borderId="61" xfId="0" applyNumberFormat="1" applyFont="1" applyFill="1" applyBorder="1" applyProtection="1">
      <alignment vertical="center"/>
      <protection locked="0"/>
    </xf>
    <xf numFmtId="49" fontId="2" fillId="2" borderId="72" xfId="0" applyNumberFormat="1" applyFont="1" applyFill="1" applyBorder="1" applyProtection="1">
      <alignment vertical="center"/>
      <protection locked="0"/>
    </xf>
    <xf numFmtId="0" fontId="20" fillId="3" borderId="73" xfId="0" applyFont="1" applyFill="1" applyBorder="1" applyAlignment="1">
      <alignment horizontal="center" vertical="center"/>
    </xf>
    <xf numFmtId="49" fontId="2" fillId="2" borderId="68" xfId="0" applyNumberFormat="1" applyFont="1" applyFill="1" applyBorder="1" applyProtection="1">
      <alignment vertical="center"/>
      <protection locked="0"/>
    </xf>
    <xf numFmtId="49" fontId="2" fillId="2" borderId="69" xfId="0" applyNumberFormat="1" applyFont="1" applyFill="1" applyBorder="1" applyProtection="1">
      <alignment vertical="center"/>
      <protection locked="0"/>
    </xf>
    <xf numFmtId="49" fontId="2" fillId="2" borderId="74" xfId="0" applyNumberFormat="1" applyFont="1" applyFill="1" applyBorder="1" applyProtection="1">
      <alignment vertical="center"/>
      <protection locked="0"/>
    </xf>
    <xf numFmtId="49" fontId="2" fillId="2" borderId="75" xfId="0" applyNumberFormat="1" applyFont="1" applyFill="1" applyBorder="1" applyProtection="1">
      <alignment vertical="center"/>
      <protection locked="0"/>
    </xf>
    <xf numFmtId="49" fontId="2" fillId="2" borderId="9" xfId="0" applyNumberFormat="1" applyFont="1" applyFill="1" applyBorder="1" applyProtection="1">
      <alignment vertical="center"/>
      <protection locked="0"/>
    </xf>
    <xf numFmtId="49" fontId="2" fillId="2" borderId="18" xfId="0" applyNumberFormat="1" applyFont="1" applyFill="1" applyBorder="1" applyProtection="1">
      <alignment vertical="center"/>
      <protection locked="0"/>
    </xf>
    <xf numFmtId="0" fontId="20" fillId="3" borderId="76" xfId="0" applyFont="1" applyFill="1" applyBorder="1" applyAlignment="1">
      <alignment horizontal="center" vertical="center"/>
    </xf>
    <xf numFmtId="0" fontId="20" fillId="3" borderId="77" xfId="0" applyFont="1" applyFill="1" applyBorder="1" applyAlignment="1">
      <alignment horizontal="center" vertical="center"/>
    </xf>
    <xf numFmtId="0" fontId="20" fillId="3" borderId="0" xfId="0" applyFont="1" applyFill="1" applyAlignment="1">
      <alignment horizontal="left" vertical="center"/>
    </xf>
    <xf numFmtId="0" fontId="20" fillId="3" borderId="0" xfId="0" applyFont="1" applyFill="1" applyAlignment="1">
      <alignment horizontal="center" vertical="center"/>
    </xf>
    <xf numFmtId="49" fontId="2" fillId="2" borderId="0" xfId="0" applyNumberFormat="1" applyFont="1" applyFill="1" applyProtection="1">
      <alignment vertical="center"/>
      <protection locked="0"/>
    </xf>
    <xf numFmtId="0" fontId="20" fillId="3" borderId="9" xfId="0" applyFont="1" applyFill="1" applyBorder="1" applyAlignment="1">
      <alignment horizontal="left" vertical="center"/>
    </xf>
    <xf numFmtId="0" fontId="20" fillId="3" borderId="9" xfId="0" applyFont="1" applyFill="1" applyBorder="1" applyAlignment="1">
      <alignment horizontal="center" vertical="center"/>
    </xf>
    <xf numFmtId="49" fontId="2" fillId="2" borderId="9" xfId="0" applyNumberFormat="1" applyFont="1" applyFill="1" applyBorder="1" applyProtection="1">
      <alignment vertical="center"/>
      <protection locked="0"/>
    </xf>
    <xf numFmtId="0" fontId="17" fillId="2" borderId="13" xfId="0" applyFont="1" applyFill="1" applyBorder="1">
      <alignment vertical="center"/>
    </xf>
    <xf numFmtId="0" fontId="17" fillId="0" borderId="17" xfId="0" applyFont="1" applyBorder="1">
      <alignment vertical="center"/>
    </xf>
    <xf numFmtId="0" fontId="20" fillId="3" borderId="78" xfId="0" applyFont="1" applyFill="1" applyBorder="1" applyAlignment="1">
      <alignment horizontal="center" vertical="center"/>
    </xf>
    <xf numFmtId="0" fontId="20" fillId="3" borderId="79" xfId="0" applyFont="1" applyFill="1" applyBorder="1" applyAlignment="1">
      <alignment horizontal="center" vertical="center"/>
    </xf>
    <xf numFmtId="0" fontId="20" fillId="3" borderId="80" xfId="0" applyFont="1" applyFill="1" applyBorder="1" applyAlignment="1">
      <alignment horizontal="center" vertical="center"/>
    </xf>
    <xf numFmtId="49" fontId="2" fillId="2" borderId="70" xfId="0" applyNumberFormat="1" applyFont="1" applyFill="1" applyBorder="1" applyProtection="1">
      <alignment vertical="center"/>
      <protection locked="0"/>
    </xf>
    <xf numFmtId="0" fontId="20" fillId="3" borderId="81" xfId="0" applyFont="1" applyFill="1" applyBorder="1" applyAlignment="1">
      <alignment horizontal="center" vertical="center"/>
    </xf>
    <xf numFmtId="0" fontId="20" fillId="3" borderId="82" xfId="0" applyFont="1" applyFill="1" applyBorder="1" applyAlignment="1">
      <alignment horizontal="center" vertical="center"/>
    </xf>
    <xf numFmtId="0" fontId="20" fillId="3" borderId="83" xfId="0" applyFont="1" applyFill="1" applyBorder="1" applyAlignment="1">
      <alignment horizontal="center" vertical="center"/>
    </xf>
    <xf numFmtId="49" fontId="2" fillId="2" borderId="61" xfId="0" applyNumberFormat="1" applyFont="1" applyFill="1" applyBorder="1" applyAlignment="1" applyProtection="1">
      <alignment horizontal="center" vertical="center"/>
      <protection locked="0"/>
    </xf>
    <xf numFmtId="49" fontId="11" fillId="2" borderId="69" xfId="0" applyNumberFormat="1" applyFont="1" applyFill="1" applyBorder="1" applyAlignment="1" applyProtection="1">
      <alignment horizontal="right" vertical="center"/>
      <protection locked="0"/>
    </xf>
    <xf numFmtId="49" fontId="11" fillId="2" borderId="70" xfId="0" applyNumberFormat="1" applyFont="1" applyFill="1" applyBorder="1" applyAlignment="1" applyProtection="1">
      <alignment horizontal="right" vertical="center"/>
      <protection locked="0"/>
    </xf>
    <xf numFmtId="0" fontId="35" fillId="2" borderId="0" xfId="3" applyFont="1" applyFill="1">
      <alignment vertical="center"/>
    </xf>
    <xf numFmtId="0" fontId="35" fillId="2" borderId="84" xfId="3" applyFont="1" applyFill="1" applyBorder="1">
      <alignment vertical="center"/>
    </xf>
    <xf numFmtId="0" fontId="27" fillId="0" borderId="85" xfId="0" applyFont="1" applyBorder="1" applyProtection="1">
      <alignment vertical="center"/>
      <protection locked="0"/>
    </xf>
    <xf numFmtId="0" fontId="27" fillId="0" borderId="52" xfId="0" applyFont="1" applyBorder="1" applyAlignment="1">
      <alignment horizontal="center" vertical="center"/>
    </xf>
    <xf numFmtId="0" fontId="27" fillId="0" borderId="52" xfId="0" applyFont="1" applyBorder="1" applyProtection="1">
      <alignment vertical="center"/>
      <protection locked="0"/>
    </xf>
    <xf numFmtId="0" fontId="27" fillId="0" borderId="52"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47" xfId="0" applyFont="1" applyBorder="1" applyAlignment="1">
      <alignment horizontal="left" vertical="center" wrapText="1"/>
    </xf>
    <xf numFmtId="0" fontId="27" fillId="0" borderId="0" xfId="0" applyFont="1" applyAlignment="1">
      <alignment horizontal="left" vertical="center" wrapText="1"/>
    </xf>
    <xf numFmtId="49" fontId="4" fillId="0" borderId="0" xfId="0" applyNumberFormat="1" applyFont="1" applyAlignment="1">
      <alignment horizontal="center" vertical="center" wrapText="1"/>
    </xf>
    <xf numFmtId="49" fontId="16" fillId="0" borderId="2" xfId="0" applyNumberFormat="1" applyFont="1" applyBorder="1" applyAlignment="1">
      <alignment horizontal="center" vertical="center"/>
    </xf>
    <xf numFmtId="49" fontId="16" fillId="0" borderId="13" xfId="0" applyNumberFormat="1" applyFont="1" applyBorder="1" applyAlignment="1">
      <alignment horizontal="center" vertical="center"/>
    </xf>
    <xf numFmtId="49" fontId="16" fillId="0" borderId="1" xfId="0" applyNumberFormat="1" applyFont="1" applyBorder="1" applyAlignment="1">
      <alignment horizontal="center" vertical="center"/>
    </xf>
    <xf numFmtId="49" fontId="4" fillId="2" borderId="0" xfId="0" applyNumberFormat="1" applyFont="1" applyFill="1" applyAlignment="1">
      <alignment horizontal="center" vertical="center"/>
    </xf>
    <xf numFmtId="180" fontId="7" fillId="0" borderId="1" xfId="0" applyNumberFormat="1" applyFont="1" applyBorder="1" applyAlignment="1" applyProtection="1">
      <alignment horizontal="center" vertical="center"/>
      <protection locked="0"/>
    </xf>
    <xf numFmtId="0" fontId="12" fillId="3" borderId="8" xfId="0" applyFont="1" applyFill="1" applyBorder="1" applyAlignment="1">
      <alignment horizontal="center" vertical="center"/>
    </xf>
    <xf numFmtId="0" fontId="12" fillId="3" borderId="9" xfId="0" applyFont="1" applyFill="1" applyBorder="1" applyAlignment="1">
      <alignment horizontal="center" vertical="center"/>
    </xf>
    <xf numFmtId="0" fontId="12" fillId="3" borderId="18" xfId="0" applyFont="1" applyFill="1" applyBorder="1" applyAlignment="1">
      <alignment horizontal="center" vertical="center"/>
    </xf>
    <xf numFmtId="49" fontId="12" fillId="3" borderId="87" xfId="0" applyNumberFormat="1" applyFont="1" applyFill="1" applyBorder="1" applyAlignment="1">
      <alignment horizontal="center" vertical="center"/>
    </xf>
    <xf numFmtId="49" fontId="12" fillId="3" borderId="9" xfId="0" applyNumberFormat="1" applyFont="1" applyFill="1" applyBorder="1" applyAlignment="1">
      <alignment horizontal="center" vertical="center"/>
    </xf>
    <xf numFmtId="49" fontId="12" fillId="3" borderId="18" xfId="0" applyNumberFormat="1" applyFont="1" applyFill="1" applyBorder="1" applyAlignment="1">
      <alignment horizontal="center" vertical="center"/>
    </xf>
    <xf numFmtId="0" fontId="12" fillId="3" borderId="13" xfId="0" applyFont="1" applyFill="1" applyBorder="1" applyAlignment="1">
      <alignment horizontal="center" vertical="center"/>
    </xf>
    <xf numFmtId="0" fontId="12" fillId="3" borderId="15" xfId="0" applyFont="1" applyFill="1" applyBorder="1" applyAlignment="1">
      <alignment horizontal="center" vertical="center"/>
    </xf>
    <xf numFmtId="49" fontId="7" fillId="2" borderId="0" xfId="0" applyNumberFormat="1" applyFont="1" applyFill="1" applyAlignment="1">
      <alignment horizontal="center" vertical="center"/>
    </xf>
    <xf numFmtId="176" fontId="7" fillId="2" borderId="0" xfId="0" applyNumberFormat="1" applyFont="1" applyFill="1" applyAlignment="1">
      <alignment horizontal="center" vertical="center"/>
    </xf>
    <xf numFmtId="49" fontId="7" fillId="0" borderId="1" xfId="0" applyNumberFormat="1" applyFont="1" applyBorder="1" applyAlignment="1" applyProtection="1">
      <alignment horizontal="left" vertical="center"/>
      <protection locked="0"/>
    </xf>
    <xf numFmtId="49" fontId="7" fillId="3" borderId="22" xfId="0" applyNumberFormat="1" applyFont="1" applyFill="1" applyBorder="1" applyAlignment="1">
      <alignment horizontal="center" vertical="center" wrapText="1"/>
    </xf>
    <xf numFmtId="49" fontId="7" fillId="2" borderId="5" xfId="0" applyNumberFormat="1" applyFont="1" applyFill="1" applyBorder="1">
      <alignment vertical="center"/>
    </xf>
    <xf numFmtId="49" fontId="7" fillId="2" borderId="6" xfId="0" applyNumberFormat="1" applyFont="1" applyFill="1" applyBorder="1" applyAlignment="1">
      <alignment horizontal="center" vertical="center"/>
    </xf>
    <xf numFmtId="49" fontId="7" fillId="2" borderId="6" xfId="0" quotePrefix="1" applyNumberFormat="1" applyFont="1" applyFill="1" applyBorder="1" applyAlignment="1">
      <alignment horizontal="center" vertical="center"/>
    </xf>
    <xf numFmtId="49" fontId="7" fillId="2" borderId="16" xfId="0" applyNumberFormat="1" applyFont="1" applyFill="1" applyBorder="1" applyAlignment="1">
      <alignment horizontal="center" vertical="center"/>
    </xf>
    <xf numFmtId="49" fontId="7" fillId="2" borderId="4" xfId="0" applyNumberFormat="1" applyFont="1" applyFill="1" applyBorder="1">
      <alignment vertical="center"/>
    </xf>
    <xf numFmtId="49" fontId="7" fillId="2" borderId="0" xfId="0" quotePrefix="1" applyNumberFormat="1" applyFont="1" applyFill="1" applyAlignment="1">
      <alignment horizontal="center" vertical="center"/>
    </xf>
    <xf numFmtId="49" fontId="7" fillId="2" borderId="17" xfId="0" applyNumberFormat="1" applyFont="1" applyFill="1" applyBorder="1" applyAlignment="1">
      <alignment horizontal="center" vertical="center"/>
    </xf>
    <xf numFmtId="49" fontId="7" fillId="3" borderId="23" xfId="0" applyNumberFormat="1" applyFont="1" applyFill="1" applyBorder="1" applyAlignment="1">
      <alignment horizontal="center" vertical="center"/>
    </xf>
    <xf numFmtId="49" fontId="7" fillId="2" borderId="8" xfId="0" applyNumberFormat="1" applyFont="1" applyFill="1" applyBorder="1">
      <alignment vertical="center"/>
    </xf>
    <xf numFmtId="49" fontId="7" fillId="2" borderId="9" xfId="0" applyNumberFormat="1" applyFont="1" applyFill="1" applyBorder="1" applyAlignment="1">
      <alignment horizontal="center" vertical="center"/>
    </xf>
    <xf numFmtId="49" fontId="7" fillId="2" borderId="9" xfId="0" quotePrefix="1" applyNumberFormat="1" applyFont="1" applyFill="1" applyBorder="1" applyAlignment="1">
      <alignment horizontal="center" vertical="center"/>
    </xf>
    <xf numFmtId="49" fontId="7" fillId="2" borderId="18" xfId="0" applyNumberFormat="1" applyFont="1" applyFill="1" applyBorder="1" applyAlignment="1">
      <alignment horizontal="center" vertical="center"/>
    </xf>
    <xf numFmtId="49" fontId="11" fillId="4" borderId="4" xfId="0" applyNumberFormat="1" applyFont="1" applyFill="1" applyBorder="1" applyAlignment="1">
      <alignment horizontal="center" vertical="center"/>
    </xf>
    <xf numFmtId="49" fontId="11" fillId="4" borderId="17" xfId="0" applyNumberFormat="1" applyFont="1" applyFill="1" applyBorder="1" applyAlignment="1">
      <alignment horizontal="center" vertical="center"/>
    </xf>
    <xf numFmtId="0" fontId="2" fillId="0" borderId="17" xfId="0" applyFont="1" applyBorder="1" applyAlignment="1" applyProtection="1">
      <alignment horizontal="center" vertical="center"/>
      <protection locked="0"/>
    </xf>
    <xf numFmtId="49" fontId="11" fillId="3" borderId="1" xfId="0" applyNumberFormat="1" applyFont="1" applyFill="1" applyBorder="1" applyAlignment="1">
      <alignment horizontal="left" vertical="center" wrapText="1"/>
    </xf>
    <xf numFmtId="49" fontId="10" fillId="0" borderId="1" xfId="0" applyNumberFormat="1" applyFont="1" applyBorder="1" applyAlignment="1" applyProtection="1">
      <alignment horizontal="left" vertical="center" wrapText="1"/>
      <protection locked="0"/>
    </xf>
    <xf numFmtId="49" fontId="10" fillId="0" borderId="20" xfId="0" applyNumberFormat="1" applyFont="1" applyBorder="1" applyAlignment="1" applyProtection="1">
      <alignment horizontal="left" vertical="center" wrapText="1"/>
      <protection locked="0"/>
    </xf>
    <xf numFmtId="49" fontId="10" fillId="3" borderId="21" xfId="0" applyNumberFormat="1" applyFont="1" applyFill="1" applyBorder="1" applyAlignment="1">
      <alignment vertical="center" wrapText="1"/>
    </xf>
    <xf numFmtId="49" fontId="10" fillId="3" borderId="13" xfId="0" applyNumberFormat="1" applyFont="1" applyFill="1" applyBorder="1" applyAlignment="1">
      <alignment vertical="center" wrapText="1"/>
    </xf>
    <xf numFmtId="49" fontId="10" fillId="3" borderId="15" xfId="0" applyNumberFormat="1" applyFont="1" applyFill="1" applyBorder="1" applyAlignment="1">
      <alignment vertical="center" wrapText="1"/>
    </xf>
    <xf numFmtId="176" fontId="7" fillId="2" borderId="9" xfId="0" applyNumberFormat="1" applyFont="1" applyFill="1" applyBorder="1" applyAlignment="1">
      <alignment horizontal="center" vertical="center"/>
    </xf>
    <xf numFmtId="49" fontId="7" fillId="2" borderId="9" xfId="0" applyNumberFormat="1" applyFont="1" applyFill="1" applyBorder="1">
      <alignment vertical="center"/>
    </xf>
    <xf numFmtId="49" fontId="7" fillId="2" borderId="2" xfId="0" applyNumberFormat="1" applyFont="1" applyFill="1" applyBorder="1" applyAlignment="1" applyProtection="1">
      <alignment horizontal="center" vertical="center"/>
      <protection locked="0"/>
    </xf>
    <xf numFmtId="49" fontId="7" fillId="2" borderId="13" xfId="0" applyNumberFormat="1" applyFont="1" applyFill="1" applyBorder="1" applyAlignment="1">
      <alignment horizontal="left" vertical="center"/>
    </xf>
    <xf numFmtId="49" fontId="7" fillId="2" borderId="13" xfId="0" applyNumberFormat="1" applyFont="1" applyFill="1" applyBorder="1" applyAlignment="1" applyProtection="1">
      <alignment horizontal="center" vertical="center"/>
      <protection locked="0"/>
    </xf>
    <xf numFmtId="49" fontId="7" fillId="2" borderId="15" xfId="0" applyNumberFormat="1" applyFont="1" applyFill="1" applyBorder="1" applyAlignment="1">
      <alignment horizontal="left" vertical="center"/>
    </xf>
    <xf numFmtId="49" fontId="2" fillId="0" borderId="1" xfId="0" applyNumberFormat="1" applyFont="1" applyBorder="1" applyAlignment="1" applyProtection="1">
      <alignment horizontal="left" vertical="center"/>
      <protection locked="0"/>
    </xf>
    <xf numFmtId="0" fontId="36" fillId="2" borderId="0" xfId="0" applyFont="1" applyFill="1">
      <alignment vertical="center"/>
    </xf>
    <xf numFmtId="0" fontId="37" fillId="2" borderId="0" xfId="0" applyFont="1" applyFill="1">
      <alignment vertical="center"/>
    </xf>
    <xf numFmtId="0" fontId="37" fillId="0" borderId="0" xfId="0" applyFont="1">
      <alignment vertical="center"/>
    </xf>
    <xf numFmtId="14" fontId="37" fillId="7" borderId="0" xfId="0" applyNumberFormat="1" applyFont="1" applyFill="1">
      <alignment vertical="center"/>
    </xf>
    <xf numFmtId="180" fontId="37" fillId="0" borderId="0" xfId="0" applyNumberFormat="1" applyFont="1">
      <alignment vertical="center"/>
    </xf>
    <xf numFmtId="14" fontId="37" fillId="0" borderId="0" xfId="0" applyNumberFormat="1" applyFont="1">
      <alignment vertical="center"/>
    </xf>
    <xf numFmtId="0" fontId="38" fillId="2" borderId="0" xfId="0" applyFont="1" applyFill="1">
      <alignment vertical="center"/>
    </xf>
    <xf numFmtId="0" fontId="39" fillId="7" borderId="20" xfId="0" applyFont="1" applyFill="1" applyBorder="1" applyAlignment="1">
      <alignment horizontal="center" vertical="center"/>
    </xf>
    <xf numFmtId="14" fontId="40" fillId="7" borderId="20" xfId="0" applyNumberFormat="1" applyFont="1" applyFill="1" applyBorder="1" applyAlignment="1">
      <alignment horizontal="center" vertical="center"/>
    </xf>
    <xf numFmtId="0" fontId="41" fillId="2" borderId="0" xfId="0" applyFont="1" applyFill="1">
      <alignment vertical="center"/>
    </xf>
    <xf numFmtId="0" fontId="42" fillId="8" borderId="24" xfId="0" applyFont="1" applyFill="1" applyBorder="1" applyAlignment="1">
      <alignment horizontal="center" vertical="center"/>
    </xf>
    <xf numFmtId="0" fontId="42" fillId="8" borderId="25" xfId="0" applyFont="1" applyFill="1" applyBorder="1" applyAlignment="1">
      <alignment horizontal="center" vertical="center"/>
    </xf>
    <xf numFmtId="0" fontId="42" fillId="8" borderId="26" xfId="0" applyFont="1" applyFill="1" applyBorder="1" applyAlignment="1">
      <alignment horizontal="center" vertical="center"/>
    </xf>
    <xf numFmtId="181" fontId="42" fillId="2" borderId="20" xfId="0" applyNumberFormat="1" applyFont="1" applyFill="1" applyBorder="1" applyAlignment="1">
      <alignment horizontal="center" vertical="center"/>
    </xf>
    <xf numFmtId="0" fontId="42" fillId="2" borderId="20" xfId="0" applyFont="1" applyFill="1" applyBorder="1" applyAlignment="1">
      <alignment horizontal="center" vertical="center"/>
    </xf>
    <xf numFmtId="0" fontId="43" fillId="2" borderId="0" xfId="0" applyFont="1" applyFill="1" applyAlignment="1">
      <alignment horizontal="center" vertical="center"/>
    </xf>
    <xf numFmtId="14" fontId="37" fillId="9" borderId="20" xfId="0" applyNumberFormat="1" applyFont="1" applyFill="1" applyBorder="1" applyAlignment="1">
      <alignment horizontal="center" vertical="center"/>
    </xf>
    <xf numFmtId="14" fontId="37" fillId="10" borderId="20" xfId="0" applyNumberFormat="1" applyFont="1" applyFill="1" applyBorder="1" applyAlignment="1">
      <alignment horizontal="center" vertical="center"/>
    </xf>
    <xf numFmtId="14" fontId="37" fillId="11" borderId="20" xfId="0" applyNumberFormat="1" applyFont="1" applyFill="1" applyBorder="1" applyAlignment="1">
      <alignment horizontal="center" vertical="center"/>
    </xf>
    <xf numFmtId="14" fontId="37" fillId="12" borderId="20" xfId="0" applyNumberFormat="1" applyFont="1" applyFill="1" applyBorder="1" applyAlignment="1">
      <alignment horizontal="center" vertical="center"/>
    </xf>
    <xf numFmtId="0" fontId="37" fillId="13" borderId="20" xfId="0" applyFont="1" applyFill="1" applyBorder="1" applyAlignment="1">
      <alignment horizontal="center" vertical="center"/>
    </xf>
    <xf numFmtId="0" fontId="37" fillId="14" borderId="20" xfId="0" applyFont="1" applyFill="1" applyBorder="1" applyAlignment="1">
      <alignment horizontal="center" vertical="center"/>
    </xf>
    <xf numFmtId="0" fontId="44" fillId="2" borderId="0" xfId="0" applyFont="1" applyFill="1">
      <alignment vertical="center"/>
    </xf>
    <xf numFmtId="0" fontId="39" fillId="0" borderId="20" xfId="0" applyFont="1" applyBorder="1" applyAlignment="1">
      <alignment horizontal="center" vertical="center"/>
    </xf>
    <xf numFmtId="0" fontId="39" fillId="3" borderId="20" xfId="0" applyFont="1" applyFill="1" applyBorder="1" applyAlignment="1">
      <alignment horizontal="center" vertical="center"/>
    </xf>
    <xf numFmtId="0" fontId="39" fillId="0" borderId="0" xfId="0" applyFont="1" applyAlignment="1">
      <alignment horizontal="center" vertical="center"/>
    </xf>
    <xf numFmtId="0" fontId="39" fillId="2" borderId="0" xfId="0" applyFont="1" applyFill="1">
      <alignment vertical="center"/>
    </xf>
    <xf numFmtId="0" fontId="39" fillId="3" borderId="20" xfId="0" applyFont="1" applyFill="1" applyBorder="1" applyAlignment="1">
      <alignment horizontal="center" vertical="center"/>
    </xf>
    <xf numFmtId="14" fontId="37" fillId="4" borderId="24" xfId="0" applyNumberFormat="1" applyFont="1" applyFill="1" applyBorder="1" applyAlignment="1">
      <alignment horizontal="center" vertical="center"/>
    </xf>
    <xf numFmtId="180" fontId="37" fillId="4" borderId="88" xfId="0" applyNumberFormat="1" applyFont="1" applyFill="1" applyBorder="1" applyAlignment="1">
      <alignment horizontal="center" vertical="center"/>
    </xf>
    <xf numFmtId="14" fontId="37" fillId="4" borderId="25" xfId="0" applyNumberFormat="1" applyFont="1" applyFill="1" applyBorder="1" applyAlignment="1">
      <alignment horizontal="center" vertical="center"/>
    </xf>
    <xf numFmtId="14" fontId="37" fillId="4" borderId="88" xfId="0" applyNumberFormat="1" applyFont="1" applyFill="1" applyBorder="1" applyAlignment="1">
      <alignment horizontal="center" vertical="center"/>
    </xf>
    <xf numFmtId="14" fontId="37" fillId="4" borderId="26" xfId="0" applyNumberFormat="1" applyFont="1" applyFill="1" applyBorder="1" applyAlignment="1">
      <alignment horizontal="center" vertical="center"/>
    </xf>
    <xf numFmtId="14" fontId="37" fillId="4" borderId="20" xfId="0" applyNumberFormat="1" applyFont="1" applyFill="1" applyBorder="1" applyAlignment="1">
      <alignment horizontal="center" vertical="center"/>
    </xf>
    <xf numFmtId="0" fontId="37" fillId="4" borderId="20" xfId="0" applyFont="1" applyFill="1" applyBorder="1" applyAlignment="1">
      <alignment horizontal="center" vertical="center"/>
    </xf>
    <xf numFmtId="0" fontId="39" fillId="15" borderId="20" xfId="0" applyFont="1" applyFill="1" applyBorder="1" applyProtection="1">
      <alignment vertical="center"/>
      <protection locked="0"/>
    </xf>
    <xf numFmtId="0" fontId="39" fillId="0" borderId="0" xfId="0" applyFont="1">
      <alignment vertical="center"/>
    </xf>
    <xf numFmtId="0" fontId="39" fillId="15" borderId="20" xfId="0" applyFont="1" applyFill="1" applyBorder="1" applyAlignment="1" applyProtection="1">
      <alignment horizontal="center" vertical="center"/>
      <protection locked="0"/>
    </xf>
    <xf numFmtId="181" fontId="39" fillId="0" borderId="20" xfId="0" applyNumberFormat="1" applyFont="1" applyBorder="1">
      <alignment vertical="center"/>
    </xf>
    <xf numFmtId="14" fontId="37" fillId="0" borderId="24" xfId="0" applyNumberFormat="1" applyFont="1" applyBorder="1">
      <alignment vertical="center"/>
    </xf>
    <xf numFmtId="180" fontId="37" fillId="0" borderId="88" xfId="0" applyNumberFormat="1" applyFont="1" applyBorder="1">
      <alignment vertical="center"/>
    </xf>
    <xf numFmtId="14" fontId="37" fillId="0" borderId="25" xfId="0" applyNumberFormat="1" applyFont="1" applyBorder="1">
      <alignment vertical="center"/>
    </xf>
    <xf numFmtId="180" fontId="37" fillId="0" borderId="26" xfId="0" applyNumberFormat="1" applyFont="1" applyBorder="1">
      <alignment vertical="center"/>
    </xf>
    <xf numFmtId="0" fontId="37" fillId="0" borderId="88" xfId="0" applyFont="1" applyBorder="1">
      <alignment vertical="center"/>
    </xf>
    <xf numFmtId="0" fontId="37" fillId="0" borderId="26" xfId="0" applyFont="1" applyBorder="1">
      <alignment vertical="center"/>
    </xf>
    <xf numFmtId="0" fontId="37" fillId="0" borderId="20" xfId="0" applyFont="1" applyBorder="1" applyAlignment="1">
      <alignment horizontal="center" vertical="center"/>
    </xf>
    <xf numFmtId="0" fontId="37" fillId="0" borderId="24" xfId="0" applyFont="1" applyBorder="1" applyAlignment="1">
      <alignment horizontal="center" vertical="center"/>
    </xf>
    <xf numFmtId="0" fontId="37" fillId="0" borderId="88" xfId="0" applyFont="1" applyBorder="1" applyAlignment="1">
      <alignment horizontal="center" vertical="center"/>
    </xf>
    <xf numFmtId="0" fontId="37" fillId="0" borderId="26" xfId="0" applyFont="1" applyBorder="1" applyAlignment="1">
      <alignment horizontal="center" vertical="center"/>
    </xf>
    <xf numFmtId="180" fontId="37" fillId="0" borderId="20" xfId="0" applyNumberFormat="1" applyFont="1" applyBorder="1">
      <alignment vertical="center"/>
    </xf>
    <xf numFmtId="0" fontId="37" fillId="0" borderId="20" xfId="0" applyFont="1" applyBorder="1">
      <alignment vertical="center"/>
    </xf>
    <xf numFmtId="0" fontId="41" fillId="7" borderId="0" xfId="0" applyFont="1" applyFill="1">
      <alignment vertical="center"/>
    </xf>
    <xf numFmtId="0" fontId="39" fillId="15" borderId="20" xfId="0" applyFont="1" applyFill="1" applyBorder="1">
      <alignment vertical="center"/>
    </xf>
    <xf numFmtId="0" fontId="37" fillId="0" borderId="0" xfId="0" applyFont="1" applyAlignment="1">
      <alignment horizontal="center" vertical="center"/>
    </xf>
    <xf numFmtId="0" fontId="40" fillId="2" borderId="0" xfId="0" applyFont="1" applyFill="1" applyAlignment="1">
      <alignment horizontal="right" vertical="center"/>
    </xf>
    <xf numFmtId="14" fontId="37" fillId="2" borderId="0" xfId="0" applyNumberFormat="1" applyFont="1" applyFill="1">
      <alignment vertical="center"/>
    </xf>
    <xf numFmtId="180" fontId="37" fillId="2" borderId="0" xfId="0" applyNumberFormat="1" applyFont="1" applyFill="1">
      <alignment vertical="center"/>
    </xf>
  </cellXfs>
  <cellStyles count="4">
    <cellStyle name="Normal" xfId="1" xr:uid="{7A2BFA3F-3F47-4562-8610-DCF0F11F67C5}"/>
    <cellStyle name="標準" xfId="0" builtinId="0"/>
    <cellStyle name="標準 2" xfId="3" xr:uid="{A9DF9417-754B-45E9-801B-07AB1E6AA04C}"/>
    <cellStyle name="標準 7" xfId="2" xr:uid="{C833D387-BAC8-4540-B935-8B08DB6C3468}"/>
  </cellStyles>
  <dxfs count="120">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FFCCFF"/>
        </patternFill>
      </fill>
    </dxf>
    <dxf>
      <fill>
        <patternFill>
          <bgColor theme="0" tint="-4.9989318521683403E-2"/>
        </patternFill>
      </fill>
    </dxf>
    <dxf>
      <fill>
        <patternFill>
          <bgColor rgb="FFFFCCFF"/>
        </patternFill>
      </fill>
    </dxf>
    <dxf>
      <fill>
        <patternFill>
          <bgColor theme="0" tint="-4.9989318521683403E-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border>
    </dxf>
    <dxf>
      <fill>
        <patternFill>
          <bgColor theme="0" tint="-0.499984740745262"/>
        </patternFill>
      </fill>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0" tint="-0.499984740745262"/>
        </patternFill>
      </fill>
    </dxf>
    <dxf>
      <fill>
        <patternFill>
          <bgColor theme="0" tint="-0.499984740745262"/>
        </patternFill>
      </fill>
    </dxf>
    <dxf>
      <fill>
        <patternFill>
          <bgColor theme="0" tint="-0.499984740745262"/>
        </patternFill>
      </fill>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0" tint="-0.499984740745262"/>
        </patternFill>
      </fill>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0" tint="-0.499984740745262"/>
        </patternFill>
      </fill>
    </dxf>
    <dxf>
      <fill>
        <patternFill>
          <bgColor theme="0" tint="-0.499984740745262"/>
        </patternFill>
      </fill>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border>
    </dxf>
    <dxf>
      <fill>
        <patternFill>
          <bgColor theme="0" tint="-0.499984740745262"/>
        </patternFill>
      </fill>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border>
    </dxf>
    <dxf>
      <fill>
        <patternFill>
          <bgColor theme="0" tint="-0.499984740745262"/>
        </patternFill>
      </fill>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0" tint="-0.499984740745262"/>
        </patternFill>
      </fill>
    </dxf>
    <dxf>
      <fill>
        <patternFill>
          <bgColor theme="0" tint="-0.499984740745262"/>
        </patternFill>
      </fill>
    </dxf>
    <dxf>
      <fill>
        <patternFill>
          <bgColor theme="0" tint="-0.499984740745262"/>
        </patternFill>
      </fill>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0" tint="-0.499984740745262"/>
        </patternFill>
      </fill>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border>
    </dxf>
    <dxf>
      <fill>
        <patternFill>
          <bgColor theme="1" tint="0.499984740745262"/>
        </patternFill>
      </fill>
      <border>
        <left style="thin">
          <color auto="1"/>
        </left>
        <right style="thin">
          <color auto="1"/>
        </right>
        <top style="thin">
          <color auto="1"/>
        </top>
        <bottom style="thin">
          <color auto="1"/>
        </bottom>
        <vertical/>
        <horizontal/>
      </border>
    </dxf>
    <dxf>
      <fill>
        <patternFill>
          <bgColor theme="1" tint="0.499984740745262"/>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1" tint="0.499984740745262"/>
        </patternFill>
      </fill>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46</xdr:col>
      <xdr:colOff>95250</xdr:colOff>
      <xdr:row>7</xdr:row>
      <xdr:rowOff>57150</xdr:rowOff>
    </xdr:from>
    <xdr:to>
      <xdr:col>50</xdr:col>
      <xdr:colOff>107250</xdr:colOff>
      <xdr:row>9</xdr:row>
      <xdr:rowOff>253092</xdr:rowOff>
    </xdr:to>
    <xdr:sp macro="" textlink="">
      <xdr:nvSpPr>
        <xdr:cNvPr id="2" name="円/楕円 37">
          <a:extLst>
            <a:ext uri="{FF2B5EF4-FFF2-40B4-BE49-F238E27FC236}">
              <a16:creationId xmlns:a16="http://schemas.microsoft.com/office/drawing/2014/main" id="{C4A84438-278E-41FE-9595-550FB5F9FFA8}"/>
            </a:ext>
          </a:extLst>
        </xdr:cNvPr>
        <xdr:cNvSpPr>
          <a:spLocks noChangeArrowheads="1"/>
        </xdr:cNvSpPr>
      </xdr:nvSpPr>
      <xdr:spPr bwMode="auto">
        <a:xfrm>
          <a:off x="7860030" y="1276350"/>
          <a:ext cx="682560" cy="744582"/>
        </a:xfrm>
        <a:prstGeom prst="ellipse">
          <a:avLst/>
        </a:prstGeom>
        <a:noFill/>
        <a:ln w="12700">
          <a:solidFill>
            <a:srgbClr val="7F7F7F"/>
          </a:solidFill>
          <a:prstDash val="sysDash"/>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19050</xdr:colOff>
      <xdr:row>104</xdr:row>
      <xdr:rowOff>752475</xdr:rowOff>
    </xdr:from>
    <xdr:ext cx="184731" cy="264560"/>
    <xdr:sp macro="" textlink="">
      <xdr:nvSpPr>
        <xdr:cNvPr id="2" name="テキスト ボックス 1">
          <a:extLst>
            <a:ext uri="{FF2B5EF4-FFF2-40B4-BE49-F238E27FC236}">
              <a16:creationId xmlns:a16="http://schemas.microsoft.com/office/drawing/2014/main" id="{2F6F5AF2-C090-4834-B855-FDC6E0ED4DE2}"/>
            </a:ext>
          </a:extLst>
        </xdr:cNvPr>
        <xdr:cNvSpPr txBox="1"/>
      </xdr:nvSpPr>
      <xdr:spPr>
        <a:xfrm>
          <a:off x="3257550" y="40963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46</xdr:col>
      <xdr:colOff>85725</xdr:colOff>
      <xdr:row>7</xdr:row>
      <xdr:rowOff>47625</xdr:rowOff>
    </xdr:from>
    <xdr:to>
      <xdr:col>50</xdr:col>
      <xdr:colOff>97725</xdr:colOff>
      <xdr:row>9</xdr:row>
      <xdr:rowOff>243567</xdr:rowOff>
    </xdr:to>
    <xdr:sp macro="" textlink="">
      <xdr:nvSpPr>
        <xdr:cNvPr id="3" name="円/楕円 37">
          <a:extLst>
            <a:ext uri="{FF2B5EF4-FFF2-40B4-BE49-F238E27FC236}">
              <a16:creationId xmlns:a16="http://schemas.microsoft.com/office/drawing/2014/main" id="{AA7F7A64-E69F-442D-90D7-CE46905E45F2}"/>
            </a:ext>
          </a:extLst>
        </xdr:cNvPr>
        <xdr:cNvSpPr>
          <a:spLocks noChangeArrowheads="1"/>
        </xdr:cNvSpPr>
      </xdr:nvSpPr>
      <xdr:spPr bwMode="auto">
        <a:xfrm>
          <a:off x="7919085" y="1266825"/>
          <a:ext cx="682560" cy="744582"/>
        </a:xfrm>
        <a:prstGeom prst="ellipse">
          <a:avLst/>
        </a:prstGeom>
        <a:noFill/>
        <a:ln w="12700">
          <a:solidFill>
            <a:srgbClr val="7F7F7F"/>
          </a:solidFill>
          <a:prstDash val="sysDash"/>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48</xdr:col>
      <xdr:colOff>515471</xdr:colOff>
      <xdr:row>0</xdr:row>
      <xdr:rowOff>112059</xdr:rowOff>
    </xdr:from>
    <xdr:to>
      <xdr:col>58</xdr:col>
      <xdr:colOff>212911</xdr:colOff>
      <xdr:row>3</xdr:row>
      <xdr:rowOff>86285</xdr:rowOff>
    </xdr:to>
    <xdr:sp macro="" textlink="">
      <xdr:nvSpPr>
        <xdr:cNvPr id="2" name="正方形/長方形 1">
          <a:extLst>
            <a:ext uri="{FF2B5EF4-FFF2-40B4-BE49-F238E27FC236}">
              <a16:creationId xmlns:a16="http://schemas.microsoft.com/office/drawing/2014/main" id="{FAA58B37-96EB-4065-A949-01BA9E5370BB}"/>
            </a:ext>
          </a:extLst>
        </xdr:cNvPr>
        <xdr:cNvSpPr/>
      </xdr:nvSpPr>
      <xdr:spPr>
        <a:xfrm>
          <a:off x="6271260" y="112059"/>
          <a:ext cx="5767891" cy="637166"/>
        </a:xfrm>
        <a:prstGeom prst="rect">
          <a:avLst/>
        </a:prstGeom>
        <a:solidFill>
          <a:schemeClr val="accent5">
            <a:lumMod val="40000"/>
            <a:lumOff val="6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400" b="0">
              <a:latin typeface="MS UI Gothic" panose="020B0600070205080204" pitchFamily="50" charset="-128"/>
              <a:ea typeface="MS UI Gothic" panose="020B0600070205080204" pitchFamily="50" charset="-128"/>
            </a:rPr>
            <a:t>LAN</a:t>
          </a:r>
          <a:r>
            <a:rPr kumimoji="1" lang="ja-JP" altLang="en-US" sz="1400" b="0">
              <a:latin typeface="MS UI Gothic" panose="020B0600070205080204" pitchFamily="50" charset="-128"/>
              <a:ea typeface="MS UI Gothic" panose="020B0600070205080204" pitchFamily="50" charset="-128"/>
            </a:rPr>
            <a:t>給電オプション解約金計算ツール説明書</a:t>
          </a:r>
        </a:p>
      </xdr:txBody>
    </xdr:sp>
    <xdr:clientData/>
  </xdr:twoCellAnchor>
  <xdr:twoCellAnchor>
    <xdr:from>
      <xdr:col>48</xdr:col>
      <xdr:colOff>571499</xdr:colOff>
      <xdr:row>10</xdr:row>
      <xdr:rowOff>78441</xdr:rowOff>
    </xdr:from>
    <xdr:to>
      <xdr:col>57</xdr:col>
      <xdr:colOff>190499</xdr:colOff>
      <xdr:row>31</xdr:row>
      <xdr:rowOff>89647</xdr:rowOff>
    </xdr:to>
    <xdr:sp macro="" textlink="">
      <xdr:nvSpPr>
        <xdr:cNvPr id="3" name="角丸四角形 4">
          <a:extLst>
            <a:ext uri="{FF2B5EF4-FFF2-40B4-BE49-F238E27FC236}">
              <a16:creationId xmlns:a16="http://schemas.microsoft.com/office/drawing/2014/main" id="{98562A21-6F00-4692-888A-FE88A6A2E3FE}"/>
            </a:ext>
          </a:extLst>
        </xdr:cNvPr>
        <xdr:cNvSpPr/>
      </xdr:nvSpPr>
      <xdr:spPr>
        <a:xfrm>
          <a:off x="6271260" y="2433021"/>
          <a:ext cx="5128259" cy="5131846"/>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49</xdr:col>
      <xdr:colOff>661146</xdr:colOff>
      <xdr:row>15</xdr:row>
      <xdr:rowOff>44824</xdr:rowOff>
    </xdr:from>
    <xdr:to>
      <xdr:col>56</xdr:col>
      <xdr:colOff>509420</xdr:colOff>
      <xdr:row>24</xdr:row>
      <xdr:rowOff>33617</xdr:rowOff>
    </xdr:to>
    <xdr:pic>
      <xdr:nvPicPr>
        <xdr:cNvPr id="4" name="図 3">
          <a:extLst>
            <a:ext uri="{FF2B5EF4-FFF2-40B4-BE49-F238E27FC236}">
              <a16:creationId xmlns:a16="http://schemas.microsoft.com/office/drawing/2014/main" id="{F9B03B21-8D8E-4941-B619-99BA31105D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86686" y="3610984"/>
          <a:ext cx="4214534" cy="2183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49</xdr:col>
      <xdr:colOff>605118</xdr:colOff>
      <xdr:row>27</xdr:row>
      <xdr:rowOff>134471</xdr:rowOff>
    </xdr:from>
    <xdr:to>
      <xdr:col>55</xdr:col>
      <xdr:colOff>122705</xdr:colOff>
      <xdr:row>29</xdr:row>
      <xdr:rowOff>204508</xdr:rowOff>
    </xdr:to>
    <xdr:pic>
      <xdr:nvPicPr>
        <xdr:cNvPr id="5" name="図 4">
          <a:extLst>
            <a:ext uri="{FF2B5EF4-FFF2-40B4-BE49-F238E27FC236}">
              <a16:creationId xmlns:a16="http://schemas.microsoft.com/office/drawing/2014/main" id="{E2772766-975A-4469-B4D5-4D0E1F6245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76378" y="6626711"/>
          <a:ext cx="3220907" cy="5500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0707;&#22435;&#12304;&#12495;&#12452;&#12456;&#12531;&#12489;6&#12305;&#12469;&#12540;&#12499;&#12473;&#30003;&#36796;&#26360;_%20v2.7_202306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本紙"/>
      <sheetName val="別紙①-1_月額支払い型申込書"/>
      <sheetName val="別紙①-2_お客様お買い上げ型申込書"/>
      <sheetName val="別紙②_Wi-Fi設定 "/>
      <sheetName val="別紙③_移転・契約情報変更・設定変更申込"/>
      <sheetName val="解約金計算ツール"/>
      <sheetName val="Sheet1"/>
      <sheetName val="リスト"/>
      <sheetName val="Calendar"/>
    </sheetNames>
    <sheetDataSet>
      <sheetData sheetId="0"/>
      <sheetData sheetId="1"/>
      <sheetData sheetId="2"/>
      <sheetData sheetId="3"/>
      <sheetData sheetId="4"/>
      <sheetData sheetId="5"/>
      <sheetData sheetId="6">
        <row r="3">
          <cell r="A3" t="str">
            <v>09</v>
          </cell>
          <cell r="B3" t="str">
            <v>20</v>
          </cell>
          <cell r="C3" t="str">
            <v>00</v>
          </cell>
          <cell r="D3" t="str">
            <v>00</v>
          </cell>
          <cell r="E3" t="str">
            <v>00</v>
          </cell>
          <cell r="F3" t="str">
            <v>00</v>
          </cell>
        </row>
      </sheetData>
      <sheetData sheetId="7"/>
      <sheetData sheetId="8"/>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53F54-1D73-4524-A317-3D534A32B2DD}">
  <sheetPr>
    <tabColor rgb="FFFF0000"/>
  </sheetPr>
  <dimension ref="A1:AZ68"/>
  <sheetViews>
    <sheetView tabSelected="1" view="pageBreakPreview" zoomScale="115" zoomScaleNormal="100" zoomScaleSheetLayoutView="115" workbookViewId="0">
      <selection activeCell="S12" sqref="S12:AX14"/>
    </sheetView>
  </sheetViews>
  <sheetFormatPr defaultColWidth="8.09765625" defaultRowHeight="13.2" x14ac:dyDescent="0.45"/>
  <cols>
    <col min="1" max="149" width="2.3984375" style="3" customWidth="1"/>
    <col min="150" max="16384" width="8.09765625" style="3"/>
  </cols>
  <sheetData>
    <row r="1" spans="1:52" ht="13.5" customHeight="1" x14ac:dyDescent="0.45">
      <c r="A1" s="1"/>
      <c r="B1" s="1"/>
      <c r="C1" s="2" t="s">
        <v>0</v>
      </c>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1"/>
    </row>
    <row r="2" spans="1:52" ht="13.5" customHeight="1" x14ac:dyDescent="0.45">
      <c r="A2" s="1"/>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1"/>
    </row>
    <row r="3" spans="1:52" ht="13.5" customHeight="1" x14ac:dyDescent="0.45">
      <c r="A3" s="1"/>
      <c r="B3" s="1"/>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1"/>
    </row>
    <row r="4" spans="1:52" ht="13.5" customHeight="1" x14ac:dyDescent="0.45">
      <c r="A4" s="1"/>
      <c r="B4" s="1"/>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1"/>
    </row>
    <row r="5" spans="1:52" ht="14.4" x14ac:dyDescent="0.45">
      <c r="A5" s="1"/>
      <c r="B5" s="1"/>
      <c r="C5" s="4" t="s">
        <v>1</v>
      </c>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4.4" x14ac:dyDescent="0.45">
      <c r="A6" s="1"/>
      <c r="B6" s="1"/>
      <c r="C6" s="4" t="s">
        <v>2</v>
      </c>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4.4" x14ac:dyDescent="0.45">
      <c r="A7" s="1"/>
      <c r="B7" s="1"/>
      <c r="C7" s="4" t="s">
        <v>3</v>
      </c>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52" ht="14.25" customHeight="1" x14ac:dyDescent="0.4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4.25" customHeight="1" x14ac:dyDescent="0.45">
      <c r="A9" s="1"/>
      <c r="B9" s="1"/>
      <c r="C9" s="5" t="s">
        <v>4</v>
      </c>
      <c r="D9" s="5"/>
      <c r="E9" s="5"/>
      <c r="F9" s="5"/>
      <c r="G9" s="5"/>
      <c r="H9" s="5"/>
      <c r="I9" s="5"/>
      <c r="J9" s="5"/>
      <c r="K9" s="5"/>
      <c r="L9" s="5"/>
      <c r="M9" s="5"/>
      <c r="N9" s="5"/>
      <c r="O9" s="5"/>
      <c r="P9" s="5"/>
      <c r="Q9" s="5"/>
      <c r="R9" s="6"/>
      <c r="S9" s="7" t="s">
        <v>5</v>
      </c>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1"/>
      <c r="AZ9" s="1"/>
    </row>
    <row r="10" spans="1:52" ht="14.25" customHeight="1" x14ac:dyDescent="0.45">
      <c r="A10" s="1"/>
      <c r="B10" s="1"/>
      <c r="C10" s="5"/>
      <c r="D10" s="5"/>
      <c r="E10" s="5"/>
      <c r="F10" s="5"/>
      <c r="G10" s="5"/>
      <c r="H10" s="5"/>
      <c r="I10" s="5"/>
      <c r="J10" s="5"/>
      <c r="K10" s="5"/>
      <c r="L10" s="5"/>
      <c r="M10" s="5"/>
      <c r="N10" s="5"/>
      <c r="O10" s="5"/>
      <c r="P10" s="5"/>
      <c r="Q10" s="5"/>
      <c r="R10" s="6"/>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1"/>
      <c r="AZ10" s="1"/>
    </row>
    <row r="11" spans="1:52" ht="14.25" customHeight="1" x14ac:dyDescent="0.45">
      <c r="A11" s="1"/>
      <c r="B11" s="1"/>
      <c r="C11" s="5"/>
      <c r="D11" s="5"/>
      <c r="E11" s="5"/>
      <c r="F11" s="5"/>
      <c r="G11" s="5"/>
      <c r="H11" s="5"/>
      <c r="I11" s="5"/>
      <c r="J11" s="5"/>
      <c r="K11" s="5"/>
      <c r="L11" s="5"/>
      <c r="M11" s="5"/>
      <c r="N11" s="5"/>
      <c r="O11" s="5"/>
      <c r="P11" s="5"/>
      <c r="Q11" s="5"/>
      <c r="R11" s="6"/>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1"/>
      <c r="AZ11" s="1"/>
    </row>
    <row r="12" spans="1:52" ht="14.25" customHeight="1" x14ac:dyDescent="0.45">
      <c r="A12" s="1"/>
      <c r="B12" s="1"/>
      <c r="C12" s="5" t="s">
        <v>6</v>
      </c>
      <c r="D12" s="5"/>
      <c r="E12" s="5"/>
      <c r="F12" s="5"/>
      <c r="G12" s="5"/>
      <c r="H12" s="5"/>
      <c r="I12" s="5"/>
      <c r="J12" s="5"/>
      <c r="K12" s="5"/>
      <c r="L12" s="5"/>
      <c r="M12" s="5"/>
      <c r="N12" s="5"/>
      <c r="O12" s="5"/>
      <c r="P12" s="5"/>
      <c r="Q12" s="5"/>
      <c r="R12" s="6"/>
      <c r="S12" s="7" t="s">
        <v>7</v>
      </c>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1"/>
      <c r="AZ12" s="1"/>
    </row>
    <row r="13" spans="1:52" ht="14.25" customHeight="1" x14ac:dyDescent="0.45">
      <c r="A13" s="1"/>
      <c r="B13" s="1"/>
      <c r="C13" s="5"/>
      <c r="D13" s="5"/>
      <c r="E13" s="5"/>
      <c r="F13" s="5"/>
      <c r="G13" s="5"/>
      <c r="H13" s="5"/>
      <c r="I13" s="5"/>
      <c r="J13" s="5"/>
      <c r="K13" s="5"/>
      <c r="L13" s="5"/>
      <c r="M13" s="5"/>
      <c r="N13" s="5"/>
      <c r="O13" s="5"/>
      <c r="P13" s="5"/>
      <c r="Q13" s="5"/>
      <c r="R13" s="6"/>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1"/>
      <c r="AZ13" s="1"/>
    </row>
    <row r="14" spans="1:52" ht="14.25" customHeight="1" x14ac:dyDescent="0.45">
      <c r="A14" s="1"/>
      <c r="B14" s="1"/>
      <c r="C14" s="5"/>
      <c r="D14" s="5"/>
      <c r="E14" s="5"/>
      <c r="F14" s="5"/>
      <c r="G14" s="5"/>
      <c r="H14" s="5"/>
      <c r="I14" s="5"/>
      <c r="J14" s="5"/>
      <c r="K14" s="5"/>
      <c r="L14" s="5"/>
      <c r="M14" s="5"/>
      <c r="N14" s="5"/>
      <c r="O14" s="5"/>
      <c r="P14" s="5"/>
      <c r="Q14" s="5"/>
      <c r="R14" s="6"/>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1"/>
      <c r="AZ14" s="1"/>
    </row>
    <row r="15" spans="1:52" ht="14.25" customHeight="1" x14ac:dyDescent="0.4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row>
    <row r="16" spans="1:52" ht="14.25" customHeight="1" x14ac:dyDescent="0.45">
      <c r="A16" s="1"/>
      <c r="B16" s="1"/>
      <c r="C16" s="5" t="s">
        <v>8</v>
      </c>
      <c r="D16" s="5"/>
      <c r="E16" s="5"/>
      <c r="F16" s="5"/>
      <c r="G16" s="5"/>
      <c r="H16" s="5"/>
      <c r="I16" s="5"/>
      <c r="J16" s="5"/>
      <c r="K16" s="5"/>
      <c r="L16" s="5"/>
      <c r="M16" s="5"/>
      <c r="N16" s="5"/>
      <c r="O16" s="5"/>
      <c r="P16" s="5"/>
      <c r="Q16" s="5"/>
      <c r="R16" s="5"/>
      <c r="S16" s="5" t="s">
        <v>9</v>
      </c>
      <c r="T16" s="5"/>
      <c r="U16" s="5"/>
      <c r="V16" s="5"/>
      <c r="W16" s="5"/>
      <c r="X16" s="5"/>
      <c r="Y16" s="5"/>
      <c r="Z16" s="5"/>
      <c r="AA16" s="5"/>
      <c r="AB16" s="5"/>
      <c r="AC16" s="5"/>
      <c r="AD16" s="5"/>
      <c r="AE16" s="5"/>
      <c r="AF16" s="5"/>
      <c r="AG16" s="5"/>
      <c r="AH16" s="5"/>
      <c r="AI16" s="8"/>
      <c r="AJ16" s="8"/>
      <c r="AK16" s="8"/>
      <c r="AL16" s="8"/>
      <c r="AM16" s="8"/>
      <c r="AN16" s="8"/>
      <c r="AO16" s="8"/>
      <c r="AP16" s="8"/>
      <c r="AQ16" s="8"/>
      <c r="AR16" s="8"/>
      <c r="AS16" s="8"/>
      <c r="AT16" s="8"/>
      <c r="AU16" s="8"/>
      <c r="AV16" s="8"/>
      <c r="AW16" s="8"/>
      <c r="AX16" s="9"/>
      <c r="AY16" s="1"/>
      <c r="AZ16" s="1"/>
    </row>
    <row r="17" spans="1:52" ht="14.25" customHeight="1" x14ac:dyDescent="0.45">
      <c r="A17" s="1"/>
      <c r="B17" s="1"/>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8"/>
      <c r="AJ17" s="8"/>
      <c r="AK17" s="8"/>
      <c r="AL17" s="8"/>
      <c r="AM17" s="8"/>
      <c r="AN17" s="8"/>
      <c r="AO17" s="8"/>
      <c r="AP17" s="8"/>
      <c r="AQ17" s="8"/>
      <c r="AR17" s="8"/>
      <c r="AS17" s="8"/>
      <c r="AT17" s="8"/>
      <c r="AU17" s="8"/>
      <c r="AV17" s="8"/>
      <c r="AW17" s="8"/>
      <c r="AX17" s="9"/>
      <c r="AY17" s="1"/>
      <c r="AZ17" s="1"/>
    </row>
    <row r="18" spans="1:52" ht="14.25" customHeight="1" x14ac:dyDescent="0.45">
      <c r="A18" s="1"/>
      <c r="B18" s="1"/>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8"/>
      <c r="AJ18" s="8"/>
      <c r="AK18" s="8"/>
      <c r="AL18" s="8"/>
      <c r="AM18" s="8"/>
      <c r="AN18" s="8"/>
      <c r="AO18" s="8"/>
      <c r="AP18" s="8"/>
      <c r="AQ18" s="8"/>
      <c r="AR18" s="8"/>
      <c r="AS18" s="8"/>
      <c r="AT18" s="8"/>
      <c r="AU18" s="8"/>
      <c r="AV18" s="8"/>
      <c r="AW18" s="8"/>
      <c r="AX18" s="9"/>
      <c r="AY18" s="1"/>
      <c r="AZ18" s="1"/>
    </row>
    <row r="19" spans="1:52" ht="14.25" customHeight="1" x14ac:dyDescent="0.45">
      <c r="A19" s="1"/>
      <c r="B19" s="1"/>
      <c r="C19" s="10" t="s">
        <v>5</v>
      </c>
      <c r="D19" s="10"/>
      <c r="E19" s="10"/>
      <c r="F19" s="10"/>
      <c r="G19" s="10"/>
      <c r="H19" s="10"/>
      <c r="I19" s="10"/>
      <c r="J19" s="10"/>
      <c r="K19" s="10"/>
      <c r="L19" s="10"/>
      <c r="M19" s="10"/>
      <c r="N19" s="10"/>
      <c r="O19" s="10"/>
      <c r="P19" s="10"/>
      <c r="Q19" s="10"/>
      <c r="R19" s="10"/>
      <c r="S19" s="11" t="str">
        <f>IF(S9="新規・追加・減少・廃止・タイプ変更申込",HYPERLINK('別紙①-1_月額支払い型申込書'!A1,"別紙①-1"),"別紙①-1")</f>
        <v>別紙①-1</v>
      </c>
      <c r="T19" s="12"/>
      <c r="U19" s="12"/>
      <c r="V19" s="12"/>
      <c r="W19" s="12"/>
      <c r="X19" s="12"/>
      <c r="Y19" s="12"/>
      <c r="Z19" s="12"/>
      <c r="AA19" s="12"/>
      <c r="AB19" s="12"/>
      <c r="AC19" s="12"/>
      <c r="AD19" s="12"/>
      <c r="AE19" s="12"/>
      <c r="AF19" s="12"/>
      <c r="AG19" s="12"/>
      <c r="AH19" s="12"/>
      <c r="AI19" s="13"/>
      <c r="AJ19" s="8"/>
      <c r="AK19" s="8"/>
      <c r="AL19" s="8"/>
      <c r="AM19" s="8"/>
      <c r="AN19" s="8"/>
      <c r="AO19" s="8"/>
      <c r="AP19" s="8"/>
      <c r="AQ19" s="8"/>
      <c r="AR19" s="8"/>
      <c r="AS19" s="8"/>
      <c r="AT19" s="8"/>
      <c r="AU19" s="8"/>
      <c r="AV19" s="8"/>
      <c r="AW19" s="8"/>
      <c r="AX19" s="9"/>
      <c r="AY19" s="1"/>
      <c r="AZ19" s="1"/>
    </row>
    <row r="20" spans="1:52" ht="14.25" customHeight="1" x14ac:dyDescent="0.45">
      <c r="A20" s="1"/>
      <c r="B20" s="1"/>
      <c r="C20" s="10"/>
      <c r="D20" s="10"/>
      <c r="E20" s="10"/>
      <c r="F20" s="10"/>
      <c r="G20" s="10"/>
      <c r="H20" s="10"/>
      <c r="I20" s="10"/>
      <c r="J20" s="10"/>
      <c r="K20" s="10"/>
      <c r="L20" s="10"/>
      <c r="M20" s="10"/>
      <c r="N20" s="10"/>
      <c r="O20" s="10"/>
      <c r="P20" s="10"/>
      <c r="Q20" s="10"/>
      <c r="R20" s="10"/>
      <c r="S20" s="14"/>
      <c r="T20" s="15"/>
      <c r="U20" s="15"/>
      <c r="V20" s="15"/>
      <c r="W20" s="15"/>
      <c r="X20" s="15"/>
      <c r="Y20" s="15"/>
      <c r="Z20" s="15"/>
      <c r="AA20" s="15"/>
      <c r="AB20" s="15"/>
      <c r="AC20" s="15"/>
      <c r="AD20" s="15"/>
      <c r="AE20" s="15"/>
      <c r="AF20" s="15"/>
      <c r="AG20" s="15"/>
      <c r="AH20" s="15"/>
      <c r="AI20" s="13"/>
      <c r="AJ20" s="8"/>
      <c r="AK20" s="8"/>
      <c r="AL20" s="8"/>
      <c r="AM20" s="8"/>
      <c r="AN20" s="8"/>
      <c r="AO20" s="8"/>
      <c r="AP20" s="8"/>
      <c r="AQ20" s="8"/>
      <c r="AR20" s="8"/>
      <c r="AS20" s="8"/>
      <c r="AT20" s="8"/>
      <c r="AU20" s="8"/>
      <c r="AV20" s="8"/>
      <c r="AW20" s="8"/>
      <c r="AX20" s="9"/>
      <c r="AY20" s="1"/>
      <c r="AZ20" s="1"/>
    </row>
    <row r="21" spans="1:52" ht="14.25" customHeight="1" x14ac:dyDescent="0.45">
      <c r="A21" s="1"/>
      <c r="B21" s="1"/>
      <c r="C21" s="10"/>
      <c r="D21" s="10"/>
      <c r="E21" s="10"/>
      <c r="F21" s="10"/>
      <c r="G21" s="10"/>
      <c r="H21" s="10"/>
      <c r="I21" s="10"/>
      <c r="J21" s="10"/>
      <c r="K21" s="10"/>
      <c r="L21" s="10"/>
      <c r="M21" s="10"/>
      <c r="N21" s="10"/>
      <c r="O21" s="10"/>
      <c r="P21" s="10"/>
      <c r="Q21" s="10"/>
      <c r="R21" s="10"/>
      <c r="S21" s="16"/>
      <c r="T21" s="17"/>
      <c r="U21" s="17"/>
      <c r="V21" s="17"/>
      <c r="W21" s="17"/>
      <c r="X21" s="17"/>
      <c r="Y21" s="17"/>
      <c r="Z21" s="17"/>
      <c r="AA21" s="17"/>
      <c r="AB21" s="17"/>
      <c r="AC21" s="17"/>
      <c r="AD21" s="17"/>
      <c r="AE21" s="17"/>
      <c r="AF21" s="17"/>
      <c r="AG21" s="17"/>
      <c r="AH21" s="17"/>
      <c r="AI21" s="13"/>
      <c r="AJ21" s="8"/>
      <c r="AK21" s="8"/>
      <c r="AL21" s="8"/>
      <c r="AM21" s="8"/>
      <c r="AN21" s="8"/>
      <c r="AO21" s="8"/>
      <c r="AP21" s="8"/>
      <c r="AQ21" s="8"/>
      <c r="AR21" s="8"/>
      <c r="AS21" s="8"/>
      <c r="AT21" s="8"/>
      <c r="AU21" s="8"/>
      <c r="AV21" s="8"/>
      <c r="AW21" s="8"/>
      <c r="AX21" s="9"/>
      <c r="AY21" s="1"/>
      <c r="AZ21" s="1"/>
    </row>
    <row r="22" spans="1:52" x14ac:dyDescent="0.45">
      <c r="A22" s="1"/>
      <c r="B22" s="1"/>
      <c r="C22" s="10"/>
      <c r="D22" s="10"/>
      <c r="E22" s="10"/>
      <c r="F22" s="10"/>
      <c r="G22" s="10"/>
      <c r="H22" s="10"/>
      <c r="I22" s="10"/>
      <c r="J22" s="10"/>
      <c r="K22" s="10"/>
      <c r="L22" s="10"/>
      <c r="M22" s="10"/>
      <c r="N22" s="10"/>
      <c r="O22" s="10"/>
      <c r="P22" s="10"/>
      <c r="Q22" s="10"/>
      <c r="R22" s="10"/>
      <c r="S22" s="18" t="s">
        <v>10</v>
      </c>
      <c r="T22" s="18"/>
      <c r="U22" s="18"/>
      <c r="V22" s="18"/>
      <c r="W22" s="18"/>
      <c r="X22" s="18"/>
      <c r="Y22" s="18"/>
      <c r="Z22" s="18"/>
      <c r="AA22" s="18"/>
      <c r="AB22" s="18"/>
      <c r="AC22" s="18"/>
      <c r="AD22" s="18"/>
      <c r="AE22" s="18"/>
      <c r="AF22" s="18"/>
      <c r="AG22" s="18"/>
      <c r="AH22" s="19"/>
      <c r="AI22" s="13"/>
      <c r="AJ22" s="8"/>
      <c r="AK22" s="8"/>
      <c r="AL22" s="8"/>
      <c r="AM22" s="8"/>
      <c r="AN22" s="8"/>
      <c r="AO22" s="8"/>
      <c r="AP22" s="8"/>
      <c r="AQ22" s="8"/>
      <c r="AR22" s="8"/>
      <c r="AS22" s="8"/>
      <c r="AT22" s="8"/>
      <c r="AU22" s="8"/>
      <c r="AV22" s="8"/>
      <c r="AW22" s="8"/>
      <c r="AX22" s="9"/>
      <c r="AY22" s="1"/>
      <c r="AZ22" s="1"/>
    </row>
    <row r="23" spans="1:52" x14ac:dyDescent="0.45">
      <c r="A23" s="1"/>
      <c r="B23" s="1"/>
      <c r="C23" s="10"/>
      <c r="D23" s="10"/>
      <c r="E23" s="10"/>
      <c r="F23" s="10"/>
      <c r="G23" s="10"/>
      <c r="H23" s="10"/>
      <c r="I23" s="10"/>
      <c r="J23" s="10"/>
      <c r="K23" s="10"/>
      <c r="L23" s="10"/>
      <c r="M23" s="10"/>
      <c r="N23" s="10"/>
      <c r="O23" s="10"/>
      <c r="P23" s="10"/>
      <c r="Q23" s="10"/>
      <c r="R23" s="10"/>
      <c r="S23" s="18"/>
      <c r="T23" s="18"/>
      <c r="U23" s="18"/>
      <c r="V23" s="18"/>
      <c r="W23" s="18"/>
      <c r="X23" s="18"/>
      <c r="Y23" s="18"/>
      <c r="Z23" s="18"/>
      <c r="AA23" s="18"/>
      <c r="AB23" s="18"/>
      <c r="AC23" s="18"/>
      <c r="AD23" s="18"/>
      <c r="AE23" s="18"/>
      <c r="AF23" s="18"/>
      <c r="AG23" s="18"/>
      <c r="AH23" s="19"/>
      <c r="AI23" s="13"/>
      <c r="AJ23" s="8"/>
      <c r="AK23" s="8"/>
      <c r="AL23" s="8"/>
      <c r="AM23" s="8"/>
      <c r="AN23" s="8"/>
      <c r="AO23" s="8"/>
      <c r="AP23" s="8"/>
      <c r="AQ23" s="8"/>
      <c r="AR23" s="8"/>
      <c r="AS23" s="8"/>
      <c r="AT23" s="8"/>
      <c r="AU23" s="8"/>
      <c r="AV23" s="8"/>
      <c r="AW23" s="8"/>
      <c r="AX23" s="9"/>
      <c r="AY23" s="1"/>
      <c r="AZ23" s="1"/>
    </row>
    <row r="24" spans="1:52" x14ac:dyDescent="0.45">
      <c r="A24" s="1"/>
      <c r="B24" s="1"/>
      <c r="C24" s="10"/>
      <c r="D24" s="10"/>
      <c r="E24" s="10"/>
      <c r="F24" s="10"/>
      <c r="G24" s="10"/>
      <c r="H24" s="10"/>
      <c r="I24" s="10"/>
      <c r="J24" s="10"/>
      <c r="K24" s="10"/>
      <c r="L24" s="10"/>
      <c r="M24" s="10"/>
      <c r="N24" s="10"/>
      <c r="O24" s="10"/>
      <c r="P24" s="10"/>
      <c r="Q24" s="10"/>
      <c r="R24" s="10"/>
      <c r="S24" s="18"/>
      <c r="T24" s="18"/>
      <c r="U24" s="18"/>
      <c r="V24" s="18"/>
      <c r="W24" s="18"/>
      <c r="X24" s="18"/>
      <c r="Y24" s="18"/>
      <c r="Z24" s="18"/>
      <c r="AA24" s="18"/>
      <c r="AB24" s="18"/>
      <c r="AC24" s="18"/>
      <c r="AD24" s="18"/>
      <c r="AE24" s="18"/>
      <c r="AF24" s="18"/>
      <c r="AG24" s="18"/>
      <c r="AH24" s="19"/>
      <c r="AI24" s="13"/>
      <c r="AJ24" s="8"/>
      <c r="AK24" s="8"/>
      <c r="AL24" s="8"/>
      <c r="AM24" s="8"/>
      <c r="AN24" s="8"/>
      <c r="AO24" s="8"/>
      <c r="AP24" s="8"/>
      <c r="AQ24" s="8"/>
      <c r="AR24" s="8"/>
      <c r="AS24" s="8"/>
      <c r="AT24" s="8"/>
      <c r="AU24" s="8"/>
      <c r="AV24" s="8"/>
      <c r="AW24" s="8"/>
      <c r="AX24" s="9"/>
      <c r="AY24" s="1"/>
      <c r="AZ24" s="1"/>
    </row>
    <row r="25" spans="1:52" x14ac:dyDescent="0.45">
      <c r="A25" s="1"/>
      <c r="B25" s="1"/>
      <c r="C25" s="20" t="s">
        <v>11</v>
      </c>
      <c r="D25" s="10"/>
      <c r="E25" s="10"/>
      <c r="F25" s="10"/>
      <c r="G25" s="10"/>
      <c r="H25" s="10"/>
      <c r="I25" s="10"/>
      <c r="J25" s="10"/>
      <c r="K25" s="10"/>
      <c r="L25" s="10"/>
      <c r="M25" s="10"/>
      <c r="N25" s="10"/>
      <c r="O25" s="10"/>
      <c r="P25" s="10"/>
      <c r="Q25" s="10"/>
      <c r="R25" s="10"/>
      <c r="S25" s="18" t="s">
        <v>12</v>
      </c>
      <c r="T25" s="18"/>
      <c r="U25" s="18"/>
      <c r="V25" s="18"/>
      <c r="W25" s="18"/>
      <c r="X25" s="18"/>
      <c r="Y25" s="18"/>
      <c r="Z25" s="18"/>
      <c r="AA25" s="18"/>
      <c r="AB25" s="18"/>
      <c r="AC25" s="18"/>
      <c r="AD25" s="18"/>
      <c r="AE25" s="18"/>
      <c r="AF25" s="18"/>
      <c r="AG25" s="18"/>
      <c r="AH25" s="19"/>
      <c r="AI25" s="13"/>
      <c r="AJ25" s="8"/>
      <c r="AK25" s="8"/>
      <c r="AL25" s="8"/>
      <c r="AM25" s="8"/>
      <c r="AN25" s="8"/>
      <c r="AO25" s="8"/>
      <c r="AP25" s="8"/>
      <c r="AQ25" s="8"/>
      <c r="AR25" s="8"/>
      <c r="AS25" s="8"/>
      <c r="AT25" s="8"/>
      <c r="AU25" s="8"/>
      <c r="AV25" s="8"/>
      <c r="AW25" s="8"/>
      <c r="AX25" s="9"/>
      <c r="AY25" s="1"/>
      <c r="AZ25" s="1"/>
    </row>
    <row r="26" spans="1:52" x14ac:dyDescent="0.45">
      <c r="A26" s="1"/>
      <c r="B26" s="1"/>
      <c r="C26" s="10"/>
      <c r="D26" s="10"/>
      <c r="E26" s="10"/>
      <c r="F26" s="10"/>
      <c r="G26" s="10"/>
      <c r="H26" s="10"/>
      <c r="I26" s="10"/>
      <c r="J26" s="10"/>
      <c r="K26" s="10"/>
      <c r="L26" s="10"/>
      <c r="M26" s="10"/>
      <c r="N26" s="10"/>
      <c r="O26" s="10"/>
      <c r="P26" s="10"/>
      <c r="Q26" s="10"/>
      <c r="R26" s="10"/>
      <c r="S26" s="18"/>
      <c r="T26" s="18"/>
      <c r="U26" s="18"/>
      <c r="V26" s="18"/>
      <c r="W26" s="18"/>
      <c r="X26" s="18"/>
      <c r="Y26" s="18"/>
      <c r="Z26" s="18"/>
      <c r="AA26" s="18"/>
      <c r="AB26" s="18"/>
      <c r="AC26" s="18"/>
      <c r="AD26" s="18"/>
      <c r="AE26" s="18"/>
      <c r="AF26" s="18"/>
      <c r="AG26" s="18"/>
      <c r="AH26" s="19"/>
      <c r="AI26" s="13"/>
      <c r="AJ26" s="8"/>
      <c r="AK26" s="8"/>
      <c r="AL26" s="8"/>
      <c r="AM26" s="8"/>
      <c r="AN26" s="8"/>
      <c r="AO26" s="8"/>
      <c r="AP26" s="8"/>
      <c r="AQ26" s="8"/>
      <c r="AR26" s="8"/>
      <c r="AS26" s="8"/>
      <c r="AT26" s="8"/>
      <c r="AU26" s="8"/>
      <c r="AV26" s="8"/>
      <c r="AW26" s="8"/>
      <c r="AX26" s="9"/>
      <c r="AY26" s="1"/>
      <c r="AZ26" s="1"/>
    </row>
    <row r="27" spans="1:52" x14ac:dyDescent="0.45">
      <c r="A27" s="1"/>
      <c r="B27" s="1"/>
      <c r="C27" s="10"/>
      <c r="D27" s="10"/>
      <c r="E27" s="10"/>
      <c r="F27" s="10"/>
      <c r="G27" s="10"/>
      <c r="H27" s="10"/>
      <c r="I27" s="10"/>
      <c r="J27" s="10"/>
      <c r="K27" s="10"/>
      <c r="L27" s="10"/>
      <c r="M27" s="10"/>
      <c r="N27" s="10"/>
      <c r="O27" s="10"/>
      <c r="P27" s="10"/>
      <c r="Q27" s="10"/>
      <c r="R27" s="10"/>
      <c r="S27" s="18"/>
      <c r="T27" s="18"/>
      <c r="U27" s="18"/>
      <c r="V27" s="18"/>
      <c r="W27" s="18"/>
      <c r="X27" s="18"/>
      <c r="Y27" s="18"/>
      <c r="Z27" s="18"/>
      <c r="AA27" s="18"/>
      <c r="AB27" s="18"/>
      <c r="AC27" s="18"/>
      <c r="AD27" s="18"/>
      <c r="AE27" s="18"/>
      <c r="AF27" s="18"/>
      <c r="AG27" s="18"/>
      <c r="AH27" s="19"/>
      <c r="AI27" s="13"/>
      <c r="AJ27" s="8"/>
      <c r="AK27" s="8"/>
      <c r="AL27" s="8"/>
      <c r="AM27" s="8"/>
      <c r="AN27" s="8"/>
      <c r="AO27" s="8"/>
      <c r="AP27" s="8"/>
      <c r="AQ27" s="8"/>
      <c r="AR27" s="8"/>
      <c r="AS27" s="8"/>
      <c r="AT27" s="8"/>
      <c r="AU27" s="8"/>
      <c r="AV27" s="8"/>
      <c r="AW27" s="8"/>
      <c r="AX27" s="9"/>
      <c r="AY27" s="1"/>
      <c r="AZ27" s="1"/>
    </row>
    <row r="28" spans="1:52" ht="13.5" customHeight="1" x14ac:dyDescent="0.45">
      <c r="A28" s="1"/>
      <c r="B28" s="1"/>
      <c r="C28" s="10"/>
      <c r="D28" s="10"/>
      <c r="E28" s="10"/>
      <c r="F28" s="10"/>
      <c r="G28" s="10"/>
      <c r="H28" s="10"/>
      <c r="I28" s="10"/>
      <c r="J28" s="10"/>
      <c r="K28" s="10"/>
      <c r="L28" s="10"/>
      <c r="M28" s="10"/>
      <c r="N28" s="10"/>
      <c r="O28" s="10"/>
      <c r="P28" s="10"/>
      <c r="Q28" s="10"/>
      <c r="R28" s="10"/>
      <c r="S28" s="18" t="s">
        <v>10</v>
      </c>
      <c r="T28" s="18"/>
      <c r="U28" s="18"/>
      <c r="V28" s="18"/>
      <c r="W28" s="18"/>
      <c r="X28" s="18"/>
      <c r="Y28" s="18"/>
      <c r="Z28" s="18"/>
      <c r="AA28" s="18"/>
      <c r="AB28" s="18"/>
      <c r="AC28" s="18"/>
      <c r="AD28" s="18"/>
      <c r="AE28" s="18"/>
      <c r="AF28" s="18"/>
      <c r="AG28" s="18"/>
      <c r="AH28" s="19"/>
      <c r="AI28" s="13"/>
      <c r="AJ28" s="8"/>
      <c r="AK28" s="8"/>
      <c r="AL28" s="8"/>
      <c r="AM28" s="8"/>
      <c r="AN28" s="8"/>
      <c r="AO28" s="8"/>
      <c r="AP28" s="8"/>
      <c r="AQ28" s="8"/>
      <c r="AR28" s="8"/>
      <c r="AS28" s="8"/>
      <c r="AT28" s="8"/>
      <c r="AU28" s="8"/>
      <c r="AV28" s="8"/>
      <c r="AW28" s="8"/>
      <c r="AX28" s="9"/>
      <c r="AY28" s="1"/>
      <c r="AZ28" s="1"/>
    </row>
    <row r="29" spans="1:52" x14ac:dyDescent="0.45">
      <c r="A29" s="1"/>
      <c r="B29" s="1"/>
      <c r="C29" s="10"/>
      <c r="D29" s="10"/>
      <c r="E29" s="10"/>
      <c r="F29" s="10"/>
      <c r="G29" s="10"/>
      <c r="H29" s="10"/>
      <c r="I29" s="10"/>
      <c r="J29" s="10"/>
      <c r="K29" s="10"/>
      <c r="L29" s="10"/>
      <c r="M29" s="10"/>
      <c r="N29" s="10"/>
      <c r="O29" s="10"/>
      <c r="P29" s="10"/>
      <c r="Q29" s="10"/>
      <c r="R29" s="10"/>
      <c r="S29" s="18"/>
      <c r="T29" s="18"/>
      <c r="U29" s="18"/>
      <c r="V29" s="18"/>
      <c r="W29" s="18"/>
      <c r="X29" s="18"/>
      <c r="Y29" s="18"/>
      <c r="Z29" s="18"/>
      <c r="AA29" s="18"/>
      <c r="AB29" s="18"/>
      <c r="AC29" s="18"/>
      <c r="AD29" s="18"/>
      <c r="AE29" s="18"/>
      <c r="AF29" s="18"/>
      <c r="AG29" s="18"/>
      <c r="AH29" s="19"/>
      <c r="AI29" s="13"/>
      <c r="AJ29" s="8"/>
      <c r="AK29" s="8"/>
      <c r="AL29" s="8"/>
      <c r="AM29" s="8"/>
      <c r="AN29" s="8"/>
      <c r="AO29" s="8"/>
      <c r="AP29" s="8"/>
      <c r="AQ29" s="8"/>
      <c r="AR29" s="8"/>
      <c r="AS29" s="8"/>
      <c r="AT29" s="8"/>
      <c r="AU29" s="8"/>
      <c r="AV29" s="8"/>
      <c r="AW29" s="8"/>
      <c r="AX29" s="9"/>
      <c r="AY29" s="1"/>
      <c r="AZ29" s="1"/>
    </row>
    <row r="30" spans="1:52" x14ac:dyDescent="0.45">
      <c r="A30" s="1"/>
      <c r="B30" s="1"/>
      <c r="C30" s="10"/>
      <c r="D30" s="10"/>
      <c r="E30" s="10"/>
      <c r="F30" s="10"/>
      <c r="G30" s="10"/>
      <c r="H30" s="10"/>
      <c r="I30" s="10"/>
      <c r="J30" s="10"/>
      <c r="K30" s="10"/>
      <c r="L30" s="10"/>
      <c r="M30" s="10"/>
      <c r="N30" s="10"/>
      <c r="O30" s="10"/>
      <c r="P30" s="10"/>
      <c r="Q30" s="10"/>
      <c r="R30" s="10"/>
      <c r="S30" s="18"/>
      <c r="T30" s="18"/>
      <c r="U30" s="18"/>
      <c r="V30" s="18"/>
      <c r="W30" s="18"/>
      <c r="X30" s="18"/>
      <c r="Y30" s="18"/>
      <c r="Z30" s="18"/>
      <c r="AA30" s="18"/>
      <c r="AB30" s="18"/>
      <c r="AC30" s="18"/>
      <c r="AD30" s="18"/>
      <c r="AE30" s="18"/>
      <c r="AF30" s="18"/>
      <c r="AG30" s="18"/>
      <c r="AH30" s="19"/>
      <c r="AI30" s="13"/>
      <c r="AJ30" s="8"/>
      <c r="AK30" s="8"/>
      <c r="AL30" s="8"/>
      <c r="AM30" s="8"/>
      <c r="AN30" s="8"/>
      <c r="AO30" s="8"/>
      <c r="AP30" s="8"/>
      <c r="AQ30" s="8"/>
      <c r="AR30" s="8"/>
      <c r="AS30" s="8"/>
      <c r="AT30" s="8"/>
      <c r="AU30" s="8"/>
      <c r="AV30" s="8"/>
      <c r="AW30" s="8"/>
      <c r="AX30" s="9"/>
      <c r="AY30" s="1"/>
      <c r="AZ30" s="1"/>
    </row>
    <row r="31" spans="1:52" ht="13.5" customHeight="1" x14ac:dyDescent="0.45">
      <c r="A31" s="1"/>
      <c r="B31" s="1"/>
      <c r="C31" s="20" t="s">
        <v>13</v>
      </c>
      <c r="D31" s="20"/>
      <c r="E31" s="20"/>
      <c r="F31" s="20"/>
      <c r="G31" s="20"/>
      <c r="H31" s="20"/>
      <c r="I31" s="20"/>
      <c r="J31" s="20"/>
      <c r="K31" s="20"/>
      <c r="L31" s="20"/>
      <c r="M31" s="20"/>
      <c r="N31" s="20"/>
      <c r="O31" s="20"/>
      <c r="P31" s="20"/>
      <c r="Q31" s="20"/>
      <c r="R31" s="20"/>
      <c r="S31" s="18" t="s">
        <v>14</v>
      </c>
      <c r="T31" s="18"/>
      <c r="U31" s="18"/>
      <c r="V31" s="18"/>
      <c r="W31" s="18"/>
      <c r="X31" s="18"/>
      <c r="Y31" s="18"/>
      <c r="Z31" s="18"/>
      <c r="AA31" s="18"/>
      <c r="AB31" s="18"/>
      <c r="AC31" s="18"/>
      <c r="AD31" s="18"/>
      <c r="AE31" s="18"/>
      <c r="AF31" s="18"/>
      <c r="AG31" s="18"/>
      <c r="AH31" s="19"/>
      <c r="AI31" s="13"/>
      <c r="AJ31" s="8"/>
      <c r="AK31" s="8"/>
      <c r="AL31" s="8"/>
      <c r="AM31" s="8"/>
      <c r="AN31" s="8"/>
      <c r="AO31" s="8"/>
      <c r="AP31" s="8"/>
      <c r="AQ31" s="8"/>
      <c r="AR31" s="8"/>
      <c r="AS31" s="8"/>
      <c r="AT31" s="8"/>
      <c r="AU31" s="8"/>
      <c r="AV31" s="8"/>
      <c r="AW31" s="8"/>
      <c r="AX31" s="9"/>
      <c r="AY31" s="1"/>
      <c r="AZ31" s="1"/>
    </row>
    <row r="32" spans="1:52" x14ac:dyDescent="0.45">
      <c r="A32" s="1"/>
      <c r="B32" s="1"/>
      <c r="C32" s="20"/>
      <c r="D32" s="20"/>
      <c r="E32" s="20"/>
      <c r="F32" s="20"/>
      <c r="G32" s="20"/>
      <c r="H32" s="20"/>
      <c r="I32" s="20"/>
      <c r="J32" s="20"/>
      <c r="K32" s="20"/>
      <c r="L32" s="20"/>
      <c r="M32" s="20"/>
      <c r="N32" s="20"/>
      <c r="O32" s="20"/>
      <c r="P32" s="20"/>
      <c r="Q32" s="20"/>
      <c r="R32" s="20"/>
      <c r="S32" s="18"/>
      <c r="T32" s="18"/>
      <c r="U32" s="18"/>
      <c r="V32" s="18"/>
      <c r="W32" s="18"/>
      <c r="X32" s="18"/>
      <c r="Y32" s="18"/>
      <c r="Z32" s="18"/>
      <c r="AA32" s="18"/>
      <c r="AB32" s="18"/>
      <c r="AC32" s="18"/>
      <c r="AD32" s="18"/>
      <c r="AE32" s="18"/>
      <c r="AF32" s="18"/>
      <c r="AG32" s="18"/>
      <c r="AH32" s="19"/>
      <c r="AI32" s="13"/>
      <c r="AJ32" s="8"/>
      <c r="AK32" s="8"/>
      <c r="AL32" s="8"/>
      <c r="AM32" s="8"/>
      <c r="AN32" s="8"/>
      <c r="AO32" s="8"/>
      <c r="AP32" s="8"/>
      <c r="AQ32" s="8"/>
      <c r="AR32" s="8"/>
      <c r="AS32" s="8"/>
      <c r="AT32" s="8"/>
      <c r="AU32" s="8"/>
      <c r="AV32" s="8"/>
      <c r="AW32" s="8"/>
      <c r="AX32" s="9"/>
      <c r="AY32" s="1"/>
      <c r="AZ32" s="1"/>
    </row>
    <row r="33" spans="1:52" x14ac:dyDescent="0.45">
      <c r="A33" s="1"/>
      <c r="B33" s="1"/>
      <c r="C33" s="20"/>
      <c r="D33" s="20"/>
      <c r="E33" s="20"/>
      <c r="F33" s="20"/>
      <c r="G33" s="20"/>
      <c r="H33" s="20"/>
      <c r="I33" s="20"/>
      <c r="J33" s="20"/>
      <c r="K33" s="20"/>
      <c r="L33" s="20"/>
      <c r="M33" s="20"/>
      <c r="N33" s="20"/>
      <c r="O33" s="20"/>
      <c r="P33" s="20"/>
      <c r="Q33" s="20"/>
      <c r="R33" s="20"/>
      <c r="S33" s="18"/>
      <c r="T33" s="18"/>
      <c r="U33" s="18"/>
      <c r="V33" s="18"/>
      <c r="W33" s="18"/>
      <c r="X33" s="18"/>
      <c r="Y33" s="18"/>
      <c r="Z33" s="18"/>
      <c r="AA33" s="18"/>
      <c r="AB33" s="18"/>
      <c r="AC33" s="18"/>
      <c r="AD33" s="18"/>
      <c r="AE33" s="18"/>
      <c r="AF33" s="18"/>
      <c r="AG33" s="18"/>
      <c r="AH33" s="19"/>
      <c r="AI33" s="13"/>
      <c r="AJ33" s="8"/>
      <c r="AK33" s="8"/>
      <c r="AL33" s="8"/>
      <c r="AM33" s="8"/>
      <c r="AN33" s="8"/>
      <c r="AO33" s="8"/>
      <c r="AP33" s="8"/>
      <c r="AQ33" s="8"/>
      <c r="AR33" s="8"/>
      <c r="AS33" s="8"/>
      <c r="AT33" s="8"/>
      <c r="AU33" s="8"/>
      <c r="AV33" s="8"/>
      <c r="AW33" s="8"/>
      <c r="AX33" s="9"/>
      <c r="AY33" s="1"/>
      <c r="AZ33" s="1"/>
    </row>
    <row r="34" spans="1:52" x14ac:dyDescent="0.4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row>
    <row r="35" spans="1:52" x14ac:dyDescent="0.4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x14ac:dyDescent="0.4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x14ac:dyDescent="0.4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x14ac:dyDescent="0.4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x14ac:dyDescent="0.4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x14ac:dyDescent="0.4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x14ac:dyDescent="0.4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4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4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4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4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x14ac:dyDescent="0.4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x14ac:dyDescent="0.4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x14ac:dyDescent="0.4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x14ac:dyDescent="0.4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row r="51" spans="1:52" x14ac:dyDescent="0.4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row>
    <row r="52" spans="1:52" x14ac:dyDescent="0.4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52" x14ac:dyDescent="0.4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52" x14ac:dyDescent="0.4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row>
    <row r="55" spans="1:52" x14ac:dyDescent="0.4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row>
    <row r="56" spans="1:52" x14ac:dyDescent="0.4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1:52" x14ac:dyDescent="0.4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row>
    <row r="58" spans="1:52" x14ac:dyDescent="0.4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row>
    <row r="59" spans="1:52" x14ac:dyDescent="0.4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52" x14ac:dyDescent="0.4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52" x14ac:dyDescent="0.4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52" x14ac:dyDescent="0.4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52" x14ac:dyDescent="0.4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1:52" x14ac:dyDescent="0.4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1:52" x14ac:dyDescent="0.4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1:52" x14ac:dyDescent="0.4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row>
    <row r="67" spans="1:52" x14ac:dyDescent="0.4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row>
    <row r="68" spans="1:52" x14ac:dyDescent="0.4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row>
  </sheetData>
  <sheetProtection password="C724" sheet="1" objects="1" scenarios="1" selectLockedCells="1"/>
  <mergeCells count="17">
    <mergeCell ref="C19:R24"/>
    <mergeCell ref="S19:AH21"/>
    <mergeCell ref="AI19:AX33"/>
    <mergeCell ref="S22:AH24"/>
    <mergeCell ref="C25:R30"/>
    <mergeCell ref="S25:AH27"/>
    <mergeCell ref="S28:AH30"/>
    <mergeCell ref="C31:R33"/>
    <mergeCell ref="S31:AH33"/>
    <mergeCell ref="C1:AY4"/>
    <mergeCell ref="C9:R11"/>
    <mergeCell ref="S9:AX11"/>
    <mergeCell ref="C12:R14"/>
    <mergeCell ref="S12:AX14"/>
    <mergeCell ref="C16:R18"/>
    <mergeCell ref="S16:AH18"/>
    <mergeCell ref="AI16:AX18"/>
  </mergeCells>
  <phoneticPr fontId="3"/>
  <conditionalFormatting sqref="C19:AH24">
    <cfRule type="expression" dxfId="119" priority="5">
      <formula>AND($S$9&lt;&gt;"■選択して下さい■",$S$9&lt;&gt;"新規・追加・減少・廃止申込(月額支払い型)")</formula>
    </cfRule>
    <cfRule type="expression" dxfId="118" priority="6">
      <formula>AND($S$9="■選択して下さい■",$S$9="新規・追加・減少・廃止申込(月額支払い型)")</formula>
    </cfRule>
  </conditionalFormatting>
  <conditionalFormatting sqref="C25:AH30">
    <cfRule type="expression" dxfId="117" priority="3">
      <formula>AND($S$9&lt;&gt;"■選択して下さい■",$S$9&lt;&gt;"新規・追加・減少・廃止申込（補助金対応型）")</formula>
    </cfRule>
    <cfRule type="expression" priority="4">
      <formula>AND($S$9="■選択して下さい■",$S$9="新規・追加・減少・廃止申込（補助金対応型）")</formula>
    </cfRule>
  </conditionalFormatting>
  <conditionalFormatting sqref="C31:AH33">
    <cfRule type="expression" dxfId="116" priority="1">
      <formula>AND($S$9&lt;&gt;"■選択して下さい■",$S$9&lt;&gt;"移転・契約情報変更・設定変更申込")</formula>
    </cfRule>
    <cfRule type="expression" priority="2">
      <formula>AND($S$9="■選択して下さい■",$S$9="移転・契約情報変更・設定変更申込")</formula>
    </cfRule>
  </conditionalFormatting>
  <pageMargins left="0.7" right="0.7" top="0.75" bottom="0.75" header="0.3" footer="0.3"/>
  <pageSetup paperSize="9" scale="51"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DE496-0580-4013-B90D-36BFBB906C5B}">
  <sheetPr>
    <pageSetUpPr fitToPage="1"/>
  </sheetPr>
  <dimension ref="A1:DP83"/>
  <sheetViews>
    <sheetView showGridLines="0" view="pageBreakPreview" topLeftCell="A28" zoomScale="118" zoomScaleNormal="100" zoomScaleSheetLayoutView="118" workbookViewId="0">
      <selection activeCell="S12" sqref="S12:AX14"/>
    </sheetView>
  </sheetViews>
  <sheetFormatPr defaultColWidth="2.19921875" defaultRowHeight="13.2" x14ac:dyDescent="0.45"/>
  <cols>
    <col min="1" max="9" width="2.19921875" style="3"/>
    <col min="10" max="10" width="2.8984375" style="3" customWidth="1"/>
    <col min="11" max="38" width="2.19921875" style="3"/>
    <col min="39" max="39" width="2.19921875" style="3" customWidth="1"/>
    <col min="40" max="54" width="2.19921875" style="3"/>
    <col min="55" max="62" width="2.19921875" style="3" customWidth="1"/>
    <col min="63" max="63" width="2.19921875" style="57" customWidth="1"/>
    <col min="64" max="76" width="2.19921875" style="3" customWidth="1"/>
    <col min="77" max="88" width="2.19921875" style="3"/>
    <col min="89" max="89" width="2.796875" style="3" customWidth="1"/>
    <col min="90" max="16384" width="2.19921875" style="3"/>
  </cols>
  <sheetData>
    <row r="1" spans="1:89" s="24" customFormat="1" ht="6.75" customHeight="1" x14ac:dyDescent="0.45">
      <c r="A1" s="21" t="str">
        <f>AZ5</f>
        <v>Ver2.7(2023.6.12～)</v>
      </c>
      <c r="B1" s="22" t="s">
        <v>15</v>
      </c>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BK1" s="25"/>
    </row>
    <row r="2" spans="1:89" s="24" customFormat="1" ht="6.75" customHeight="1" x14ac:dyDescent="0.45">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BK2" s="25"/>
    </row>
    <row r="3" spans="1:89" s="24" customFormat="1" ht="6.75" customHeight="1" x14ac:dyDescent="0.45">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BK3" s="25"/>
    </row>
    <row r="4" spans="1:89" s="24" customFormat="1" ht="20.25" customHeight="1" x14ac:dyDescent="0.45">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BK4" s="25"/>
    </row>
    <row r="5" spans="1:89" s="24" customFormat="1" ht="20.25" customHeight="1" x14ac:dyDescent="0.45">
      <c r="B5" s="26" t="s">
        <v>16</v>
      </c>
      <c r="C5" s="27"/>
      <c r="D5" s="27"/>
      <c r="E5" s="27"/>
      <c r="F5" s="27"/>
      <c r="G5" s="27"/>
      <c r="H5" s="28"/>
      <c r="I5" s="29" t="s">
        <v>17</v>
      </c>
      <c r="J5" s="30"/>
      <c r="K5" s="30"/>
      <c r="L5" s="30"/>
      <c r="M5" s="30"/>
      <c r="N5" s="30"/>
      <c r="O5" s="30"/>
      <c r="P5" s="30"/>
      <c r="Q5" s="30"/>
      <c r="R5" s="30"/>
      <c r="S5" s="30"/>
      <c r="T5" s="30"/>
      <c r="U5" s="30"/>
      <c r="V5" s="30"/>
      <c r="W5" s="30"/>
      <c r="X5" s="31"/>
      <c r="Y5" s="26" t="s">
        <v>18</v>
      </c>
      <c r="Z5" s="27"/>
      <c r="AA5" s="27"/>
      <c r="AB5" s="27"/>
      <c r="AC5" s="27"/>
      <c r="AD5" s="27"/>
      <c r="AE5" s="28"/>
      <c r="AF5" s="29" t="s">
        <v>19</v>
      </c>
      <c r="AG5" s="30"/>
      <c r="AH5" s="30"/>
      <c r="AI5" s="30"/>
      <c r="AJ5" s="30"/>
      <c r="AK5" s="30"/>
      <c r="AL5" s="30"/>
      <c r="AM5" s="30"/>
      <c r="AN5" s="30"/>
      <c r="AO5" s="30"/>
      <c r="AP5" s="30"/>
      <c r="AQ5" s="30"/>
      <c r="AR5" s="31"/>
      <c r="AS5" s="32"/>
      <c r="AT5" s="32"/>
      <c r="AU5" s="32"/>
      <c r="AV5" s="32"/>
      <c r="AW5" s="32"/>
      <c r="AX5" s="32"/>
      <c r="AY5" s="32"/>
      <c r="AZ5" s="33" t="s">
        <v>20</v>
      </c>
      <c r="BK5" s="25"/>
    </row>
    <row r="6" spans="1:89" s="24" customFormat="1" ht="11.25" customHeight="1" x14ac:dyDescent="0.45">
      <c r="B6" s="34" t="s">
        <v>21</v>
      </c>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BK6" s="25"/>
    </row>
    <row r="7" spans="1:89" ht="26.25" customHeight="1" x14ac:dyDescent="0.45">
      <c r="B7" s="35" t="s">
        <v>22</v>
      </c>
      <c r="C7" s="35"/>
      <c r="D7" s="35"/>
      <c r="E7" s="35"/>
      <c r="F7" s="35"/>
      <c r="G7" s="35"/>
      <c r="H7" s="35" t="s">
        <v>23</v>
      </c>
      <c r="I7" s="35"/>
      <c r="J7" s="36">
        <v>2023</v>
      </c>
      <c r="K7" s="36"/>
      <c r="L7" s="36"/>
      <c r="M7" s="36"/>
      <c r="N7" s="37" t="s">
        <v>24</v>
      </c>
      <c r="O7" s="36">
        <v>9</v>
      </c>
      <c r="P7" s="36"/>
      <c r="Q7" s="36"/>
      <c r="R7" s="36"/>
      <c r="S7" s="37" t="s">
        <v>25</v>
      </c>
      <c r="T7" s="36">
        <v>8</v>
      </c>
      <c r="U7" s="36"/>
      <c r="V7" s="36"/>
      <c r="W7" s="36"/>
      <c r="X7" s="37" t="s">
        <v>26</v>
      </c>
      <c r="Y7" s="38"/>
      <c r="Z7" s="39"/>
      <c r="AA7" s="39"/>
      <c r="AB7" s="39"/>
      <c r="AC7" s="39"/>
      <c r="AD7" s="39"/>
      <c r="AE7" s="39"/>
      <c r="AF7" s="39"/>
      <c r="AG7" s="39"/>
      <c r="AH7" s="39"/>
      <c r="AI7" s="39"/>
      <c r="AJ7" s="40" t="s">
        <v>27</v>
      </c>
      <c r="AK7" s="41"/>
      <c r="AL7" s="41"/>
      <c r="AM7" s="41"/>
      <c r="AN7" s="42"/>
      <c r="AO7" s="43" t="str">
        <f>"CAF"&amp;M23&amp;N23&amp;O23&amp;P23&amp;Q23&amp;R23&amp;S23&amp;T23&amp;U23&amp;V23&amp;"WSO"&amp;LEFT(I11,6)&amp;[1]Sheet1!A3&amp;[1]Sheet1!B3</f>
        <v>CAF5231164323WSO4500000920</v>
      </c>
      <c r="AP7" s="44"/>
      <c r="AQ7" s="44"/>
      <c r="AR7" s="44"/>
      <c r="AS7" s="44"/>
      <c r="AT7" s="44"/>
      <c r="AU7" s="44"/>
      <c r="AV7" s="44"/>
      <c r="AW7" s="44"/>
      <c r="AX7" s="44"/>
      <c r="AY7" s="45"/>
      <c r="BB7" s="46"/>
      <c r="BD7" s="47"/>
      <c r="BE7" s="47"/>
      <c r="BF7" s="47"/>
      <c r="BG7" s="47"/>
      <c r="BH7" s="47"/>
      <c r="BI7" s="47"/>
      <c r="BK7" s="48"/>
      <c r="BL7" s="48"/>
      <c r="BM7" s="48"/>
      <c r="BN7" s="48"/>
      <c r="BO7" s="48"/>
      <c r="BP7" s="48"/>
      <c r="BY7" s="46"/>
    </row>
    <row r="8" spans="1:89" ht="21.75" customHeight="1" x14ac:dyDescent="0.45">
      <c r="B8" s="49" t="s">
        <v>28</v>
      </c>
      <c r="C8" s="49"/>
      <c r="D8" s="49"/>
      <c r="E8" s="49"/>
      <c r="F8" s="49"/>
      <c r="G8" s="49"/>
      <c r="H8" s="50" t="s">
        <v>29</v>
      </c>
      <c r="I8" s="50"/>
      <c r="J8" s="50"/>
      <c r="K8" s="51" t="s">
        <v>30</v>
      </c>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3"/>
      <c r="AU8" s="54" t="s">
        <v>31</v>
      </c>
      <c r="AV8" s="54"/>
      <c r="AW8" s="54"/>
      <c r="AX8" s="54"/>
      <c r="AY8" s="55"/>
      <c r="BD8" s="56"/>
      <c r="BE8" s="56"/>
    </row>
    <row r="9" spans="1:89" ht="21.75" customHeight="1" x14ac:dyDescent="0.45">
      <c r="B9" s="49"/>
      <c r="C9" s="49"/>
      <c r="D9" s="49"/>
      <c r="E9" s="49"/>
      <c r="F9" s="49"/>
      <c r="G9" s="49"/>
      <c r="H9" s="58" t="s">
        <v>32</v>
      </c>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60"/>
      <c r="AU9" s="61"/>
      <c r="AV9" s="61"/>
      <c r="AW9" s="61"/>
      <c r="AX9" s="61"/>
      <c r="AY9" s="62"/>
      <c r="BD9" s="56"/>
      <c r="BE9" s="63"/>
    </row>
    <row r="10" spans="1:89" ht="21.75" customHeight="1" x14ac:dyDescent="0.45">
      <c r="B10" s="49"/>
      <c r="C10" s="49"/>
      <c r="D10" s="49"/>
      <c r="E10" s="49"/>
      <c r="F10" s="49"/>
      <c r="G10" s="49"/>
      <c r="H10" s="64"/>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6"/>
      <c r="AU10" s="67"/>
      <c r="AV10" s="67"/>
      <c r="AW10" s="67"/>
      <c r="AX10" s="67"/>
      <c r="AY10" s="68"/>
      <c r="BD10" s="56"/>
      <c r="BK10" s="69"/>
      <c r="BL10" s="69"/>
      <c r="BM10" s="69"/>
      <c r="BN10" s="69"/>
      <c r="BO10" s="69"/>
      <c r="BP10" s="69"/>
    </row>
    <row r="11" spans="1:89" ht="13.5" customHeight="1" x14ac:dyDescent="0.2">
      <c r="B11" s="70" t="s">
        <v>33</v>
      </c>
      <c r="C11" s="71"/>
      <c r="D11" s="71"/>
      <c r="E11" s="71"/>
      <c r="F11" s="71"/>
      <c r="G11" s="72"/>
      <c r="H11" s="73" t="s">
        <v>34</v>
      </c>
      <c r="I11" s="74">
        <v>4500003</v>
      </c>
      <c r="J11" s="74"/>
      <c r="K11" s="74"/>
      <c r="L11" s="74"/>
      <c r="M11" s="74"/>
      <c r="N11" s="74"/>
      <c r="O11" s="74"/>
      <c r="P11" s="74"/>
      <c r="Q11" s="50" t="s">
        <v>29</v>
      </c>
      <c r="R11" s="50"/>
      <c r="S11" s="50"/>
      <c r="T11" s="75" t="s">
        <v>35</v>
      </c>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7"/>
      <c r="BA11" s="78" t="s">
        <v>36</v>
      </c>
      <c r="BD11" s="56"/>
      <c r="BK11" s="63"/>
      <c r="BL11" s="63"/>
      <c r="BM11" s="63"/>
      <c r="BN11" s="63"/>
      <c r="BO11" s="63"/>
      <c r="BP11" s="63"/>
    </row>
    <row r="12" spans="1:89" ht="13.5" customHeight="1" x14ac:dyDescent="0.45">
      <c r="B12" s="79"/>
      <c r="C12" s="80"/>
      <c r="D12" s="80"/>
      <c r="E12" s="80"/>
      <c r="F12" s="80"/>
      <c r="G12" s="81"/>
      <c r="H12" s="82" t="s">
        <v>37</v>
      </c>
      <c r="I12" s="83"/>
      <c r="J12" s="84"/>
      <c r="K12" s="11" t="s">
        <v>38</v>
      </c>
      <c r="L12" s="12"/>
      <c r="M12" s="12"/>
      <c r="N12" s="12"/>
      <c r="O12" s="12"/>
      <c r="P12" s="85"/>
      <c r="Q12" s="86" t="s">
        <v>39</v>
      </c>
      <c r="R12" s="87"/>
      <c r="S12" s="88"/>
      <c r="T12" s="89" t="s">
        <v>40</v>
      </c>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1"/>
      <c r="BA12" s="92" t="s">
        <v>41</v>
      </c>
      <c r="BD12" s="56"/>
      <c r="BK12" s="63"/>
      <c r="BL12" s="63"/>
      <c r="BM12" s="63"/>
      <c r="BN12" s="63"/>
      <c r="BO12" s="63"/>
      <c r="BP12" s="63"/>
    </row>
    <row r="13" spans="1:89" ht="13.5" customHeight="1" x14ac:dyDescent="0.45">
      <c r="B13" s="79"/>
      <c r="C13" s="80"/>
      <c r="D13" s="80"/>
      <c r="E13" s="80"/>
      <c r="F13" s="80"/>
      <c r="G13" s="81"/>
      <c r="H13" s="93"/>
      <c r="I13" s="94"/>
      <c r="J13" s="95"/>
      <c r="K13" s="16"/>
      <c r="L13" s="17"/>
      <c r="M13" s="17"/>
      <c r="N13" s="17"/>
      <c r="O13" s="17"/>
      <c r="P13" s="96"/>
      <c r="Q13" s="97"/>
      <c r="R13" s="98"/>
      <c r="S13" s="99"/>
      <c r="T13" s="100"/>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2"/>
      <c r="BD13" s="56"/>
      <c r="BK13" s="69"/>
      <c r="BL13" s="69"/>
      <c r="BM13" s="69"/>
      <c r="BN13" s="69"/>
      <c r="BO13" s="69"/>
      <c r="BP13" s="69"/>
    </row>
    <row r="14" spans="1:89" ht="13.5" customHeight="1" x14ac:dyDescent="0.45">
      <c r="B14" s="103"/>
      <c r="C14" s="104"/>
      <c r="D14" s="104"/>
      <c r="E14" s="104"/>
      <c r="F14" s="104"/>
      <c r="G14" s="105"/>
      <c r="H14" s="106" t="s">
        <v>42</v>
      </c>
      <c r="I14" s="107"/>
      <c r="J14" s="108" t="s">
        <v>43</v>
      </c>
      <c r="K14" s="108"/>
      <c r="L14" s="108"/>
      <c r="M14" s="108"/>
      <c r="N14" s="108"/>
      <c r="O14" s="108"/>
      <c r="P14" s="109"/>
      <c r="Q14" s="110" t="s">
        <v>44</v>
      </c>
      <c r="R14" s="111"/>
      <c r="S14" s="112"/>
      <c r="T14" s="113"/>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c r="AY14" s="115"/>
      <c r="BD14" s="56"/>
      <c r="BK14" s="69"/>
      <c r="BL14" s="69"/>
      <c r="BM14" s="69"/>
      <c r="BN14" s="69"/>
      <c r="BO14" s="69"/>
      <c r="BP14" s="69"/>
    </row>
    <row r="15" spans="1:89" ht="15" customHeight="1" x14ac:dyDescent="0.45">
      <c r="B15" s="116" t="s">
        <v>45</v>
      </c>
      <c r="C15" s="41"/>
      <c r="D15" s="41"/>
      <c r="E15" s="41"/>
      <c r="F15" s="41"/>
      <c r="G15" s="42"/>
      <c r="H15" s="106" t="s">
        <v>42</v>
      </c>
      <c r="I15" s="107"/>
      <c r="J15" s="107"/>
      <c r="K15" s="117" t="s">
        <v>46</v>
      </c>
      <c r="L15" s="117"/>
      <c r="M15" s="117"/>
      <c r="N15" s="117"/>
      <c r="O15" s="117"/>
      <c r="P15" s="117"/>
      <c r="Q15" s="117"/>
      <c r="R15" s="117"/>
      <c r="S15" s="117"/>
      <c r="T15" s="117"/>
      <c r="U15" s="117"/>
      <c r="V15" s="117"/>
      <c r="W15" s="117"/>
      <c r="X15" s="118"/>
      <c r="Y15" s="116"/>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2"/>
    </row>
    <row r="16" spans="1:89" ht="15" customHeight="1" x14ac:dyDescent="0.45">
      <c r="B16" s="116"/>
      <c r="C16" s="41"/>
      <c r="D16" s="41"/>
      <c r="E16" s="41"/>
      <c r="F16" s="41"/>
      <c r="G16" s="42"/>
      <c r="H16" s="119" t="s">
        <v>34</v>
      </c>
      <c r="I16" s="74"/>
      <c r="J16" s="74"/>
      <c r="K16" s="74"/>
      <c r="L16" s="74"/>
      <c r="M16" s="74"/>
      <c r="N16" s="74"/>
      <c r="O16" s="74"/>
      <c r="P16" s="74"/>
      <c r="Q16" s="50" t="s">
        <v>29</v>
      </c>
      <c r="R16" s="50"/>
      <c r="S16" s="5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CK16" s="121"/>
    </row>
    <row r="17" spans="2:89" ht="15" customHeight="1" x14ac:dyDescent="0.45">
      <c r="B17" s="116"/>
      <c r="C17" s="41"/>
      <c r="D17" s="41"/>
      <c r="E17" s="41"/>
      <c r="F17" s="41"/>
      <c r="G17" s="42"/>
      <c r="H17" s="82" t="s">
        <v>37</v>
      </c>
      <c r="I17" s="83"/>
      <c r="J17" s="84"/>
      <c r="K17" s="11"/>
      <c r="L17" s="12"/>
      <c r="M17" s="12"/>
      <c r="N17" s="12"/>
      <c r="O17" s="12"/>
      <c r="P17" s="85"/>
      <c r="Q17" s="86" t="s">
        <v>39</v>
      </c>
      <c r="R17" s="87"/>
      <c r="S17" s="88"/>
      <c r="T17" s="89"/>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1"/>
      <c r="CK17" s="121"/>
    </row>
    <row r="18" spans="2:89" ht="15" customHeight="1" x14ac:dyDescent="0.45">
      <c r="B18" s="116"/>
      <c r="C18" s="41"/>
      <c r="D18" s="41"/>
      <c r="E18" s="41"/>
      <c r="F18" s="41"/>
      <c r="G18" s="42"/>
      <c r="H18" s="93"/>
      <c r="I18" s="94"/>
      <c r="J18" s="95"/>
      <c r="K18" s="16"/>
      <c r="L18" s="17"/>
      <c r="M18" s="17"/>
      <c r="N18" s="17"/>
      <c r="O18" s="17"/>
      <c r="P18" s="96"/>
      <c r="Q18" s="97"/>
      <c r="R18" s="98"/>
      <c r="S18" s="99"/>
      <c r="T18" s="100"/>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2"/>
      <c r="CK18" s="121"/>
    </row>
    <row r="19" spans="2:89" ht="15" customHeight="1" x14ac:dyDescent="0.45">
      <c r="B19" s="116"/>
      <c r="C19" s="41"/>
      <c r="D19" s="41"/>
      <c r="E19" s="41"/>
      <c r="F19" s="41"/>
      <c r="G19" s="42"/>
      <c r="H19" s="107" t="s">
        <v>47</v>
      </c>
      <c r="I19" s="107"/>
      <c r="J19" s="108" t="s">
        <v>43</v>
      </c>
      <c r="K19" s="108"/>
      <c r="L19" s="108"/>
      <c r="M19" s="122"/>
      <c r="N19" s="122"/>
      <c r="O19" s="122"/>
      <c r="P19" s="123"/>
      <c r="Q19" s="124" t="s">
        <v>44</v>
      </c>
      <c r="R19" s="125"/>
      <c r="S19" s="126"/>
      <c r="T19" s="127"/>
      <c r="U19" s="128"/>
      <c r="V19" s="128"/>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5"/>
    </row>
    <row r="20" spans="2:89" ht="15" customHeight="1" x14ac:dyDescent="0.45">
      <c r="B20" s="129" t="s">
        <v>48</v>
      </c>
      <c r="C20" s="130"/>
      <c r="D20" s="130"/>
      <c r="E20" s="130"/>
      <c r="F20" s="130"/>
      <c r="G20" s="131"/>
      <c r="H20" s="132" t="s">
        <v>32</v>
      </c>
      <c r="I20" s="133"/>
      <c r="J20" s="133"/>
      <c r="K20" s="133"/>
      <c r="L20" s="133"/>
      <c r="M20" s="133"/>
      <c r="N20" s="133"/>
      <c r="O20" s="133"/>
      <c r="P20" s="133"/>
      <c r="Q20" s="133"/>
      <c r="R20" s="133"/>
      <c r="S20" s="133"/>
      <c r="T20" s="133"/>
      <c r="U20" s="133"/>
      <c r="V20" s="134"/>
      <c r="W20" s="49" t="s">
        <v>49</v>
      </c>
      <c r="X20" s="49"/>
      <c r="Y20" s="49"/>
      <c r="Z20" s="49"/>
      <c r="AA20" s="49"/>
      <c r="AB20" s="49"/>
      <c r="AC20" s="135" t="s">
        <v>29</v>
      </c>
      <c r="AD20" s="136"/>
      <c r="AE20" s="137"/>
      <c r="AF20" s="138" t="s">
        <v>50</v>
      </c>
      <c r="AG20" s="139"/>
      <c r="AH20" s="139"/>
      <c r="AI20" s="139"/>
      <c r="AJ20" s="139"/>
      <c r="AK20" s="139"/>
      <c r="AL20" s="139"/>
      <c r="AM20" s="139"/>
      <c r="AN20" s="139"/>
      <c r="AO20" s="139"/>
      <c r="AP20" s="139"/>
      <c r="AQ20" s="139"/>
      <c r="AR20" s="139"/>
      <c r="AS20" s="139"/>
      <c r="AT20" s="139"/>
      <c r="AU20" s="139"/>
      <c r="AV20" s="139"/>
      <c r="AW20" s="139"/>
      <c r="AX20" s="139"/>
      <c r="AY20" s="140"/>
    </row>
    <row r="21" spans="2:89" ht="15" customHeight="1" x14ac:dyDescent="0.45">
      <c r="B21" s="141"/>
      <c r="C21" s="142"/>
      <c r="D21" s="142"/>
      <c r="E21" s="142"/>
      <c r="F21" s="142"/>
      <c r="G21" s="143"/>
      <c r="H21" s="144"/>
      <c r="I21" s="145"/>
      <c r="J21" s="145"/>
      <c r="K21" s="145"/>
      <c r="L21" s="145"/>
      <c r="M21" s="145"/>
      <c r="N21" s="145"/>
      <c r="O21" s="145"/>
      <c r="P21" s="145"/>
      <c r="Q21" s="145"/>
      <c r="R21" s="145"/>
      <c r="S21" s="145"/>
      <c r="T21" s="145"/>
      <c r="U21" s="145"/>
      <c r="V21" s="146"/>
      <c r="W21" s="49"/>
      <c r="X21" s="49"/>
      <c r="Y21" s="49"/>
      <c r="Z21" s="49"/>
      <c r="AA21" s="49"/>
      <c r="AB21" s="49"/>
      <c r="AC21" s="132" t="s">
        <v>51</v>
      </c>
      <c r="AD21" s="133"/>
      <c r="AE21" s="133"/>
      <c r="AF21" s="133"/>
      <c r="AG21" s="133"/>
      <c r="AH21" s="133"/>
      <c r="AI21" s="133"/>
      <c r="AJ21" s="133"/>
      <c r="AK21" s="133"/>
      <c r="AL21" s="133"/>
      <c r="AM21" s="133"/>
      <c r="AN21" s="133"/>
      <c r="AO21" s="133"/>
      <c r="AP21" s="133"/>
      <c r="AQ21" s="133"/>
      <c r="AR21" s="133"/>
      <c r="AS21" s="133"/>
      <c r="AT21" s="133"/>
      <c r="AU21" s="133"/>
      <c r="AV21" s="133"/>
      <c r="AW21" s="133"/>
      <c r="AX21" s="133"/>
      <c r="AY21" s="134"/>
    </row>
    <row r="22" spans="2:89" ht="15" customHeight="1" x14ac:dyDescent="0.45">
      <c r="B22" s="147"/>
      <c r="C22" s="148"/>
      <c r="D22" s="148"/>
      <c r="E22" s="148"/>
      <c r="F22" s="148"/>
      <c r="G22" s="149"/>
      <c r="H22" s="144"/>
      <c r="I22" s="145"/>
      <c r="J22" s="145"/>
      <c r="K22" s="145"/>
      <c r="L22" s="145"/>
      <c r="M22" s="145"/>
      <c r="N22" s="145"/>
      <c r="O22" s="145"/>
      <c r="P22" s="145"/>
      <c r="Q22" s="145"/>
      <c r="R22" s="145"/>
      <c r="S22" s="145"/>
      <c r="T22" s="145"/>
      <c r="U22" s="145"/>
      <c r="V22" s="146"/>
      <c r="W22" s="49"/>
      <c r="X22" s="49"/>
      <c r="Y22" s="49"/>
      <c r="Z22" s="49"/>
      <c r="AA22" s="49"/>
      <c r="AB22" s="49"/>
      <c r="AC22" s="150"/>
      <c r="AD22" s="151"/>
      <c r="AE22" s="151"/>
      <c r="AF22" s="151"/>
      <c r="AG22" s="151"/>
      <c r="AH22" s="151"/>
      <c r="AI22" s="151"/>
      <c r="AJ22" s="151"/>
      <c r="AK22" s="151"/>
      <c r="AL22" s="151"/>
      <c r="AM22" s="151"/>
      <c r="AN22" s="151"/>
      <c r="AO22" s="151"/>
      <c r="AP22" s="151"/>
      <c r="AQ22" s="151"/>
      <c r="AR22" s="151"/>
      <c r="AS22" s="151"/>
      <c r="AT22" s="151"/>
      <c r="AU22" s="151"/>
      <c r="AV22" s="151"/>
      <c r="AW22" s="151"/>
      <c r="AX22" s="151"/>
      <c r="AY22" s="152"/>
    </row>
    <row r="23" spans="2:89" ht="15" customHeight="1" x14ac:dyDescent="0.45">
      <c r="B23" s="116" t="s">
        <v>52</v>
      </c>
      <c r="C23" s="41"/>
      <c r="D23" s="41"/>
      <c r="E23" s="41"/>
      <c r="F23" s="41"/>
      <c r="G23" s="42"/>
      <c r="H23" s="153" t="s">
        <v>53</v>
      </c>
      <c r="I23" s="154"/>
      <c r="J23" s="154"/>
      <c r="K23" s="154"/>
      <c r="L23" s="155"/>
      <c r="M23" s="156" t="s">
        <v>54</v>
      </c>
      <c r="N23" s="156" t="s">
        <v>55</v>
      </c>
      <c r="O23" s="156" t="s">
        <v>56</v>
      </c>
      <c r="P23" s="156" t="s">
        <v>57</v>
      </c>
      <c r="Q23" s="156" t="s">
        <v>57</v>
      </c>
      <c r="R23" s="156" t="s">
        <v>58</v>
      </c>
      <c r="S23" s="156" t="s">
        <v>59</v>
      </c>
      <c r="T23" s="156" t="s">
        <v>56</v>
      </c>
      <c r="U23" s="156" t="s">
        <v>55</v>
      </c>
      <c r="V23" s="156" t="s">
        <v>56</v>
      </c>
      <c r="W23" s="157" t="s">
        <v>60</v>
      </c>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9"/>
    </row>
    <row r="24" spans="2:89" ht="13.5" customHeight="1" x14ac:dyDescent="0.45">
      <c r="B24" s="160" t="s">
        <v>61</v>
      </c>
      <c r="C24" s="130" t="s">
        <v>62</v>
      </c>
      <c r="D24" s="130"/>
      <c r="E24" s="130"/>
      <c r="F24" s="130"/>
      <c r="G24" s="131"/>
      <c r="H24" s="161" t="s">
        <v>32</v>
      </c>
      <c r="I24" s="162"/>
      <c r="J24" s="162"/>
      <c r="K24" s="162"/>
      <c r="L24" s="162"/>
      <c r="M24" s="162"/>
      <c r="N24" s="162"/>
      <c r="O24" s="162"/>
      <c r="P24" s="162"/>
      <c r="Q24" s="162"/>
      <c r="R24" s="162"/>
      <c r="S24" s="162"/>
      <c r="T24" s="162"/>
      <c r="U24" s="162"/>
      <c r="V24" s="163"/>
      <c r="W24" s="49" t="s">
        <v>63</v>
      </c>
      <c r="X24" s="49"/>
      <c r="Y24" s="49"/>
      <c r="Z24" s="49"/>
      <c r="AA24" s="49"/>
      <c r="AB24" s="49"/>
      <c r="AC24" s="50" t="s">
        <v>29</v>
      </c>
      <c r="AD24" s="50"/>
      <c r="AE24" s="50"/>
      <c r="AF24" s="75" t="s">
        <v>50</v>
      </c>
      <c r="AG24" s="76"/>
      <c r="AH24" s="76"/>
      <c r="AI24" s="76"/>
      <c r="AJ24" s="76"/>
      <c r="AK24" s="76"/>
      <c r="AL24" s="76"/>
      <c r="AM24" s="76"/>
      <c r="AN24" s="76"/>
      <c r="AO24" s="76"/>
      <c r="AP24" s="76"/>
      <c r="AQ24" s="76"/>
      <c r="AR24" s="76"/>
      <c r="AS24" s="76"/>
      <c r="AT24" s="76"/>
      <c r="AU24" s="76"/>
      <c r="AV24" s="76"/>
      <c r="AW24" s="76"/>
      <c r="AX24" s="76"/>
      <c r="AY24" s="77"/>
    </row>
    <row r="25" spans="2:89" x14ac:dyDescent="0.45">
      <c r="B25" s="164"/>
      <c r="C25" s="142"/>
      <c r="D25" s="142"/>
      <c r="E25" s="142"/>
      <c r="F25" s="142"/>
      <c r="G25" s="143"/>
      <c r="H25" s="161"/>
      <c r="I25" s="162"/>
      <c r="J25" s="162"/>
      <c r="K25" s="162"/>
      <c r="L25" s="162"/>
      <c r="M25" s="162"/>
      <c r="N25" s="162"/>
      <c r="O25" s="162"/>
      <c r="P25" s="162"/>
      <c r="Q25" s="162"/>
      <c r="R25" s="162"/>
      <c r="S25" s="162"/>
      <c r="T25" s="162"/>
      <c r="U25" s="162"/>
      <c r="V25" s="163"/>
      <c r="W25" s="49"/>
      <c r="X25" s="49"/>
      <c r="Y25" s="49"/>
      <c r="Z25" s="49"/>
      <c r="AA25" s="49"/>
      <c r="AB25" s="49"/>
      <c r="AC25" s="165" t="s">
        <v>64</v>
      </c>
      <c r="AD25" s="166"/>
      <c r="AE25" s="166"/>
      <c r="AF25" s="166"/>
      <c r="AG25" s="166"/>
      <c r="AH25" s="166"/>
      <c r="AI25" s="166"/>
      <c r="AJ25" s="166"/>
      <c r="AK25" s="166"/>
      <c r="AL25" s="166"/>
      <c r="AM25" s="166"/>
      <c r="AN25" s="166"/>
      <c r="AO25" s="166"/>
      <c r="AP25" s="166"/>
      <c r="AQ25" s="166"/>
      <c r="AR25" s="166"/>
      <c r="AS25" s="166"/>
      <c r="AT25" s="166"/>
      <c r="AU25" s="166"/>
      <c r="AV25" s="166"/>
      <c r="AW25" s="166"/>
      <c r="AX25" s="166"/>
      <c r="AY25" s="167"/>
    </row>
    <row r="26" spans="2:89" ht="12.75" customHeight="1" x14ac:dyDescent="0.45">
      <c r="B26" s="164"/>
      <c r="C26" s="148"/>
      <c r="D26" s="148"/>
      <c r="E26" s="148"/>
      <c r="F26" s="148"/>
      <c r="G26" s="149"/>
      <c r="H26" s="168"/>
      <c r="I26" s="169"/>
      <c r="J26" s="169"/>
      <c r="K26" s="169"/>
      <c r="L26" s="169"/>
      <c r="M26" s="169"/>
      <c r="N26" s="169"/>
      <c r="O26" s="169"/>
      <c r="P26" s="169"/>
      <c r="Q26" s="169"/>
      <c r="R26" s="169"/>
      <c r="S26" s="169"/>
      <c r="T26" s="169"/>
      <c r="U26" s="169"/>
      <c r="V26" s="170"/>
      <c r="W26" s="49"/>
      <c r="X26" s="49"/>
      <c r="Y26" s="49"/>
      <c r="Z26" s="49"/>
      <c r="AA26" s="49"/>
      <c r="AB26" s="49"/>
      <c r="AC26" s="171"/>
      <c r="AD26" s="172"/>
      <c r="AE26" s="172"/>
      <c r="AF26" s="172"/>
      <c r="AG26" s="172"/>
      <c r="AH26" s="172"/>
      <c r="AI26" s="172"/>
      <c r="AJ26" s="172"/>
      <c r="AK26" s="172"/>
      <c r="AL26" s="172"/>
      <c r="AM26" s="172"/>
      <c r="AN26" s="172"/>
      <c r="AO26" s="172"/>
      <c r="AP26" s="172"/>
      <c r="AQ26" s="172"/>
      <c r="AR26" s="172"/>
      <c r="AS26" s="172"/>
      <c r="AT26" s="172"/>
      <c r="AU26" s="172"/>
      <c r="AV26" s="172"/>
      <c r="AW26" s="172"/>
      <c r="AX26" s="172"/>
      <c r="AY26" s="173"/>
    </row>
    <row r="27" spans="2:89" ht="18" customHeight="1" x14ac:dyDescent="0.45">
      <c r="B27" s="164"/>
      <c r="C27" s="174" t="s">
        <v>65</v>
      </c>
      <c r="D27" s="174"/>
      <c r="E27" s="174"/>
      <c r="F27" s="174"/>
      <c r="G27" s="175"/>
      <c r="H27" s="176"/>
      <c r="I27" s="177"/>
      <c r="J27" s="177"/>
      <c r="K27" s="177"/>
      <c r="L27" s="177"/>
      <c r="M27" s="177"/>
      <c r="N27" s="177"/>
      <c r="O27" s="177"/>
      <c r="P27" s="177"/>
      <c r="Q27" s="177"/>
      <c r="R27" s="177"/>
      <c r="S27" s="177"/>
      <c r="T27" s="177"/>
      <c r="U27" s="177"/>
      <c r="V27" s="178"/>
      <c r="W27" s="179" t="s">
        <v>66</v>
      </c>
      <c r="X27" s="180"/>
      <c r="Y27" s="180"/>
      <c r="Z27" s="180"/>
      <c r="AA27" s="180"/>
      <c r="AB27" s="180"/>
      <c r="AC27" s="180"/>
      <c r="AD27" s="180"/>
      <c r="AE27" s="180"/>
      <c r="AF27" s="180"/>
      <c r="AG27" s="180"/>
      <c r="AH27" s="180"/>
      <c r="AI27" s="180"/>
      <c r="AJ27" s="180"/>
      <c r="AK27" s="180"/>
      <c r="AL27" s="180"/>
      <c r="AM27" s="180"/>
      <c r="AN27" s="180"/>
      <c r="AO27" s="180"/>
      <c r="AP27" s="180"/>
      <c r="AQ27" s="180"/>
      <c r="AR27" s="180"/>
      <c r="AS27" s="180"/>
      <c r="AT27" s="180"/>
      <c r="AU27" s="180"/>
      <c r="AV27" s="180"/>
      <c r="AW27" s="180"/>
      <c r="AX27" s="180"/>
      <c r="AY27" s="181"/>
    </row>
    <row r="28" spans="2:89" ht="18" customHeight="1" x14ac:dyDescent="0.45">
      <c r="B28" s="164"/>
      <c r="C28" s="182"/>
      <c r="D28" s="182"/>
      <c r="E28" s="182"/>
      <c r="F28" s="182"/>
      <c r="G28" s="183"/>
      <c r="H28" s="184" t="s">
        <v>67</v>
      </c>
      <c r="I28" s="185" t="s">
        <v>68</v>
      </c>
      <c r="J28" s="185"/>
      <c r="K28" s="185"/>
      <c r="L28" s="186" t="s">
        <v>69</v>
      </c>
      <c r="M28" s="185" t="s">
        <v>70</v>
      </c>
      <c r="N28" s="185"/>
      <c r="O28" s="185"/>
      <c r="P28" s="185"/>
      <c r="Q28" s="186" t="s">
        <v>71</v>
      </c>
      <c r="R28" s="185" t="s">
        <v>72</v>
      </c>
      <c r="S28" s="185"/>
      <c r="T28" s="185"/>
      <c r="U28" s="185"/>
      <c r="V28" s="187"/>
      <c r="W28" s="188"/>
      <c r="X28" s="189"/>
      <c r="Y28" s="189"/>
      <c r="Z28" s="189"/>
      <c r="AA28" s="189"/>
      <c r="AB28" s="189"/>
      <c r="AC28" s="189"/>
      <c r="AD28" s="189"/>
      <c r="AE28" s="189"/>
      <c r="AF28" s="189"/>
      <c r="AG28" s="189"/>
      <c r="AH28" s="189"/>
      <c r="AI28" s="189"/>
      <c r="AJ28" s="189"/>
      <c r="AK28" s="189"/>
      <c r="AL28" s="189"/>
      <c r="AM28" s="189"/>
      <c r="AN28" s="189"/>
      <c r="AO28" s="189"/>
      <c r="AP28" s="189"/>
      <c r="AQ28" s="189"/>
      <c r="AR28" s="189"/>
      <c r="AS28" s="189"/>
      <c r="AT28" s="189"/>
      <c r="AU28" s="189"/>
      <c r="AV28" s="189"/>
      <c r="AW28" s="189"/>
      <c r="AX28" s="189"/>
      <c r="AY28" s="190"/>
    </row>
    <row r="29" spans="2:89" ht="18" customHeight="1" x14ac:dyDescent="0.45">
      <c r="B29" s="164"/>
      <c r="C29" s="191"/>
      <c r="D29" s="191"/>
      <c r="E29" s="191"/>
      <c r="F29" s="191"/>
      <c r="G29" s="192"/>
      <c r="H29" s="193"/>
      <c r="I29" s="194"/>
      <c r="J29" s="195"/>
      <c r="K29" s="195"/>
      <c r="L29" s="195"/>
      <c r="M29" s="195"/>
      <c r="N29" s="195"/>
      <c r="O29" s="195"/>
      <c r="P29" s="195"/>
      <c r="Q29" s="195"/>
      <c r="R29" s="195"/>
      <c r="S29" s="195"/>
      <c r="T29" s="194"/>
      <c r="U29" s="194"/>
      <c r="V29" s="196"/>
      <c r="W29" s="188"/>
      <c r="X29" s="189"/>
      <c r="Y29" s="189"/>
      <c r="Z29" s="189"/>
      <c r="AA29" s="189"/>
      <c r="AB29" s="189"/>
      <c r="AC29" s="189"/>
      <c r="AD29" s="189"/>
      <c r="AE29" s="189"/>
      <c r="AF29" s="189"/>
      <c r="AG29" s="189"/>
      <c r="AH29" s="189"/>
      <c r="AI29" s="189"/>
      <c r="AJ29" s="189"/>
      <c r="AK29" s="189"/>
      <c r="AL29" s="189"/>
      <c r="AM29" s="189"/>
      <c r="AN29" s="189"/>
      <c r="AO29" s="189"/>
      <c r="AP29" s="189"/>
      <c r="AQ29" s="189"/>
      <c r="AR29" s="189"/>
      <c r="AS29" s="189"/>
      <c r="AT29" s="189"/>
      <c r="AU29" s="189"/>
      <c r="AV29" s="189"/>
      <c r="AW29" s="189"/>
      <c r="AX29" s="189"/>
      <c r="AY29" s="190"/>
    </row>
    <row r="30" spans="2:89" ht="18" customHeight="1" x14ac:dyDescent="0.45">
      <c r="B30" s="164"/>
      <c r="C30" s="174" t="s">
        <v>73</v>
      </c>
      <c r="D30" s="174"/>
      <c r="E30" s="174"/>
      <c r="F30" s="174"/>
      <c r="G30" s="175"/>
      <c r="H30" s="176"/>
      <c r="I30" s="177"/>
      <c r="J30" s="177"/>
      <c r="K30" s="177"/>
      <c r="L30" s="177"/>
      <c r="M30" s="177"/>
      <c r="N30" s="177"/>
      <c r="O30" s="177"/>
      <c r="P30" s="177"/>
      <c r="Q30" s="177"/>
      <c r="R30" s="177"/>
      <c r="S30" s="177"/>
      <c r="T30" s="177"/>
      <c r="U30" s="177"/>
      <c r="V30" s="178"/>
      <c r="W30" s="188"/>
      <c r="X30" s="189"/>
      <c r="Y30" s="189"/>
      <c r="Z30" s="189"/>
      <c r="AA30" s="189"/>
      <c r="AB30" s="189"/>
      <c r="AC30" s="189"/>
      <c r="AD30" s="189"/>
      <c r="AE30" s="189"/>
      <c r="AF30" s="189"/>
      <c r="AG30" s="189"/>
      <c r="AH30" s="189"/>
      <c r="AI30" s="189"/>
      <c r="AJ30" s="189"/>
      <c r="AK30" s="189"/>
      <c r="AL30" s="189"/>
      <c r="AM30" s="189"/>
      <c r="AN30" s="189"/>
      <c r="AO30" s="189"/>
      <c r="AP30" s="189"/>
      <c r="AQ30" s="189"/>
      <c r="AR30" s="189"/>
      <c r="AS30" s="189"/>
      <c r="AT30" s="189"/>
      <c r="AU30" s="189"/>
      <c r="AV30" s="189"/>
      <c r="AW30" s="189"/>
      <c r="AX30" s="189"/>
      <c r="AY30" s="190"/>
    </row>
    <row r="31" spans="2:89" ht="18" customHeight="1" x14ac:dyDescent="0.45">
      <c r="B31" s="164"/>
      <c r="C31" s="182"/>
      <c r="D31" s="182"/>
      <c r="E31" s="182"/>
      <c r="F31" s="182"/>
      <c r="G31" s="183"/>
      <c r="H31" s="184" t="s">
        <v>67</v>
      </c>
      <c r="I31" s="185" t="s">
        <v>68</v>
      </c>
      <c r="J31" s="185"/>
      <c r="K31" s="185"/>
      <c r="L31" s="186" t="s">
        <v>69</v>
      </c>
      <c r="M31" s="185" t="s">
        <v>70</v>
      </c>
      <c r="N31" s="185"/>
      <c r="O31" s="185"/>
      <c r="P31" s="185"/>
      <c r="Q31" s="186" t="s">
        <v>71</v>
      </c>
      <c r="R31" s="185" t="s">
        <v>72</v>
      </c>
      <c r="S31" s="185"/>
      <c r="T31" s="185"/>
      <c r="U31" s="185"/>
      <c r="V31" s="187"/>
      <c r="W31" s="188"/>
      <c r="X31" s="189"/>
      <c r="Y31" s="189"/>
      <c r="Z31" s="189"/>
      <c r="AA31" s="189"/>
      <c r="AB31" s="189"/>
      <c r="AC31" s="189"/>
      <c r="AD31" s="189"/>
      <c r="AE31" s="189"/>
      <c r="AF31" s="189"/>
      <c r="AG31" s="189"/>
      <c r="AH31" s="189"/>
      <c r="AI31" s="189"/>
      <c r="AJ31" s="189"/>
      <c r="AK31" s="189"/>
      <c r="AL31" s="189"/>
      <c r="AM31" s="189"/>
      <c r="AN31" s="189"/>
      <c r="AO31" s="189"/>
      <c r="AP31" s="189"/>
      <c r="AQ31" s="189"/>
      <c r="AR31" s="189"/>
      <c r="AS31" s="189"/>
      <c r="AT31" s="189"/>
      <c r="AU31" s="189"/>
      <c r="AV31" s="189"/>
      <c r="AW31" s="189"/>
      <c r="AX31" s="189"/>
      <c r="AY31" s="190"/>
    </row>
    <row r="32" spans="2:89" ht="18" customHeight="1" x14ac:dyDescent="0.45">
      <c r="B32" s="164"/>
      <c r="C32" s="182"/>
      <c r="D32" s="182"/>
      <c r="E32" s="182"/>
      <c r="F32" s="182"/>
      <c r="G32" s="183"/>
      <c r="H32" s="184"/>
      <c r="I32" s="186"/>
      <c r="J32" s="186"/>
      <c r="K32" s="186"/>
      <c r="L32" s="186"/>
      <c r="M32" s="186"/>
      <c r="N32" s="186"/>
      <c r="O32" s="186"/>
      <c r="P32" s="186"/>
      <c r="Q32" s="186"/>
      <c r="R32" s="186"/>
      <c r="S32" s="186"/>
      <c r="T32" s="186"/>
      <c r="U32" s="186"/>
      <c r="V32" s="197"/>
      <c r="W32" s="188"/>
      <c r="X32" s="189"/>
      <c r="Y32" s="189"/>
      <c r="Z32" s="189"/>
      <c r="AA32" s="189"/>
      <c r="AB32" s="189"/>
      <c r="AC32" s="189"/>
      <c r="AD32" s="189"/>
      <c r="AE32" s="189"/>
      <c r="AF32" s="189"/>
      <c r="AG32" s="189"/>
      <c r="AH32" s="189"/>
      <c r="AI32" s="189"/>
      <c r="AJ32" s="189"/>
      <c r="AK32" s="189"/>
      <c r="AL32" s="189"/>
      <c r="AM32" s="189"/>
      <c r="AN32" s="189"/>
      <c r="AO32" s="189"/>
      <c r="AP32" s="189"/>
      <c r="AQ32" s="189"/>
      <c r="AR32" s="189"/>
      <c r="AS32" s="189"/>
      <c r="AT32" s="189"/>
      <c r="AU32" s="189"/>
      <c r="AV32" s="189"/>
      <c r="AW32" s="189"/>
      <c r="AX32" s="189"/>
      <c r="AY32" s="190"/>
    </row>
    <row r="33" spans="2:98" ht="18" customHeight="1" x14ac:dyDescent="0.45">
      <c r="B33" s="198"/>
      <c r="C33" s="199" t="s">
        <v>74</v>
      </c>
      <c r="D33" s="200"/>
      <c r="E33" s="200"/>
      <c r="F33" s="200"/>
      <c r="G33" s="200"/>
      <c r="H33" s="201" t="s">
        <v>75</v>
      </c>
      <c r="I33" s="202"/>
      <c r="J33" s="202"/>
      <c r="K33" s="202"/>
      <c r="L33" s="202"/>
      <c r="M33" s="202"/>
      <c r="N33" s="202"/>
      <c r="O33" s="202"/>
      <c r="P33" s="202"/>
      <c r="Q33" s="202"/>
      <c r="R33" s="202"/>
      <c r="S33" s="202"/>
      <c r="T33" s="202"/>
      <c r="U33" s="202"/>
      <c r="V33" s="202"/>
      <c r="W33" s="202"/>
      <c r="X33" s="202"/>
      <c r="Y33" s="202"/>
      <c r="Z33" s="203"/>
      <c r="AA33" s="204" t="s">
        <v>76</v>
      </c>
      <c r="AB33" s="205" t="s">
        <v>77</v>
      </c>
      <c r="AC33" s="205"/>
      <c r="AD33" s="205"/>
      <c r="AE33" s="205"/>
      <c r="AF33" s="205"/>
      <c r="AG33" s="205"/>
      <c r="AH33" s="205"/>
      <c r="AI33" s="205"/>
      <c r="AJ33" s="205"/>
      <c r="AK33" s="205"/>
      <c r="AL33" s="205"/>
      <c r="AM33" s="205"/>
      <c r="AN33" s="205"/>
      <c r="AO33" s="205"/>
      <c r="AP33" s="205"/>
      <c r="AQ33" s="205"/>
      <c r="AR33" s="205"/>
      <c r="AS33" s="205"/>
      <c r="AT33" s="205"/>
      <c r="AU33" s="205"/>
      <c r="AV33" s="205"/>
      <c r="AW33" s="205"/>
      <c r="AX33" s="205"/>
      <c r="AY33" s="205"/>
    </row>
    <row r="34" spans="2:98" s="24" customFormat="1" ht="13.5" customHeight="1" x14ac:dyDescent="0.2">
      <c r="B34" s="206"/>
      <c r="C34" s="206"/>
      <c r="D34" s="206"/>
      <c r="E34" s="206"/>
      <c r="F34" s="206"/>
      <c r="G34" s="206"/>
      <c r="H34" s="206"/>
      <c r="I34" s="206"/>
      <c r="J34" s="206"/>
      <c r="K34" s="206"/>
      <c r="L34" s="206"/>
      <c r="M34" s="206"/>
      <c r="N34" s="206"/>
      <c r="O34" s="206"/>
      <c r="P34" s="206"/>
      <c r="Q34" s="206"/>
      <c r="R34" s="206"/>
      <c r="S34" s="206"/>
      <c r="T34" s="206"/>
      <c r="U34" s="206"/>
      <c r="V34" s="206"/>
      <c r="W34" s="206"/>
      <c r="X34" s="206"/>
      <c r="Y34" s="206"/>
      <c r="Z34" s="206"/>
      <c r="AA34" s="206"/>
      <c r="AB34" s="206"/>
      <c r="AC34" s="206"/>
      <c r="AD34" s="206"/>
      <c r="AE34" s="206"/>
      <c r="AF34" s="206"/>
      <c r="AG34" s="206"/>
      <c r="AH34" s="206"/>
      <c r="AI34" s="206"/>
      <c r="AJ34" s="206"/>
      <c r="AK34" s="206"/>
      <c r="AL34" s="206"/>
      <c r="AM34" s="206"/>
      <c r="AN34" s="206"/>
      <c r="AO34" s="206"/>
      <c r="AP34" s="206"/>
      <c r="AQ34" s="206"/>
      <c r="AR34" s="206"/>
      <c r="AS34" s="206"/>
      <c r="AT34" s="206"/>
      <c r="AU34" s="206"/>
      <c r="AV34" s="206"/>
      <c r="AW34" s="206"/>
      <c r="AX34" s="206"/>
      <c r="AY34" s="206"/>
      <c r="BK34" s="25"/>
    </row>
    <row r="35" spans="2:98" s="56" customFormat="1" ht="13.5" customHeight="1" x14ac:dyDescent="0.45">
      <c r="B35" s="3" t="s">
        <v>78</v>
      </c>
      <c r="BK35" s="63"/>
    </row>
    <row r="36" spans="2:98" ht="26.25" customHeight="1" x14ac:dyDescent="0.45">
      <c r="B36" s="116" t="s">
        <v>79</v>
      </c>
      <c r="C36" s="41"/>
      <c r="D36" s="41"/>
      <c r="E36" s="41"/>
      <c r="F36" s="41"/>
      <c r="G36" s="42"/>
      <c r="H36" s="207"/>
      <c r="I36" s="208" t="s">
        <v>42</v>
      </c>
      <c r="J36" s="209" t="s">
        <v>80</v>
      </c>
      <c r="K36" s="209"/>
      <c r="L36" s="208" t="s">
        <v>47</v>
      </c>
      <c r="M36" s="209" t="s">
        <v>81</v>
      </c>
      <c r="N36" s="210"/>
      <c r="O36" s="210"/>
      <c r="P36" s="208" t="s">
        <v>47</v>
      </c>
      <c r="Q36" s="209" t="s">
        <v>82</v>
      </c>
      <c r="R36" s="209"/>
      <c r="S36" s="209"/>
      <c r="T36" s="208" t="s">
        <v>47</v>
      </c>
      <c r="U36" s="209" t="s">
        <v>83</v>
      </c>
      <c r="V36" s="209"/>
      <c r="W36" s="209"/>
      <c r="X36" s="208"/>
      <c r="Y36" s="211"/>
      <c r="Z36" s="212"/>
      <c r="AA36" s="212"/>
      <c r="AB36" s="212"/>
      <c r="AC36" s="212"/>
      <c r="AD36" s="213"/>
      <c r="AE36" s="214" t="s">
        <v>84</v>
      </c>
      <c r="AF36" s="41"/>
      <c r="AG36" s="41"/>
      <c r="AH36" s="41"/>
      <c r="AI36" s="42"/>
      <c r="AJ36" s="215"/>
      <c r="AK36" s="216"/>
      <c r="AL36" s="216"/>
      <c r="AM36" s="216"/>
      <c r="AN36" s="216"/>
      <c r="AO36" s="216"/>
      <c r="AP36" s="216"/>
      <c r="AQ36" s="216"/>
      <c r="AR36" s="216"/>
      <c r="AS36" s="216"/>
      <c r="AT36" s="216"/>
      <c r="AU36" s="216"/>
      <c r="AV36" s="216"/>
      <c r="AW36" s="216"/>
      <c r="AX36" s="216"/>
      <c r="AY36" s="217"/>
    </row>
    <row r="37" spans="2:98" ht="26.25" customHeight="1" x14ac:dyDescent="0.45">
      <c r="B37" s="214" t="s">
        <v>85</v>
      </c>
      <c r="C37" s="41"/>
      <c r="D37" s="41"/>
      <c r="E37" s="41"/>
      <c r="F37" s="41"/>
      <c r="G37" s="42"/>
      <c r="H37" s="153" t="s">
        <v>86</v>
      </c>
      <c r="I37" s="154"/>
      <c r="J37" s="154"/>
      <c r="K37" s="154"/>
      <c r="L37" s="218"/>
      <c r="M37" s="165"/>
      <c r="N37" s="166"/>
      <c r="O37" s="166"/>
      <c r="P37" s="166"/>
      <c r="Q37" s="166"/>
      <c r="R37" s="166"/>
      <c r="S37" s="166"/>
      <c r="T37" s="166"/>
      <c r="U37" s="166"/>
      <c r="V37" s="166"/>
      <c r="W37" s="166"/>
      <c r="X37" s="166"/>
      <c r="Y37" s="166"/>
      <c r="Z37" s="166"/>
      <c r="AA37" s="166"/>
      <c r="AB37" s="166"/>
      <c r="AC37" s="166"/>
      <c r="AD37" s="167"/>
      <c r="AE37" s="219"/>
      <c r="AF37" s="220"/>
      <c r="AG37" s="220"/>
      <c r="AH37" s="220"/>
      <c r="AI37" s="220"/>
      <c r="AJ37" s="221"/>
      <c r="AK37" s="221"/>
      <c r="AL37" s="221"/>
      <c r="AM37" s="221"/>
      <c r="AN37" s="221"/>
      <c r="AO37" s="221"/>
      <c r="AP37" s="221"/>
      <c r="AQ37" s="221"/>
      <c r="AR37" s="221"/>
      <c r="AS37" s="221"/>
      <c r="AT37" s="221"/>
      <c r="AU37" s="221"/>
      <c r="AV37" s="221"/>
      <c r="AW37" s="221"/>
      <c r="AX37" s="221"/>
      <c r="AY37" s="222"/>
    </row>
    <row r="38" spans="2:98" s="24" customFormat="1" ht="52.5" customHeight="1" x14ac:dyDescent="0.45">
      <c r="B38" s="129" t="s">
        <v>87</v>
      </c>
      <c r="C38" s="130"/>
      <c r="D38" s="130"/>
      <c r="E38" s="130"/>
      <c r="F38" s="130"/>
      <c r="G38" s="131"/>
      <c r="H38" s="106" t="s">
        <v>47</v>
      </c>
      <c r="I38" s="107"/>
      <c r="J38" s="107"/>
      <c r="K38" s="107"/>
      <c r="L38" s="223" t="s">
        <v>88</v>
      </c>
      <c r="M38" s="223"/>
      <c r="N38" s="223"/>
      <c r="O38" s="223"/>
      <c r="P38" s="223"/>
      <c r="Q38" s="223"/>
      <c r="R38" s="223"/>
      <c r="S38" s="223"/>
      <c r="T38" s="223"/>
      <c r="U38" s="223"/>
      <c r="V38" s="209" t="s">
        <v>89</v>
      </c>
      <c r="W38" s="106"/>
      <c r="X38" s="224"/>
      <c r="Y38" s="225" t="s">
        <v>90</v>
      </c>
      <c r="Z38" s="226"/>
      <c r="AA38" s="226"/>
      <c r="AB38" s="226"/>
      <c r="AC38" s="227"/>
      <c r="AD38" s="106" t="s">
        <v>42</v>
      </c>
      <c r="AE38" s="107"/>
      <c r="AF38" s="107"/>
      <c r="AG38" s="107"/>
      <c r="AH38" s="223" t="s">
        <v>91</v>
      </c>
      <c r="AI38" s="223"/>
      <c r="AJ38" s="223"/>
      <c r="AK38" s="223"/>
      <c r="AL38" s="223"/>
      <c r="AM38" s="223"/>
      <c r="AN38" s="223"/>
      <c r="AO38" s="223"/>
      <c r="AP38" s="223"/>
      <c r="AQ38" s="223"/>
      <c r="AR38" s="209" t="s">
        <v>89</v>
      </c>
      <c r="AS38" s="106">
        <v>1</v>
      </c>
      <c r="AT38" s="224"/>
      <c r="AU38" s="225" t="s">
        <v>90</v>
      </c>
      <c r="AV38" s="226"/>
      <c r="AW38" s="226"/>
      <c r="AX38" s="226"/>
      <c r="AY38" s="227"/>
      <c r="BD38" s="3"/>
      <c r="BE38" s="3"/>
      <c r="BF38" s="3"/>
      <c r="BG38" s="3"/>
      <c r="BH38" s="3"/>
      <c r="BI38" s="3"/>
      <c r="BJ38" s="3"/>
      <c r="BK38" s="3"/>
      <c r="BL38" s="3"/>
      <c r="BM38" s="3"/>
      <c r="BN38" s="3"/>
      <c r="BO38" s="3"/>
      <c r="BP38" s="3"/>
      <c r="BQ38" s="3"/>
      <c r="BR38" s="3"/>
      <c r="BS38" s="3"/>
      <c r="BT38" s="3"/>
      <c r="BU38" s="3"/>
      <c r="BV38" s="3"/>
      <c r="BW38" s="3"/>
      <c r="BX38" s="3"/>
      <c r="BY38" s="3"/>
      <c r="BZ38" s="3"/>
    </row>
    <row r="39" spans="2:98" s="24" customFormat="1" ht="26.25" customHeight="1" x14ac:dyDescent="0.45">
      <c r="B39" s="147"/>
      <c r="C39" s="148"/>
      <c r="D39" s="148"/>
      <c r="E39" s="148"/>
      <c r="F39" s="148"/>
      <c r="G39" s="149"/>
      <c r="H39" s="228" t="s">
        <v>92</v>
      </c>
      <c r="I39" s="229"/>
      <c r="J39" s="229"/>
      <c r="K39" s="229"/>
      <c r="L39" s="229"/>
      <c r="M39" s="229"/>
      <c r="N39" s="229"/>
      <c r="O39" s="229"/>
      <c r="P39" s="229"/>
      <c r="Q39" s="229"/>
      <c r="R39" s="229"/>
      <c r="S39" s="229"/>
      <c r="T39" s="229"/>
      <c r="U39" s="229"/>
      <c r="V39" s="229"/>
      <c r="W39" s="229"/>
      <c r="X39" s="229"/>
      <c r="Y39" s="229"/>
      <c r="Z39" s="229"/>
      <c r="AA39" s="229"/>
      <c r="AB39" s="229"/>
      <c r="AC39" s="229"/>
      <c r="AD39" s="229"/>
      <c r="AE39" s="229"/>
      <c r="AF39" s="229"/>
      <c r="AG39" s="229"/>
      <c r="AH39" s="229"/>
      <c r="AI39" s="229"/>
      <c r="AJ39" s="229"/>
      <c r="AK39" s="229"/>
      <c r="AL39" s="229"/>
      <c r="AM39" s="229"/>
      <c r="AN39" s="229"/>
      <c r="AO39" s="229"/>
      <c r="AP39" s="229"/>
      <c r="AQ39" s="229"/>
      <c r="AR39" s="229"/>
      <c r="AS39" s="229"/>
      <c r="AT39" s="229"/>
      <c r="AU39" s="229"/>
      <c r="AV39" s="229"/>
      <c r="AW39" s="229"/>
      <c r="AX39" s="229"/>
      <c r="AY39" s="230"/>
      <c r="BD39" s="3"/>
      <c r="BE39" s="3"/>
      <c r="BF39" s="3"/>
      <c r="BG39" s="3"/>
      <c r="BH39" s="3"/>
      <c r="BI39" s="3"/>
      <c r="BJ39" s="3"/>
      <c r="BK39" s="3"/>
      <c r="BL39" s="3"/>
      <c r="BM39" s="3"/>
      <c r="BN39" s="3"/>
      <c r="BO39" s="3"/>
      <c r="BP39" s="3"/>
      <c r="BQ39" s="3"/>
      <c r="BR39" s="3"/>
      <c r="BS39" s="3"/>
      <c r="BT39" s="3"/>
      <c r="BU39" s="3"/>
      <c r="BV39" s="3"/>
      <c r="BW39" s="3"/>
      <c r="BX39" s="3"/>
      <c r="BY39" s="3"/>
      <c r="BZ39" s="3"/>
    </row>
    <row r="40" spans="2:98" ht="79.5" customHeight="1" x14ac:dyDescent="0.45">
      <c r="B40" s="214" t="s">
        <v>93</v>
      </c>
      <c r="C40" s="41"/>
      <c r="D40" s="41"/>
      <c r="E40" s="41"/>
      <c r="F40" s="41"/>
      <c r="G40" s="42"/>
      <c r="H40" s="42" t="s">
        <v>23</v>
      </c>
      <c r="I40" s="35"/>
      <c r="J40" s="231">
        <v>2023</v>
      </c>
      <c r="K40" s="232"/>
      <c r="L40" s="232"/>
      <c r="M40" s="233"/>
      <c r="N40" s="37" t="s">
        <v>24</v>
      </c>
      <c r="O40" s="36">
        <v>9</v>
      </c>
      <c r="P40" s="36"/>
      <c r="Q40" s="36"/>
      <c r="R40" s="36"/>
      <c r="S40" s="37" t="s">
        <v>25</v>
      </c>
      <c r="T40" s="36">
        <v>20</v>
      </c>
      <c r="U40" s="36"/>
      <c r="V40" s="36"/>
      <c r="W40" s="36"/>
      <c r="X40" s="234" t="s">
        <v>26</v>
      </c>
      <c r="Y40" s="235" t="s">
        <v>94</v>
      </c>
      <c r="Z40" s="236"/>
      <c r="AA40" s="236"/>
      <c r="AB40" s="236"/>
      <c r="AC40" s="236"/>
      <c r="AD40" s="236"/>
      <c r="AE40" s="236"/>
      <c r="AF40" s="236"/>
      <c r="AG40" s="236"/>
      <c r="AH40" s="236"/>
      <c r="AI40" s="236"/>
      <c r="AJ40" s="236"/>
      <c r="AK40" s="236"/>
      <c r="AL40" s="236"/>
      <c r="AM40" s="236"/>
      <c r="AN40" s="236"/>
      <c r="AO40" s="236"/>
      <c r="AP40" s="236"/>
      <c r="AQ40" s="236"/>
      <c r="AR40" s="236"/>
      <c r="AS40" s="236"/>
      <c r="AT40" s="236"/>
      <c r="AU40" s="236"/>
      <c r="AV40" s="236"/>
      <c r="AW40" s="236"/>
      <c r="AX40" s="236"/>
      <c r="AY40" s="237"/>
      <c r="BK40" s="3"/>
    </row>
    <row r="41" spans="2:98" ht="72.75" customHeight="1" x14ac:dyDescent="0.45">
      <c r="B41" s="116" t="s">
        <v>95</v>
      </c>
      <c r="C41" s="41"/>
      <c r="D41" s="41"/>
      <c r="E41" s="41"/>
      <c r="F41" s="41"/>
      <c r="G41" s="42"/>
      <c r="H41" s="72" t="s">
        <v>23</v>
      </c>
      <c r="I41" s="238"/>
      <c r="J41" s="231">
        <v>2023</v>
      </c>
      <c r="K41" s="232"/>
      <c r="L41" s="232"/>
      <c r="M41" s="233"/>
      <c r="N41" s="239" t="s">
        <v>24</v>
      </c>
      <c r="O41" s="36">
        <v>9</v>
      </c>
      <c r="P41" s="36"/>
      <c r="Q41" s="36"/>
      <c r="R41" s="36"/>
      <c r="S41" s="239" t="s">
        <v>25</v>
      </c>
      <c r="T41" s="36">
        <v>22</v>
      </c>
      <c r="U41" s="36"/>
      <c r="V41" s="36"/>
      <c r="W41" s="36"/>
      <c r="X41" s="240" t="s">
        <v>26</v>
      </c>
      <c r="Y41" s="241"/>
      <c r="Z41" s="242"/>
      <c r="AA41" s="242"/>
      <c r="AB41" s="242"/>
      <c r="AC41" s="242"/>
      <c r="AD41" s="242"/>
      <c r="AE41" s="242"/>
      <c r="AF41" s="242"/>
      <c r="AG41" s="242"/>
      <c r="AH41" s="242"/>
      <c r="AI41" s="242"/>
      <c r="AJ41" s="242"/>
      <c r="AK41" s="242"/>
      <c r="AL41" s="242"/>
      <c r="AM41" s="242"/>
      <c r="AN41" s="242"/>
      <c r="AO41" s="242"/>
      <c r="AP41" s="242"/>
      <c r="AQ41" s="242"/>
      <c r="AR41" s="242"/>
      <c r="AS41" s="242"/>
      <c r="AT41" s="242"/>
      <c r="AU41" s="242"/>
      <c r="AV41" s="242"/>
      <c r="AW41" s="242"/>
      <c r="AX41" s="242"/>
      <c r="AY41" s="243"/>
      <c r="BK41" s="3"/>
    </row>
    <row r="42" spans="2:98" ht="50.1" customHeight="1" x14ac:dyDescent="0.45">
      <c r="B42" s="214" t="s">
        <v>96</v>
      </c>
      <c r="C42" s="244"/>
      <c r="D42" s="244"/>
      <c r="E42" s="244"/>
      <c r="F42" s="244"/>
      <c r="G42" s="245"/>
      <c r="H42" s="72" t="s">
        <v>23</v>
      </c>
      <c r="I42" s="238"/>
      <c r="J42" s="231"/>
      <c r="K42" s="232"/>
      <c r="L42" s="232"/>
      <c r="M42" s="233"/>
      <c r="N42" s="239" t="s">
        <v>24</v>
      </c>
      <c r="O42" s="36"/>
      <c r="P42" s="36"/>
      <c r="Q42" s="36"/>
      <c r="R42" s="36"/>
      <c r="S42" s="239" t="s">
        <v>25</v>
      </c>
      <c r="T42" s="36"/>
      <c r="U42" s="36"/>
      <c r="V42" s="36"/>
      <c r="W42" s="36"/>
      <c r="X42" s="240" t="s">
        <v>26</v>
      </c>
      <c r="Y42" s="246"/>
      <c r="Z42" s="247"/>
      <c r="AA42" s="247"/>
      <c r="AB42" s="247"/>
      <c r="AC42" s="247"/>
      <c r="AD42" s="247"/>
      <c r="AE42" s="247"/>
      <c r="AF42" s="247"/>
      <c r="AG42" s="247"/>
      <c r="AH42" s="247"/>
      <c r="AI42" s="247"/>
      <c r="AJ42" s="247"/>
      <c r="AK42" s="247"/>
      <c r="AL42" s="247"/>
      <c r="AM42" s="247"/>
      <c r="AN42" s="247"/>
      <c r="AO42" s="247"/>
      <c r="AP42" s="247"/>
      <c r="AQ42" s="247"/>
      <c r="AR42" s="247"/>
      <c r="AS42" s="247"/>
      <c r="AT42" s="247"/>
      <c r="AU42" s="247"/>
      <c r="AV42" s="247"/>
      <c r="AW42" s="247"/>
      <c r="AX42" s="247"/>
      <c r="AY42" s="248"/>
      <c r="BK42" s="3"/>
    </row>
    <row r="43" spans="2:98" ht="15" customHeight="1" x14ac:dyDescent="0.45">
      <c r="B43" s="70" t="s">
        <v>97</v>
      </c>
      <c r="C43" s="71"/>
      <c r="D43" s="71"/>
      <c r="E43" s="71"/>
      <c r="F43" s="71"/>
      <c r="G43" s="72"/>
      <c r="H43" s="106" t="s">
        <v>42</v>
      </c>
      <c r="I43" s="107"/>
      <c r="J43" s="107"/>
      <c r="K43" s="117" t="s">
        <v>46</v>
      </c>
      <c r="L43" s="117"/>
      <c r="M43" s="117"/>
      <c r="N43" s="117"/>
      <c r="O43" s="117"/>
      <c r="P43" s="117"/>
      <c r="Q43" s="117"/>
      <c r="R43" s="117"/>
      <c r="S43" s="117"/>
      <c r="T43" s="117"/>
      <c r="U43" s="117"/>
      <c r="V43" s="117"/>
      <c r="W43" s="117"/>
      <c r="X43" s="118"/>
      <c r="Y43" s="103"/>
      <c r="Z43" s="104"/>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2"/>
      <c r="BK43" s="3"/>
    </row>
    <row r="44" spans="2:98" ht="15" customHeight="1" x14ac:dyDescent="0.45">
      <c r="B44" s="79"/>
      <c r="C44" s="80"/>
      <c r="D44" s="80"/>
      <c r="E44" s="80"/>
      <c r="F44" s="80"/>
      <c r="G44" s="81"/>
      <c r="H44" s="119" t="s">
        <v>34</v>
      </c>
      <c r="I44" s="249"/>
      <c r="J44" s="250"/>
      <c r="K44" s="250"/>
      <c r="L44" s="250"/>
      <c r="M44" s="250"/>
      <c r="N44" s="250"/>
      <c r="O44" s="250"/>
      <c r="P44" s="251"/>
      <c r="Q44" s="50" t="s">
        <v>29</v>
      </c>
      <c r="R44" s="50"/>
      <c r="S44" s="50"/>
      <c r="T44" s="120"/>
      <c r="U44" s="120"/>
      <c r="V44" s="120"/>
      <c r="W44" s="120"/>
      <c r="X44" s="120"/>
      <c r="Y44" s="120"/>
      <c r="Z44" s="120"/>
      <c r="AA44" s="120"/>
      <c r="AB44" s="120"/>
      <c r="AC44" s="120"/>
      <c r="AD44" s="120"/>
      <c r="AE44" s="120"/>
      <c r="AF44" s="120"/>
      <c r="AG44" s="120"/>
      <c r="AH44" s="120"/>
      <c r="AI44" s="120"/>
      <c r="AJ44" s="120"/>
      <c r="AK44" s="120"/>
      <c r="AL44" s="120"/>
      <c r="AM44" s="120"/>
      <c r="AN44" s="120"/>
      <c r="AO44" s="120"/>
      <c r="AP44" s="120"/>
      <c r="AQ44" s="120"/>
      <c r="AR44" s="120"/>
      <c r="AS44" s="120"/>
      <c r="AT44" s="120"/>
      <c r="AU44" s="120"/>
      <c r="AV44" s="120"/>
      <c r="AW44" s="120"/>
      <c r="AX44" s="120"/>
      <c r="AY44" s="120"/>
      <c r="BK44" s="3"/>
    </row>
    <row r="45" spans="2:98" ht="15" customHeight="1" x14ac:dyDescent="0.45">
      <c r="B45" s="79"/>
      <c r="C45" s="80"/>
      <c r="D45" s="80"/>
      <c r="E45" s="80"/>
      <c r="F45" s="80"/>
      <c r="G45" s="81"/>
      <c r="H45" s="82" t="s">
        <v>37</v>
      </c>
      <c r="I45" s="83"/>
      <c r="J45" s="84"/>
      <c r="K45" s="11"/>
      <c r="L45" s="12"/>
      <c r="M45" s="12"/>
      <c r="N45" s="12"/>
      <c r="O45" s="12"/>
      <c r="P45" s="85"/>
      <c r="Q45" s="86" t="s">
        <v>39</v>
      </c>
      <c r="R45" s="87"/>
      <c r="S45" s="88"/>
      <c r="T45" s="89"/>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1"/>
    </row>
    <row r="46" spans="2:98" ht="15" customHeight="1" x14ac:dyDescent="0.45">
      <c r="B46" s="79"/>
      <c r="C46" s="80"/>
      <c r="D46" s="80"/>
      <c r="E46" s="80"/>
      <c r="F46" s="80"/>
      <c r="G46" s="81"/>
      <c r="H46" s="93"/>
      <c r="I46" s="94"/>
      <c r="J46" s="95"/>
      <c r="K46" s="16"/>
      <c r="L46" s="17"/>
      <c r="M46" s="17"/>
      <c r="N46" s="17"/>
      <c r="O46" s="17"/>
      <c r="P46" s="96"/>
      <c r="Q46" s="97"/>
      <c r="R46" s="98"/>
      <c r="S46" s="99"/>
      <c r="T46" s="100"/>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2"/>
    </row>
    <row r="47" spans="2:98" ht="15" customHeight="1" x14ac:dyDescent="0.45">
      <c r="B47" s="103"/>
      <c r="C47" s="104"/>
      <c r="D47" s="104"/>
      <c r="E47" s="104"/>
      <c r="F47" s="104"/>
      <c r="G47" s="105"/>
      <c r="H47" s="107" t="s">
        <v>98</v>
      </c>
      <c r="I47" s="107"/>
      <c r="J47" s="108" t="s">
        <v>43</v>
      </c>
      <c r="K47" s="108"/>
      <c r="L47" s="108"/>
      <c r="M47" s="108"/>
      <c r="N47" s="108"/>
      <c r="O47" s="108"/>
      <c r="P47" s="109"/>
      <c r="Q47" s="110" t="s">
        <v>44</v>
      </c>
      <c r="R47" s="111"/>
      <c r="S47" s="112"/>
      <c r="T47" s="113"/>
      <c r="U47" s="114"/>
      <c r="V47" s="114"/>
      <c r="W47" s="114"/>
      <c r="X47" s="114"/>
      <c r="Y47" s="114"/>
      <c r="Z47" s="114"/>
      <c r="AA47" s="114"/>
      <c r="AB47" s="114"/>
      <c r="AC47" s="114"/>
      <c r="AD47" s="114"/>
      <c r="AE47" s="114"/>
      <c r="AF47" s="114"/>
      <c r="AG47" s="114"/>
      <c r="AH47" s="114"/>
      <c r="AI47" s="114"/>
      <c r="AJ47" s="114"/>
      <c r="AK47" s="114"/>
      <c r="AL47" s="114"/>
      <c r="AM47" s="114"/>
      <c r="AN47" s="114"/>
      <c r="AO47" s="114"/>
      <c r="AP47" s="114"/>
      <c r="AQ47" s="114"/>
      <c r="AR47" s="114"/>
      <c r="AS47" s="114"/>
      <c r="AT47" s="114"/>
      <c r="AU47" s="114"/>
      <c r="AV47" s="114"/>
      <c r="AW47" s="114"/>
      <c r="AX47" s="114"/>
      <c r="AY47" s="115"/>
    </row>
    <row r="48" spans="2:98" s="24" customFormat="1" ht="15.75" customHeight="1" x14ac:dyDescent="0.45">
      <c r="B48" s="129" t="s">
        <v>99</v>
      </c>
      <c r="C48" s="71"/>
      <c r="D48" s="71"/>
      <c r="E48" s="71"/>
      <c r="F48" s="71"/>
      <c r="G48" s="72"/>
      <c r="H48" s="106" t="s">
        <v>47</v>
      </c>
      <c r="I48" s="107"/>
      <c r="J48" s="107"/>
      <c r="K48" s="117" t="s">
        <v>100</v>
      </c>
      <c r="L48" s="117"/>
      <c r="M48" s="117"/>
      <c r="N48" s="117"/>
      <c r="O48" s="117"/>
      <c r="P48" s="117"/>
      <c r="Q48" s="117"/>
      <c r="R48" s="117"/>
      <c r="S48" s="117"/>
      <c r="T48" s="117"/>
      <c r="U48" s="117"/>
      <c r="V48" s="117"/>
      <c r="W48" s="117"/>
      <c r="X48" s="118"/>
      <c r="Y48" s="116"/>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2"/>
      <c r="AZ48" s="3"/>
      <c r="BA48" s="3"/>
      <c r="BC48" s="3" t="s">
        <v>101</v>
      </c>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row>
    <row r="49" spans="2:120" s="24" customFormat="1" ht="13.5" customHeight="1" x14ac:dyDescent="0.45">
      <c r="B49" s="79"/>
      <c r="C49" s="80"/>
      <c r="D49" s="80"/>
      <c r="E49" s="80"/>
      <c r="F49" s="80"/>
      <c r="G49" s="81"/>
      <c r="H49" s="119" t="s">
        <v>34</v>
      </c>
      <c r="I49" s="252"/>
      <c r="J49" s="253"/>
      <c r="K49" s="253"/>
      <c r="L49" s="254" t="s">
        <v>102</v>
      </c>
      <c r="M49" s="255"/>
      <c r="N49" s="255"/>
      <c r="O49" s="255"/>
      <c r="P49" s="256"/>
      <c r="Q49" s="50" t="s">
        <v>29</v>
      </c>
      <c r="R49" s="50"/>
      <c r="S49" s="5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3"/>
      <c r="BA49" s="3"/>
      <c r="BC49" s="257" t="s">
        <v>34</v>
      </c>
      <c r="BD49" s="258">
        <v>460</v>
      </c>
      <c r="BE49" s="258"/>
      <c r="BF49" s="259"/>
      <c r="BG49" s="260" t="s">
        <v>102</v>
      </c>
      <c r="BH49" s="261" t="s">
        <v>103</v>
      </c>
      <c r="BI49" s="262"/>
      <c r="BJ49" s="262"/>
      <c r="BK49" s="262"/>
      <c r="BL49" s="263" t="s">
        <v>29</v>
      </c>
      <c r="BM49" s="263"/>
      <c r="BN49" s="263"/>
      <c r="BO49" s="264" t="s">
        <v>104</v>
      </c>
      <c r="BP49" s="264"/>
      <c r="BQ49" s="264"/>
      <c r="BR49" s="264"/>
      <c r="BS49" s="264"/>
      <c r="BT49" s="264"/>
      <c r="BU49" s="264"/>
      <c r="BV49" s="264"/>
      <c r="BW49" s="264"/>
      <c r="BX49" s="264"/>
      <c r="BY49" s="264"/>
      <c r="BZ49" s="264"/>
      <c r="CA49" s="264"/>
      <c r="CB49" s="264"/>
      <c r="CC49" s="264"/>
      <c r="CD49" s="264"/>
      <c r="CE49" s="264"/>
      <c r="CF49" s="264"/>
      <c r="CG49" s="264"/>
      <c r="CH49" s="264"/>
      <c r="CI49" s="264"/>
      <c r="CJ49" s="264"/>
      <c r="CK49" s="264"/>
      <c r="CL49" s="264"/>
      <c r="CM49" s="264"/>
      <c r="CN49" s="264"/>
      <c r="CO49" s="264"/>
      <c r="CP49" s="264"/>
      <c r="CQ49" s="264"/>
      <c r="CR49" s="264"/>
      <c r="CS49" s="264"/>
      <c r="CT49" s="264"/>
    </row>
    <row r="50" spans="2:120" s="24" customFormat="1" x14ac:dyDescent="0.45">
      <c r="B50" s="79"/>
      <c r="C50" s="80"/>
      <c r="D50" s="80"/>
      <c r="E50" s="80"/>
      <c r="F50" s="80"/>
      <c r="G50" s="81"/>
      <c r="H50" s="82" t="s">
        <v>37</v>
      </c>
      <c r="I50" s="83"/>
      <c r="J50" s="84"/>
      <c r="K50" s="265" t="s">
        <v>38</v>
      </c>
      <c r="L50" s="266"/>
      <c r="M50" s="266"/>
      <c r="N50" s="266"/>
      <c r="O50" s="266"/>
      <c r="P50" s="267"/>
      <c r="Q50" s="86" t="s">
        <v>105</v>
      </c>
      <c r="R50" s="87"/>
      <c r="S50" s="88"/>
      <c r="T50" s="268" t="s">
        <v>106</v>
      </c>
      <c r="U50" s="269"/>
      <c r="V50" s="269"/>
      <c r="W50" s="269"/>
      <c r="X50" s="269"/>
      <c r="Y50" s="269"/>
      <c r="Z50" s="269"/>
      <c r="AA50" s="270"/>
      <c r="AB50" s="86" t="s">
        <v>107</v>
      </c>
      <c r="AC50" s="271"/>
      <c r="AD50" s="272"/>
      <c r="AE50" s="268" t="s">
        <v>108</v>
      </c>
      <c r="AF50" s="269"/>
      <c r="AG50" s="269"/>
      <c r="AH50" s="269"/>
      <c r="AI50" s="269"/>
      <c r="AJ50" s="269"/>
      <c r="AK50" s="269"/>
      <c r="AL50" s="269"/>
      <c r="AM50" s="269"/>
      <c r="AN50" s="269"/>
      <c r="AO50" s="269"/>
      <c r="AP50" s="269"/>
      <c r="AQ50" s="269"/>
      <c r="AR50" s="269"/>
      <c r="AS50" s="269"/>
      <c r="AT50" s="269"/>
      <c r="AU50" s="269"/>
      <c r="AV50" s="269"/>
      <c r="AW50" s="269"/>
      <c r="AX50" s="269"/>
      <c r="AY50" s="270"/>
      <c r="AZ50" s="3"/>
      <c r="BA50" s="3"/>
      <c r="BC50" s="273" t="s">
        <v>37</v>
      </c>
      <c r="BD50" s="273"/>
      <c r="BE50" s="273"/>
      <c r="BF50" s="274" t="s">
        <v>109</v>
      </c>
      <c r="BG50" s="274"/>
      <c r="BH50" s="274"/>
      <c r="BI50" s="274"/>
      <c r="BJ50" s="274"/>
      <c r="BK50" s="274"/>
      <c r="BL50" s="275" t="s">
        <v>105</v>
      </c>
      <c r="BM50" s="276"/>
      <c r="BN50" s="276"/>
      <c r="BO50" s="277" t="s">
        <v>110</v>
      </c>
      <c r="BP50" s="277"/>
      <c r="BQ50" s="277"/>
      <c r="BR50" s="277"/>
      <c r="BS50" s="277"/>
      <c r="BT50" s="277"/>
      <c r="BU50" s="277"/>
      <c r="BV50" s="277"/>
      <c r="BW50" s="275" t="s">
        <v>107</v>
      </c>
      <c r="BX50" s="275"/>
      <c r="BY50" s="275"/>
      <c r="BZ50" s="277" t="s">
        <v>111</v>
      </c>
      <c r="CA50" s="277"/>
      <c r="CB50" s="277"/>
      <c r="CC50" s="277"/>
      <c r="CD50" s="277"/>
      <c r="CE50" s="277"/>
      <c r="CF50" s="277"/>
      <c r="CG50" s="277"/>
      <c r="CH50" s="277"/>
      <c r="CI50" s="277"/>
      <c r="CJ50" s="277"/>
      <c r="CK50" s="277"/>
      <c r="CL50" s="277"/>
      <c r="CM50" s="277"/>
      <c r="CN50" s="277"/>
      <c r="CO50" s="277"/>
      <c r="CP50" s="277"/>
      <c r="CQ50" s="277"/>
      <c r="CR50" s="277"/>
      <c r="CS50" s="277"/>
      <c r="CT50" s="277"/>
    </row>
    <row r="51" spans="2:120" s="24" customFormat="1" ht="10.5" customHeight="1" x14ac:dyDescent="0.45">
      <c r="B51" s="79"/>
      <c r="C51" s="80"/>
      <c r="D51" s="80"/>
      <c r="E51" s="80"/>
      <c r="F51" s="80"/>
      <c r="G51" s="81"/>
      <c r="H51" s="93"/>
      <c r="I51" s="94"/>
      <c r="J51" s="95"/>
      <c r="K51" s="278"/>
      <c r="L51" s="279"/>
      <c r="M51" s="279"/>
      <c r="N51" s="279"/>
      <c r="O51" s="279"/>
      <c r="P51" s="280"/>
      <c r="Q51" s="97"/>
      <c r="R51" s="98"/>
      <c r="S51" s="99"/>
      <c r="T51" s="281"/>
      <c r="U51" s="282"/>
      <c r="V51" s="282"/>
      <c r="W51" s="282"/>
      <c r="X51" s="282"/>
      <c r="Y51" s="282"/>
      <c r="Z51" s="282"/>
      <c r="AA51" s="283"/>
      <c r="AB51" s="284"/>
      <c r="AC51" s="285"/>
      <c r="AD51" s="286"/>
      <c r="AE51" s="281"/>
      <c r="AF51" s="282"/>
      <c r="AG51" s="282"/>
      <c r="AH51" s="282"/>
      <c r="AI51" s="282"/>
      <c r="AJ51" s="282"/>
      <c r="AK51" s="282"/>
      <c r="AL51" s="282"/>
      <c r="AM51" s="282"/>
      <c r="AN51" s="282"/>
      <c r="AO51" s="282"/>
      <c r="AP51" s="282"/>
      <c r="AQ51" s="282"/>
      <c r="AR51" s="282"/>
      <c r="AS51" s="282"/>
      <c r="AT51" s="282"/>
      <c r="AU51" s="282"/>
      <c r="AV51" s="282"/>
      <c r="AW51" s="282"/>
      <c r="AX51" s="282"/>
      <c r="AY51" s="283"/>
      <c r="AZ51" s="3"/>
      <c r="BA51" s="3"/>
      <c r="BC51" s="273"/>
      <c r="BD51" s="273"/>
      <c r="BE51" s="273"/>
      <c r="BF51" s="274"/>
      <c r="BG51" s="274"/>
      <c r="BH51" s="274"/>
      <c r="BI51" s="274"/>
      <c r="BJ51" s="274"/>
      <c r="BK51" s="274"/>
      <c r="BL51" s="276"/>
      <c r="BM51" s="276"/>
      <c r="BN51" s="276"/>
      <c r="BO51" s="277"/>
      <c r="BP51" s="277"/>
      <c r="BQ51" s="277"/>
      <c r="BR51" s="277"/>
      <c r="BS51" s="277"/>
      <c r="BT51" s="277"/>
      <c r="BU51" s="277"/>
      <c r="BV51" s="277"/>
      <c r="BW51" s="275"/>
      <c r="BX51" s="275"/>
      <c r="BY51" s="275"/>
      <c r="BZ51" s="277"/>
      <c r="CA51" s="277"/>
      <c r="CB51" s="277"/>
      <c r="CC51" s="277"/>
      <c r="CD51" s="277"/>
      <c r="CE51" s="277"/>
      <c r="CF51" s="277"/>
      <c r="CG51" s="277"/>
      <c r="CH51" s="277"/>
      <c r="CI51" s="277"/>
      <c r="CJ51" s="277"/>
      <c r="CK51" s="277"/>
      <c r="CL51" s="277"/>
      <c r="CM51" s="277"/>
      <c r="CN51" s="277"/>
      <c r="CO51" s="277"/>
      <c r="CP51" s="277"/>
      <c r="CQ51" s="277"/>
      <c r="CR51" s="277"/>
      <c r="CS51" s="277"/>
      <c r="CT51" s="277"/>
    </row>
    <row r="52" spans="2:120" ht="16.5" customHeight="1" x14ac:dyDescent="0.45">
      <c r="B52" s="79"/>
      <c r="C52" s="80"/>
      <c r="D52" s="80"/>
      <c r="E52" s="80"/>
      <c r="F52" s="80"/>
      <c r="G52" s="81"/>
      <c r="H52" s="107" t="s">
        <v>47</v>
      </c>
      <c r="I52" s="107"/>
      <c r="J52" s="108" t="s">
        <v>43</v>
      </c>
      <c r="K52" s="108"/>
      <c r="L52" s="108"/>
      <c r="M52" s="108"/>
      <c r="N52" s="108"/>
      <c r="O52" s="108"/>
      <c r="P52" s="109"/>
      <c r="Q52" s="110" t="s">
        <v>44</v>
      </c>
      <c r="R52" s="111"/>
      <c r="S52" s="112"/>
      <c r="T52" s="113"/>
      <c r="U52" s="114"/>
      <c r="V52" s="114"/>
      <c r="W52" s="114"/>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4"/>
      <c r="AY52" s="115"/>
      <c r="BC52" s="287" t="s">
        <v>47</v>
      </c>
      <c r="BD52" s="287"/>
      <c r="BE52" s="264" t="s">
        <v>43</v>
      </c>
      <c r="BF52" s="264"/>
      <c r="BG52" s="264"/>
      <c r="BH52" s="264"/>
      <c r="BI52" s="264"/>
      <c r="BJ52" s="264"/>
      <c r="BK52" s="264"/>
      <c r="BL52" s="288" t="s">
        <v>44</v>
      </c>
      <c r="BM52" s="288"/>
      <c r="BN52" s="288"/>
      <c r="BO52" s="289" t="s">
        <v>112</v>
      </c>
      <c r="BP52" s="289"/>
      <c r="BQ52" s="289"/>
      <c r="BR52" s="289"/>
      <c r="BS52" s="289"/>
      <c r="BT52" s="289"/>
      <c r="BU52" s="289"/>
      <c r="BV52" s="289"/>
      <c r="BW52" s="289"/>
      <c r="BX52" s="289"/>
      <c r="BY52" s="289"/>
      <c r="BZ52" s="289"/>
      <c r="CA52" s="289"/>
      <c r="CB52" s="289"/>
      <c r="CC52" s="289"/>
      <c r="CD52" s="289"/>
      <c r="CE52" s="289"/>
      <c r="CF52" s="289"/>
      <c r="CG52" s="289"/>
      <c r="CH52" s="289"/>
      <c r="CI52" s="289"/>
      <c r="CJ52" s="289"/>
      <c r="CK52" s="289"/>
      <c r="CL52" s="289"/>
      <c r="CM52" s="289"/>
      <c r="CN52" s="289"/>
      <c r="CO52" s="289"/>
      <c r="CP52" s="289"/>
      <c r="CQ52" s="289"/>
      <c r="CR52" s="289"/>
      <c r="CS52" s="289"/>
      <c r="CT52" s="289"/>
    </row>
    <row r="53" spans="2:120" ht="18.75" customHeight="1" x14ac:dyDescent="0.45">
      <c r="B53" s="79"/>
      <c r="C53" s="80"/>
      <c r="D53" s="80"/>
      <c r="E53" s="80"/>
      <c r="F53" s="80"/>
      <c r="G53" s="81"/>
      <c r="H53" s="129" t="s">
        <v>113</v>
      </c>
      <c r="I53" s="130"/>
      <c r="J53" s="130"/>
      <c r="K53" s="130"/>
      <c r="L53" s="130"/>
      <c r="M53" s="131"/>
      <c r="N53" s="132" t="s">
        <v>114</v>
      </c>
      <c r="O53" s="133"/>
      <c r="P53" s="133"/>
      <c r="Q53" s="133"/>
      <c r="R53" s="133"/>
      <c r="S53" s="133"/>
      <c r="T53" s="133"/>
      <c r="U53" s="133"/>
      <c r="V53" s="133"/>
      <c r="W53" s="133"/>
      <c r="X53" s="133"/>
      <c r="Y53" s="133"/>
      <c r="Z53" s="133"/>
      <c r="AA53" s="133"/>
      <c r="AB53" s="134"/>
      <c r="AC53" s="49" t="s">
        <v>115</v>
      </c>
      <c r="AD53" s="49"/>
      <c r="AE53" s="49"/>
      <c r="AF53" s="49"/>
      <c r="AG53" s="49"/>
      <c r="AH53" s="49"/>
      <c r="AI53" s="135" t="s">
        <v>29</v>
      </c>
      <c r="AJ53" s="136"/>
      <c r="AK53" s="137"/>
      <c r="AL53" s="138" t="s">
        <v>116</v>
      </c>
      <c r="AM53" s="139"/>
      <c r="AN53" s="139"/>
      <c r="AO53" s="139"/>
      <c r="AP53" s="139"/>
      <c r="AQ53" s="139"/>
      <c r="AR53" s="139"/>
      <c r="AS53" s="139"/>
      <c r="AT53" s="139"/>
      <c r="AU53" s="139"/>
      <c r="AV53" s="139"/>
      <c r="AW53" s="139"/>
      <c r="AX53" s="139"/>
      <c r="AY53" s="140"/>
      <c r="AZ53" s="24"/>
      <c r="BA53" s="24"/>
      <c r="BC53" s="290" t="s">
        <v>113</v>
      </c>
      <c r="BD53" s="290"/>
      <c r="BE53" s="290"/>
      <c r="BF53" s="290"/>
      <c r="BG53" s="290"/>
      <c r="BH53" s="290"/>
      <c r="BI53" s="291" t="s">
        <v>117</v>
      </c>
      <c r="BJ53" s="292"/>
      <c r="BK53" s="292"/>
      <c r="BL53" s="292"/>
      <c r="BM53" s="292"/>
      <c r="BN53" s="292"/>
      <c r="BO53" s="292"/>
      <c r="BP53" s="292"/>
      <c r="BQ53" s="292"/>
      <c r="BR53" s="292"/>
      <c r="BS53" s="292"/>
      <c r="BT53" s="292"/>
      <c r="BU53" s="292"/>
      <c r="BV53" s="292"/>
      <c r="BW53" s="292"/>
      <c r="BX53" s="290" t="s">
        <v>115</v>
      </c>
      <c r="BY53" s="290"/>
      <c r="BZ53" s="290"/>
      <c r="CA53" s="290"/>
      <c r="CB53" s="290"/>
      <c r="CC53" s="290"/>
      <c r="CD53" s="276" t="s">
        <v>29</v>
      </c>
      <c r="CE53" s="276"/>
      <c r="CF53" s="276"/>
      <c r="CG53" s="293" t="s">
        <v>118</v>
      </c>
      <c r="CH53" s="293"/>
      <c r="CI53" s="293"/>
      <c r="CJ53" s="293"/>
      <c r="CK53" s="293"/>
      <c r="CL53" s="293"/>
      <c r="CM53" s="293"/>
      <c r="CN53" s="293"/>
      <c r="CO53" s="293"/>
      <c r="CP53" s="293"/>
      <c r="CQ53" s="293"/>
      <c r="CR53" s="293"/>
      <c r="CS53" s="293"/>
      <c r="CT53" s="293"/>
    </row>
    <row r="54" spans="2:120" ht="12.75" customHeight="1" x14ac:dyDescent="0.45">
      <c r="B54" s="79"/>
      <c r="C54" s="80"/>
      <c r="D54" s="80"/>
      <c r="E54" s="80"/>
      <c r="F54" s="80"/>
      <c r="G54" s="81"/>
      <c r="H54" s="141"/>
      <c r="I54" s="142"/>
      <c r="J54" s="142"/>
      <c r="K54" s="142"/>
      <c r="L54" s="142"/>
      <c r="M54" s="143"/>
      <c r="N54" s="144"/>
      <c r="O54" s="145"/>
      <c r="P54" s="145"/>
      <c r="Q54" s="145"/>
      <c r="R54" s="145"/>
      <c r="S54" s="145"/>
      <c r="T54" s="145"/>
      <c r="U54" s="145"/>
      <c r="V54" s="145"/>
      <c r="W54" s="145"/>
      <c r="X54" s="145"/>
      <c r="Y54" s="145"/>
      <c r="Z54" s="145"/>
      <c r="AA54" s="145"/>
      <c r="AB54" s="146"/>
      <c r="AC54" s="49"/>
      <c r="AD54" s="49"/>
      <c r="AE54" s="49"/>
      <c r="AF54" s="49"/>
      <c r="AG54" s="49"/>
      <c r="AH54" s="49"/>
      <c r="AI54" s="132" t="s">
        <v>119</v>
      </c>
      <c r="AJ54" s="133"/>
      <c r="AK54" s="133"/>
      <c r="AL54" s="133"/>
      <c r="AM54" s="133"/>
      <c r="AN54" s="133"/>
      <c r="AO54" s="133"/>
      <c r="AP54" s="133"/>
      <c r="AQ54" s="133"/>
      <c r="AR54" s="133"/>
      <c r="AS54" s="133"/>
      <c r="AT54" s="133"/>
      <c r="AU54" s="133"/>
      <c r="AV54" s="133"/>
      <c r="AW54" s="133"/>
      <c r="AX54" s="133"/>
      <c r="AY54" s="134"/>
      <c r="AZ54" s="24"/>
      <c r="BA54" s="24"/>
      <c r="BC54" s="290"/>
      <c r="BD54" s="290"/>
      <c r="BE54" s="290"/>
      <c r="BF54" s="290"/>
      <c r="BG54" s="290"/>
      <c r="BH54" s="290"/>
      <c r="BI54" s="292"/>
      <c r="BJ54" s="292"/>
      <c r="BK54" s="292"/>
      <c r="BL54" s="292"/>
      <c r="BM54" s="292"/>
      <c r="BN54" s="292"/>
      <c r="BO54" s="292"/>
      <c r="BP54" s="292"/>
      <c r="BQ54" s="292"/>
      <c r="BR54" s="292"/>
      <c r="BS54" s="292"/>
      <c r="BT54" s="292"/>
      <c r="BU54" s="292"/>
      <c r="BV54" s="292"/>
      <c r="BW54" s="292"/>
      <c r="BX54" s="290"/>
      <c r="BY54" s="290"/>
      <c r="BZ54" s="290"/>
      <c r="CA54" s="290"/>
      <c r="CB54" s="290"/>
      <c r="CC54" s="290"/>
      <c r="CD54" s="294" t="s">
        <v>120</v>
      </c>
      <c r="CE54" s="294"/>
      <c r="CF54" s="294"/>
      <c r="CG54" s="294"/>
      <c r="CH54" s="294"/>
      <c r="CI54" s="294"/>
      <c r="CJ54" s="294"/>
      <c r="CK54" s="294"/>
      <c r="CL54" s="294"/>
      <c r="CM54" s="294"/>
      <c r="CN54" s="294"/>
      <c r="CO54" s="294"/>
      <c r="CP54" s="294"/>
      <c r="CQ54" s="294"/>
      <c r="CR54" s="294"/>
      <c r="CS54" s="294"/>
      <c r="CT54" s="294"/>
    </row>
    <row r="55" spans="2:120" ht="15" customHeight="1" x14ac:dyDescent="0.45">
      <c r="B55" s="79"/>
      <c r="C55" s="80"/>
      <c r="D55" s="80"/>
      <c r="E55" s="80"/>
      <c r="F55" s="80"/>
      <c r="G55" s="81"/>
      <c r="H55" s="147"/>
      <c r="I55" s="148"/>
      <c r="J55" s="148"/>
      <c r="K55" s="148"/>
      <c r="L55" s="148"/>
      <c r="M55" s="149"/>
      <c r="N55" s="150"/>
      <c r="O55" s="151"/>
      <c r="P55" s="151"/>
      <c r="Q55" s="151"/>
      <c r="R55" s="151"/>
      <c r="S55" s="151"/>
      <c r="T55" s="151"/>
      <c r="U55" s="151"/>
      <c r="V55" s="151"/>
      <c r="W55" s="151"/>
      <c r="X55" s="151"/>
      <c r="Y55" s="151"/>
      <c r="Z55" s="151"/>
      <c r="AA55" s="151"/>
      <c r="AB55" s="152"/>
      <c r="AC55" s="49"/>
      <c r="AD55" s="49"/>
      <c r="AE55" s="49"/>
      <c r="AF55" s="49"/>
      <c r="AG55" s="49"/>
      <c r="AH55" s="49"/>
      <c r="AI55" s="150"/>
      <c r="AJ55" s="151"/>
      <c r="AK55" s="151"/>
      <c r="AL55" s="151"/>
      <c r="AM55" s="151"/>
      <c r="AN55" s="151"/>
      <c r="AO55" s="151"/>
      <c r="AP55" s="151"/>
      <c r="AQ55" s="151"/>
      <c r="AR55" s="151"/>
      <c r="AS55" s="151"/>
      <c r="AT55" s="151"/>
      <c r="AU55" s="151"/>
      <c r="AV55" s="151"/>
      <c r="AW55" s="151"/>
      <c r="AX55" s="151"/>
      <c r="AY55" s="152"/>
      <c r="AZ55" s="24"/>
      <c r="BA55" s="24"/>
      <c r="BC55" s="295"/>
      <c r="BD55" s="295"/>
      <c r="BE55" s="295"/>
      <c r="BF55" s="295"/>
      <c r="BG55" s="295"/>
      <c r="BH55" s="295"/>
      <c r="BI55" s="292"/>
      <c r="BJ55" s="292"/>
      <c r="BK55" s="292"/>
      <c r="BL55" s="292"/>
      <c r="BM55" s="292"/>
      <c r="BN55" s="292"/>
      <c r="BO55" s="292"/>
      <c r="BP55" s="292"/>
      <c r="BQ55" s="292"/>
      <c r="BR55" s="292"/>
      <c r="BS55" s="292"/>
      <c r="BT55" s="292"/>
      <c r="BU55" s="292"/>
      <c r="BV55" s="292"/>
      <c r="BW55" s="292"/>
      <c r="BX55" s="290"/>
      <c r="BY55" s="290"/>
      <c r="BZ55" s="290"/>
      <c r="CA55" s="290"/>
      <c r="CB55" s="290"/>
      <c r="CC55" s="290"/>
      <c r="CD55" s="294"/>
      <c r="CE55" s="294"/>
      <c r="CF55" s="294"/>
      <c r="CG55" s="294"/>
      <c r="CH55" s="294"/>
      <c r="CI55" s="294"/>
      <c r="CJ55" s="294"/>
      <c r="CK55" s="294"/>
      <c r="CL55" s="294"/>
      <c r="CM55" s="294"/>
      <c r="CN55" s="294"/>
      <c r="CO55" s="294"/>
      <c r="CP55" s="294"/>
      <c r="CQ55" s="294"/>
      <c r="CR55" s="294"/>
      <c r="CS55" s="294"/>
      <c r="CT55" s="294"/>
    </row>
    <row r="56" spans="2:120" ht="11.25" customHeight="1" x14ac:dyDescent="0.45">
      <c r="B56" s="79"/>
      <c r="C56" s="80"/>
      <c r="D56" s="80"/>
      <c r="E56" s="80"/>
      <c r="F56" s="80"/>
      <c r="G56" s="81"/>
      <c r="H56" s="129" t="s">
        <v>65</v>
      </c>
      <c r="I56" s="130"/>
      <c r="J56" s="130"/>
      <c r="K56" s="130"/>
      <c r="L56" s="130"/>
      <c r="M56" s="131"/>
      <c r="N56" s="296"/>
      <c r="O56" s="297"/>
      <c r="P56" s="297"/>
      <c r="Q56" s="297"/>
      <c r="R56" s="297"/>
      <c r="S56" s="297"/>
      <c r="T56" s="297"/>
      <c r="U56" s="297"/>
      <c r="V56" s="297"/>
      <c r="W56" s="297"/>
      <c r="X56" s="297"/>
      <c r="Y56" s="297"/>
      <c r="Z56" s="297"/>
      <c r="AA56" s="297"/>
      <c r="AB56" s="298"/>
      <c r="AC56" s="129" t="s">
        <v>121</v>
      </c>
      <c r="AD56" s="130"/>
      <c r="AE56" s="130"/>
      <c r="AF56" s="130"/>
      <c r="AG56" s="130"/>
      <c r="AH56" s="131"/>
      <c r="AI56" s="296"/>
      <c r="AJ56" s="297"/>
      <c r="AK56" s="297"/>
      <c r="AL56" s="297"/>
      <c r="AM56" s="297"/>
      <c r="AN56" s="297"/>
      <c r="AO56" s="297"/>
      <c r="AP56" s="297"/>
      <c r="AQ56" s="297"/>
      <c r="AR56" s="297"/>
      <c r="AS56" s="297"/>
      <c r="AT56" s="297"/>
      <c r="AU56" s="297"/>
      <c r="AV56" s="297"/>
      <c r="AW56" s="298"/>
      <c r="AX56" s="299"/>
      <c r="AY56" s="88"/>
      <c r="AZ56" s="24"/>
      <c r="BA56" s="24"/>
      <c r="BC56" s="300" t="s">
        <v>65</v>
      </c>
      <c r="BD56" s="301"/>
      <c r="BE56" s="301"/>
      <c r="BF56" s="301"/>
      <c r="BG56" s="301"/>
      <c r="BH56" s="302"/>
      <c r="BI56" s="303"/>
      <c r="BJ56" s="303"/>
      <c r="BK56" s="303"/>
      <c r="BL56" s="303"/>
      <c r="BM56" s="303"/>
      <c r="BN56" s="303"/>
      <c r="BO56" s="303"/>
      <c r="BP56" s="303"/>
      <c r="BQ56" s="303"/>
      <c r="BR56" s="303"/>
      <c r="BS56" s="303"/>
      <c r="BT56" s="303"/>
      <c r="BU56" s="303"/>
      <c r="BV56" s="303"/>
      <c r="BW56" s="304"/>
      <c r="BX56" s="305" t="s">
        <v>121</v>
      </c>
      <c r="BY56" s="306"/>
      <c r="BZ56" s="306"/>
      <c r="CA56" s="306"/>
      <c r="CB56" s="306"/>
      <c r="CC56" s="307"/>
      <c r="CD56" s="308"/>
      <c r="CE56" s="303"/>
      <c r="CF56" s="303"/>
      <c r="CG56" s="303"/>
      <c r="CH56" s="303"/>
      <c r="CI56" s="303"/>
      <c r="CJ56" s="303"/>
      <c r="CK56" s="303"/>
      <c r="CL56" s="303"/>
      <c r="CM56" s="303"/>
      <c r="CN56" s="303"/>
      <c r="CO56" s="303"/>
      <c r="CP56" s="303"/>
      <c r="CQ56" s="303"/>
      <c r="CR56" s="303"/>
      <c r="CS56" s="309"/>
      <c r="CT56" s="310"/>
    </row>
    <row r="57" spans="2:120" ht="18.75" customHeight="1" x14ac:dyDescent="0.45">
      <c r="B57" s="79"/>
      <c r="C57" s="80"/>
      <c r="D57" s="80"/>
      <c r="E57" s="80"/>
      <c r="F57" s="80"/>
      <c r="G57" s="81"/>
      <c r="H57" s="141"/>
      <c r="I57" s="142"/>
      <c r="J57" s="142"/>
      <c r="K57" s="142"/>
      <c r="L57" s="142"/>
      <c r="M57" s="143"/>
      <c r="N57" s="311" t="s">
        <v>67</v>
      </c>
      <c r="O57" s="312" t="s">
        <v>68</v>
      </c>
      <c r="P57" s="312"/>
      <c r="Q57" s="312"/>
      <c r="R57" s="313" t="s">
        <v>69</v>
      </c>
      <c r="S57" s="312" t="s">
        <v>122</v>
      </c>
      <c r="T57" s="312"/>
      <c r="U57" s="312"/>
      <c r="V57" s="312"/>
      <c r="W57" s="313" t="s">
        <v>71</v>
      </c>
      <c r="X57" s="312" t="s">
        <v>123</v>
      </c>
      <c r="Y57" s="312"/>
      <c r="Z57" s="312"/>
      <c r="AA57" s="312"/>
      <c r="AB57" s="314"/>
      <c r="AC57" s="141"/>
      <c r="AD57" s="142"/>
      <c r="AE57" s="142"/>
      <c r="AF57" s="142"/>
      <c r="AG57" s="142"/>
      <c r="AH57" s="143"/>
      <c r="AI57" s="311" t="s">
        <v>67</v>
      </c>
      <c r="AJ57" s="312"/>
      <c r="AK57" s="312"/>
      <c r="AL57" s="312"/>
      <c r="AM57" s="313" t="s">
        <v>69</v>
      </c>
      <c r="AN57" s="312"/>
      <c r="AO57" s="312"/>
      <c r="AP57" s="312"/>
      <c r="AQ57" s="312"/>
      <c r="AR57" s="313" t="s">
        <v>71</v>
      </c>
      <c r="AS57" s="312"/>
      <c r="AT57" s="312"/>
      <c r="AU57" s="312"/>
      <c r="AV57" s="312"/>
      <c r="AW57" s="314"/>
      <c r="AX57" s="315"/>
      <c r="AY57" s="316"/>
      <c r="AZ57" s="24"/>
      <c r="BA57" s="24"/>
      <c r="BC57" s="317"/>
      <c r="BD57" s="142"/>
      <c r="BE57" s="142"/>
      <c r="BF57" s="142"/>
      <c r="BG57" s="142"/>
      <c r="BH57" s="318"/>
      <c r="BI57" s="313" t="s">
        <v>67</v>
      </c>
      <c r="BJ57" s="319" t="s">
        <v>68</v>
      </c>
      <c r="BK57" s="319"/>
      <c r="BL57" s="319"/>
      <c r="BM57" s="313" t="s">
        <v>69</v>
      </c>
      <c r="BN57" s="319" t="s">
        <v>124</v>
      </c>
      <c r="BO57" s="319"/>
      <c r="BP57" s="319"/>
      <c r="BQ57" s="319"/>
      <c r="BR57" s="313" t="s">
        <v>71</v>
      </c>
      <c r="BS57" s="319" t="s">
        <v>125</v>
      </c>
      <c r="BT57" s="319"/>
      <c r="BU57" s="319"/>
      <c r="BV57" s="319"/>
      <c r="BW57" s="320"/>
      <c r="BX57" s="321"/>
      <c r="BY57" s="142"/>
      <c r="BZ57" s="142"/>
      <c r="CA57" s="142"/>
      <c r="CB57" s="142"/>
      <c r="CC57" s="322"/>
      <c r="CD57" s="323" t="s">
        <v>67</v>
      </c>
      <c r="CE57" s="319"/>
      <c r="CF57" s="319"/>
      <c r="CG57" s="319"/>
      <c r="CH57" s="313" t="s">
        <v>69</v>
      </c>
      <c r="CI57" s="319"/>
      <c r="CJ57" s="319"/>
      <c r="CK57" s="319"/>
      <c r="CL57" s="319"/>
      <c r="CM57" s="313" t="s">
        <v>71</v>
      </c>
      <c r="CN57" s="319"/>
      <c r="CO57" s="319"/>
      <c r="CP57" s="319"/>
      <c r="CQ57" s="319"/>
      <c r="CR57" s="319"/>
      <c r="CS57" s="324"/>
      <c r="CT57" s="325"/>
    </row>
    <row r="58" spans="2:120" s="56" customFormat="1" ht="6.75" customHeight="1" x14ac:dyDescent="0.45">
      <c r="B58" s="79"/>
      <c r="C58" s="80"/>
      <c r="D58" s="80"/>
      <c r="E58" s="80"/>
      <c r="F58" s="80"/>
      <c r="G58" s="81"/>
      <c r="H58" s="141"/>
      <c r="I58" s="142"/>
      <c r="J58" s="142"/>
      <c r="K58" s="142"/>
      <c r="L58" s="142"/>
      <c r="M58" s="143"/>
      <c r="N58" s="311"/>
      <c r="O58" s="313"/>
      <c r="P58" s="326"/>
      <c r="Q58" s="326"/>
      <c r="R58" s="326"/>
      <c r="S58" s="326"/>
      <c r="T58" s="326"/>
      <c r="U58" s="326"/>
      <c r="V58" s="326"/>
      <c r="W58" s="326"/>
      <c r="X58" s="326"/>
      <c r="Y58" s="326"/>
      <c r="Z58" s="313"/>
      <c r="AA58" s="313"/>
      <c r="AB58" s="327"/>
      <c r="AC58" s="141"/>
      <c r="AD58" s="142"/>
      <c r="AE58" s="142"/>
      <c r="AF58" s="142"/>
      <c r="AG58" s="142"/>
      <c r="AH58" s="143"/>
      <c r="AI58" s="311"/>
      <c r="AJ58" s="313"/>
      <c r="AK58" s="326"/>
      <c r="AL58" s="326"/>
      <c r="AM58" s="326"/>
      <c r="AN58" s="326"/>
      <c r="AO58" s="326"/>
      <c r="AP58" s="326"/>
      <c r="AQ58" s="326"/>
      <c r="AR58" s="326"/>
      <c r="AS58" s="326"/>
      <c r="AT58" s="326"/>
      <c r="AU58" s="313"/>
      <c r="AV58" s="313"/>
      <c r="AW58" s="327"/>
      <c r="AX58" s="315"/>
      <c r="AY58" s="316"/>
      <c r="AZ58" s="3"/>
      <c r="BA58" s="3"/>
      <c r="BC58" s="328"/>
      <c r="BD58" s="329"/>
      <c r="BE58" s="329"/>
      <c r="BF58" s="329"/>
      <c r="BG58" s="329"/>
      <c r="BH58" s="330"/>
      <c r="BI58" s="331"/>
      <c r="BJ58" s="331"/>
      <c r="BK58" s="332"/>
      <c r="BL58" s="332"/>
      <c r="BM58" s="332"/>
      <c r="BN58" s="332"/>
      <c r="BO58" s="332"/>
      <c r="BP58" s="332"/>
      <c r="BQ58" s="332"/>
      <c r="BR58" s="332"/>
      <c r="BS58" s="332"/>
      <c r="BT58" s="332"/>
      <c r="BU58" s="331"/>
      <c r="BV58" s="331"/>
      <c r="BW58" s="333"/>
      <c r="BX58" s="334"/>
      <c r="BY58" s="335"/>
      <c r="BZ58" s="335"/>
      <c r="CA58" s="335"/>
      <c r="CB58" s="335"/>
      <c r="CC58" s="336"/>
      <c r="CD58" s="337"/>
      <c r="CE58" s="331"/>
      <c r="CF58" s="332"/>
      <c r="CG58" s="332"/>
      <c r="CH58" s="332"/>
      <c r="CI58" s="332"/>
      <c r="CJ58" s="332"/>
      <c r="CK58" s="332"/>
      <c r="CL58" s="332"/>
      <c r="CM58" s="332"/>
      <c r="CN58" s="332"/>
      <c r="CO58" s="332"/>
      <c r="CP58" s="331"/>
      <c r="CQ58" s="331"/>
      <c r="CR58" s="331"/>
      <c r="CS58" s="338"/>
      <c r="CT58" s="339"/>
    </row>
    <row r="59" spans="2:120" ht="21.75" customHeight="1" x14ac:dyDescent="0.45">
      <c r="B59" s="340" t="s">
        <v>126</v>
      </c>
      <c r="C59" s="340"/>
      <c r="D59" s="340"/>
      <c r="E59" s="340"/>
      <c r="F59" s="340"/>
      <c r="G59" s="340"/>
      <c r="H59" s="341" t="s">
        <v>127</v>
      </c>
      <c r="I59" s="341"/>
      <c r="J59" s="341"/>
      <c r="K59" s="341"/>
      <c r="L59" s="341"/>
      <c r="M59" s="341"/>
      <c r="N59" s="341"/>
      <c r="O59" s="341"/>
      <c r="P59" s="341"/>
      <c r="Q59" s="341"/>
      <c r="R59" s="341"/>
      <c r="S59" s="341"/>
      <c r="T59" s="341"/>
      <c r="U59" s="341"/>
      <c r="V59" s="341"/>
      <c r="W59" s="341"/>
      <c r="X59" s="341"/>
      <c r="Y59" s="341"/>
      <c r="Z59" s="341"/>
      <c r="AA59" s="341"/>
      <c r="AB59" s="341"/>
      <c r="AC59" s="341"/>
      <c r="AD59" s="341"/>
      <c r="AE59" s="341"/>
      <c r="AF59" s="341"/>
      <c r="AG59" s="341"/>
      <c r="AH59" s="341"/>
      <c r="AI59" s="341"/>
      <c r="AJ59" s="341"/>
      <c r="AK59" s="341"/>
      <c r="AL59" s="341"/>
      <c r="AM59" s="341"/>
      <c r="AN59" s="341"/>
      <c r="AO59" s="341"/>
      <c r="AP59" s="341"/>
      <c r="AQ59" s="341"/>
      <c r="AR59" s="341"/>
      <c r="AS59" s="341"/>
      <c r="AT59" s="341"/>
      <c r="AU59" s="341"/>
      <c r="AV59" s="341"/>
      <c r="AW59" s="341"/>
      <c r="AX59" s="341"/>
      <c r="AY59" s="341"/>
      <c r="AZ59" s="24"/>
      <c r="BA59" s="24"/>
      <c r="BB59" s="24"/>
      <c r="BC59" s="342"/>
      <c r="BD59" s="342"/>
      <c r="BE59" s="342"/>
      <c r="BF59" s="342"/>
      <c r="BG59" s="342"/>
      <c r="BH59" s="342"/>
      <c r="BI59" s="342"/>
      <c r="BJ59" s="342"/>
      <c r="BK59" s="342"/>
      <c r="BL59" s="342"/>
      <c r="BM59" s="342"/>
      <c r="BN59" s="342"/>
      <c r="BO59" s="342"/>
      <c r="BP59" s="342"/>
      <c r="BQ59" s="342"/>
      <c r="BR59" s="342"/>
      <c r="BS59" s="342"/>
      <c r="BT59" s="342"/>
      <c r="BU59" s="342"/>
      <c r="BV59" s="342"/>
      <c r="BW59" s="342"/>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c r="DC59" s="24"/>
      <c r="DD59" s="24"/>
      <c r="DE59" s="24"/>
      <c r="DF59" s="24"/>
      <c r="DG59" s="24"/>
      <c r="DH59" s="24"/>
      <c r="DI59" s="24"/>
      <c r="DJ59" s="24"/>
      <c r="DK59" s="24"/>
      <c r="DL59" s="24"/>
      <c r="DM59" s="24"/>
      <c r="DN59" s="24"/>
      <c r="DO59" s="24"/>
      <c r="DP59" s="24"/>
    </row>
    <row r="60" spans="2:120" ht="26.25" customHeight="1" x14ac:dyDescent="0.15">
      <c r="B60" s="343" t="s">
        <v>128</v>
      </c>
      <c r="C60" s="343"/>
      <c r="D60" s="343"/>
      <c r="E60" s="343"/>
      <c r="F60" s="343"/>
      <c r="G60" s="343"/>
      <c r="H60" s="343"/>
      <c r="I60" s="343"/>
      <c r="J60" s="343"/>
      <c r="K60" s="343"/>
      <c r="L60" s="343"/>
      <c r="M60" s="343"/>
      <c r="N60" s="343"/>
      <c r="O60" s="343"/>
      <c r="P60" s="343"/>
      <c r="Q60" s="343"/>
      <c r="R60" s="343"/>
      <c r="S60" s="343"/>
      <c r="T60" s="343"/>
      <c r="U60" s="343"/>
      <c r="V60" s="343"/>
      <c r="W60" s="343"/>
      <c r="X60" s="343"/>
      <c r="Y60" s="343"/>
      <c r="Z60" s="343"/>
      <c r="AA60" s="343"/>
      <c r="AB60" s="343"/>
      <c r="AC60" s="343"/>
      <c r="AD60" s="343"/>
      <c r="AE60" s="343"/>
      <c r="AF60" s="343"/>
      <c r="AG60" s="343"/>
      <c r="AH60" s="343"/>
      <c r="AI60" s="343"/>
      <c r="AJ60" s="343"/>
      <c r="AK60" s="343"/>
      <c r="AL60" s="343"/>
      <c r="AM60" s="343"/>
      <c r="AN60" s="343"/>
      <c r="AO60" s="343"/>
      <c r="AP60" s="343"/>
      <c r="AQ60" s="343"/>
      <c r="AR60" s="343"/>
      <c r="AS60" s="343"/>
      <c r="AT60" s="343"/>
      <c r="AU60" s="343"/>
      <c r="AV60" s="343"/>
      <c r="AW60" s="343"/>
      <c r="AX60" s="343"/>
      <c r="AY60" s="343"/>
      <c r="AZ60" s="24"/>
      <c r="BA60" s="24"/>
      <c r="BB60" s="24"/>
      <c r="CU60" s="24"/>
      <c r="CV60" s="24"/>
      <c r="CW60" s="24"/>
      <c r="CX60" s="24"/>
      <c r="CY60" s="24"/>
      <c r="CZ60" s="24"/>
      <c r="DA60" s="24"/>
      <c r="DB60" s="24"/>
      <c r="DC60" s="24"/>
      <c r="DD60" s="24"/>
      <c r="DE60" s="24"/>
      <c r="DF60" s="24"/>
      <c r="DG60" s="24"/>
      <c r="DH60" s="24"/>
      <c r="DI60" s="24"/>
      <c r="DJ60" s="24"/>
      <c r="DK60" s="24"/>
      <c r="DL60" s="24"/>
      <c r="DM60" s="24"/>
      <c r="DN60" s="24"/>
      <c r="DO60" s="24"/>
      <c r="DP60" s="24"/>
    </row>
    <row r="61" spans="2:120" ht="26.25" customHeight="1" x14ac:dyDescent="0.45">
      <c r="B61" s="214" t="s">
        <v>129</v>
      </c>
      <c r="C61" s="244"/>
      <c r="D61" s="244"/>
      <c r="E61" s="244"/>
      <c r="F61" s="244"/>
      <c r="G61" s="245"/>
      <c r="H61" s="106" t="s">
        <v>47</v>
      </c>
      <c r="I61" s="107"/>
      <c r="J61" s="223" t="s">
        <v>130</v>
      </c>
      <c r="K61" s="223"/>
      <c r="L61" s="223"/>
      <c r="M61" s="223"/>
      <c r="N61" s="223"/>
      <c r="O61" s="223"/>
      <c r="P61" s="223"/>
      <c r="Q61" s="223"/>
      <c r="R61" s="223"/>
      <c r="S61" s="223"/>
      <c r="T61" s="223"/>
      <c r="U61" s="209" t="s">
        <v>89</v>
      </c>
      <c r="V61" s="106"/>
      <c r="W61" s="224"/>
      <c r="X61" s="225" t="s">
        <v>90</v>
      </c>
      <c r="Y61" s="226"/>
      <c r="Z61" s="226"/>
      <c r="AA61" s="226"/>
      <c r="AB61" s="226"/>
      <c r="AC61" s="227"/>
      <c r="AD61" s="106" t="s">
        <v>47</v>
      </c>
      <c r="AE61" s="107"/>
      <c r="AF61" s="223" t="s">
        <v>131</v>
      </c>
      <c r="AG61" s="223"/>
      <c r="AH61" s="223"/>
      <c r="AI61" s="223"/>
      <c r="AJ61" s="223"/>
      <c r="AK61" s="223"/>
      <c r="AL61" s="223"/>
      <c r="AM61" s="223"/>
      <c r="AN61" s="223"/>
      <c r="AO61" s="223"/>
      <c r="AP61" s="223"/>
      <c r="AQ61" s="209" t="s">
        <v>89</v>
      </c>
      <c r="AR61" s="106"/>
      <c r="AS61" s="224"/>
      <c r="AT61" s="225" t="s">
        <v>90</v>
      </c>
      <c r="AU61" s="226"/>
      <c r="AV61" s="226"/>
      <c r="AW61" s="226"/>
      <c r="AX61" s="226"/>
      <c r="AY61" s="227"/>
      <c r="AZ61" s="24"/>
      <c r="BA61" s="24"/>
      <c r="BB61" s="24"/>
      <c r="CU61" s="24"/>
      <c r="CV61" s="24"/>
      <c r="CW61" s="24"/>
      <c r="CX61" s="24"/>
      <c r="CY61" s="24"/>
      <c r="CZ61" s="24"/>
      <c r="DA61" s="24"/>
      <c r="DB61" s="24"/>
      <c r="DC61" s="24"/>
      <c r="DD61" s="24"/>
      <c r="DE61" s="24"/>
      <c r="DF61" s="24"/>
      <c r="DG61" s="24"/>
      <c r="DH61" s="24"/>
      <c r="DI61" s="24"/>
      <c r="DJ61" s="24"/>
      <c r="DK61" s="24"/>
      <c r="DL61" s="24"/>
      <c r="DM61" s="24"/>
      <c r="DN61" s="24"/>
      <c r="DO61" s="24"/>
      <c r="DP61" s="24"/>
    </row>
    <row r="62" spans="2:120" ht="26.25" customHeight="1" x14ac:dyDescent="0.45">
      <c r="B62" s="116" t="s">
        <v>132</v>
      </c>
      <c r="C62" s="41"/>
      <c r="D62" s="41"/>
      <c r="E62" s="41"/>
      <c r="F62" s="41"/>
      <c r="G62" s="42"/>
      <c r="H62" s="35" t="s">
        <v>23</v>
      </c>
      <c r="I62" s="35"/>
      <c r="J62" s="231"/>
      <c r="K62" s="232"/>
      <c r="L62" s="232"/>
      <c r="M62" s="233"/>
      <c r="N62" s="37" t="s">
        <v>24</v>
      </c>
      <c r="O62" s="36"/>
      <c r="P62" s="36"/>
      <c r="Q62" s="36"/>
      <c r="R62" s="36"/>
      <c r="S62" s="37" t="s">
        <v>25</v>
      </c>
      <c r="T62" s="36"/>
      <c r="U62" s="36"/>
      <c r="V62" s="36"/>
      <c r="W62" s="36"/>
      <c r="X62" s="37" t="s">
        <v>26</v>
      </c>
      <c r="Y62" s="124" t="s">
        <v>133</v>
      </c>
      <c r="Z62" s="125"/>
      <c r="AA62" s="125"/>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126"/>
    </row>
    <row r="63" spans="2:120" ht="26.25" customHeight="1" x14ac:dyDescent="0.45">
      <c r="B63" s="116" t="s">
        <v>134</v>
      </c>
      <c r="C63" s="41"/>
      <c r="D63" s="41"/>
      <c r="E63" s="41"/>
      <c r="F63" s="41"/>
      <c r="G63" s="42"/>
      <c r="H63" s="35" t="s">
        <v>23</v>
      </c>
      <c r="I63" s="35"/>
      <c r="J63" s="231"/>
      <c r="K63" s="232"/>
      <c r="L63" s="232"/>
      <c r="M63" s="233"/>
      <c r="N63" s="37" t="s">
        <v>24</v>
      </c>
      <c r="O63" s="36"/>
      <c r="P63" s="36"/>
      <c r="Q63" s="36"/>
      <c r="R63" s="36"/>
      <c r="S63" s="37" t="s">
        <v>25</v>
      </c>
      <c r="T63" s="36"/>
      <c r="U63" s="36"/>
      <c r="V63" s="36"/>
      <c r="W63" s="36"/>
      <c r="X63" s="37" t="s">
        <v>26</v>
      </c>
      <c r="Y63" s="344"/>
      <c r="Z63" s="345"/>
      <c r="AA63" s="345"/>
      <c r="AB63" s="345"/>
      <c r="AC63" s="345"/>
      <c r="AD63" s="345"/>
      <c r="AE63" s="345"/>
      <c r="AF63" s="345"/>
      <c r="AG63" s="345"/>
      <c r="AH63" s="345"/>
      <c r="AI63" s="345"/>
      <c r="AJ63" s="345"/>
      <c r="AK63" s="345"/>
      <c r="AL63" s="345"/>
      <c r="AM63" s="345"/>
      <c r="AN63" s="345"/>
      <c r="AO63" s="345"/>
      <c r="AP63" s="345"/>
      <c r="AQ63" s="345"/>
      <c r="AR63" s="345"/>
      <c r="AS63" s="345"/>
      <c r="AT63" s="345"/>
      <c r="AU63" s="345"/>
      <c r="AV63" s="345"/>
      <c r="AW63" s="345"/>
      <c r="AX63" s="345"/>
      <c r="AY63" s="346"/>
    </row>
    <row r="64" spans="2:120" ht="26.25" customHeight="1" x14ac:dyDescent="0.45">
      <c r="B64" s="129" t="s">
        <v>135</v>
      </c>
      <c r="C64" s="347"/>
      <c r="D64" s="347"/>
      <c r="E64" s="347"/>
      <c r="F64" s="347"/>
      <c r="G64" s="348"/>
      <c r="H64" s="349" t="s">
        <v>23</v>
      </c>
      <c r="I64" s="349"/>
      <c r="J64" s="231"/>
      <c r="K64" s="232"/>
      <c r="L64" s="232"/>
      <c r="M64" s="233"/>
      <c r="N64" s="350" t="s">
        <v>24</v>
      </c>
      <c r="O64" s="351"/>
      <c r="P64" s="351"/>
      <c r="Q64" s="351"/>
      <c r="R64" s="351"/>
      <c r="S64" s="350" t="s">
        <v>25</v>
      </c>
      <c r="T64" s="36"/>
      <c r="U64" s="36"/>
      <c r="V64" s="36"/>
      <c r="W64" s="36"/>
      <c r="X64" s="352" t="s">
        <v>26</v>
      </c>
      <c r="Y64" s="353"/>
      <c r="Z64" s="354"/>
      <c r="AA64" s="354"/>
      <c r="AB64" s="354"/>
      <c r="AC64" s="354"/>
      <c r="AD64" s="354"/>
      <c r="AE64" s="354"/>
      <c r="AF64" s="354"/>
      <c r="AG64" s="354"/>
      <c r="AH64" s="354"/>
      <c r="AI64" s="354"/>
      <c r="AJ64" s="354"/>
      <c r="AK64" s="354"/>
      <c r="AL64" s="354"/>
      <c r="AM64" s="354"/>
      <c r="AN64" s="354"/>
      <c r="AO64" s="354"/>
      <c r="AP64" s="354"/>
      <c r="AQ64" s="354"/>
      <c r="AR64" s="354"/>
      <c r="AS64" s="354"/>
      <c r="AT64" s="354"/>
      <c r="AU64" s="354"/>
      <c r="AV64" s="354"/>
      <c r="AW64" s="354"/>
      <c r="AX64" s="354"/>
      <c r="AY64" s="355"/>
    </row>
    <row r="65" spans="2:54" ht="26.25" customHeight="1" x14ac:dyDescent="0.45">
      <c r="B65" s="49" t="s">
        <v>136</v>
      </c>
      <c r="C65" s="49"/>
      <c r="D65" s="49"/>
      <c r="E65" s="49"/>
      <c r="F65" s="49"/>
      <c r="G65" s="49"/>
      <c r="H65" s="356" t="s">
        <v>47</v>
      </c>
      <c r="I65" s="356"/>
      <c r="J65" s="357" t="s">
        <v>136</v>
      </c>
      <c r="K65" s="357"/>
      <c r="L65" s="357"/>
      <c r="M65" s="357"/>
      <c r="N65" s="357"/>
      <c r="O65" s="357"/>
      <c r="P65" s="357"/>
      <c r="Q65" s="357"/>
      <c r="R65" s="357"/>
      <c r="S65" s="357"/>
      <c r="T65" s="357"/>
      <c r="U65" s="358" t="s">
        <v>89</v>
      </c>
      <c r="V65" s="356"/>
      <c r="W65" s="356"/>
      <c r="X65" s="359" t="s">
        <v>90</v>
      </c>
      <c r="Y65" s="359"/>
      <c r="Z65" s="359"/>
      <c r="AA65" s="359"/>
      <c r="AB65" s="359"/>
      <c r="AC65" s="359"/>
      <c r="AD65" s="360" t="s">
        <v>137</v>
      </c>
      <c r="AE65" s="360"/>
      <c r="AF65" s="360"/>
      <c r="AG65" s="360"/>
      <c r="AH65" s="360"/>
      <c r="AI65" s="360"/>
      <c r="AJ65" s="360"/>
      <c r="AK65" s="360"/>
      <c r="AL65" s="360"/>
      <c r="AM65" s="360"/>
      <c r="AN65" s="360"/>
      <c r="AO65" s="360"/>
      <c r="AP65" s="360"/>
      <c r="AQ65" s="360"/>
      <c r="AR65" s="360"/>
      <c r="AS65" s="360"/>
      <c r="AT65" s="360"/>
      <c r="AU65" s="360"/>
      <c r="AV65" s="360"/>
      <c r="AW65" s="360"/>
      <c r="AX65" s="360"/>
      <c r="AY65" s="360"/>
    </row>
    <row r="66" spans="2:54" ht="26.25" customHeight="1" x14ac:dyDescent="0.45">
      <c r="B66" s="49" t="s">
        <v>138</v>
      </c>
      <c r="C66" s="49"/>
      <c r="D66" s="49"/>
      <c r="E66" s="49"/>
      <c r="F66" s="49"/>
      <c r="G66" s="49"/>
      <c r="H66" s="356" t="s">
        <v>47</v>
      </c>
      <c r="I66" s="356"/>
      <c r="J66" s="357" t="s">
        <v>139</v>
      </c>
      <c r="K66" s="357"/>
      <c r="L66" s="357"/>
      <c r="M66" s="357"/>
      <c r="N66" s="357"/>
      <c r="O66" s="357"/>
      <c r="P66" s="357"/>
      <c r="Q66" s="357"/>
      <c r="R66" s="357"/>
      <c r="S66" s="357"/>
      <c r="T66" s="357"/>
      <c r="U66" s="358" t="s">
        <v>89</v>
      </c>
      <c r="V66" s="356"/>
      <c r="W66" s="356"/>
      <c r="X66" s="359" t="s">
        <v>90</v>
      </c>
      <c r="Y66" s="359"/>
      <c r="Z66" s="359"/>
      <c r="AA66" s="359"/>
      <c r="AB66" s="359"/>
      <c r="AC66" s="359"/>
      <c r="AD66" s="361" t="s">
        <v>140</v>
      </c>
      <c r="AE66" s="361"/>
      <c r="AF66" s="361"/>
      <c r="AG66" s="361"/>
      <c r="AH66" s="361"/>
      <c r="AI66" s="361"/>
      <c r="AJ66" s="361"/>
      <c r="AK66" s="361"/>
      <c r="AL66" s="361"/>
      <c r="AM66" s="361"/>
      <c r="AN66" s="361"/>
      <c r="AO66" s="361"/>
      <c r="AP66" s="361"/>
      <c r="AQ66" s="361"/>
      <c r="AR66" s="361"/>
      <c r="AS66" s="361"/>
      <c r="AT66" s="361"/>
      <c r="AU66" s="361"/>
      <c r="AV66" s="361"/>
      <c r="AW66" s="361"/>
      <c r="AX66" s="361"/>
      <c r="AY66" s="361"/>
    </row>
    <row r="67" spans="2:54" s="1" customFormat="1" ht="12.75" customHeight="1" x14ac:dyDescent="0.45">
      <c r="B67" s="362" t="s">
        <v>141</v>
      </c>
      <c r="C67" s="363"/>
      <c r="D67" s="363"/>
      <c r="E67" s="363"/>
      <c r="F67" s="363"/>
      <c r="G67" s="363"/>
      <c r="H67" s="364"/>
      <c r="I67" s="364"/>
      <c r="J67" s="365"/>
      <c r="K67" s="365"/>
      <c r="L67" s="365"/>
      <c r="M67" s="365"/>
      <c r="N67" s="365"/>
      <c r="O67" s="365"/>
      <c r="P67" s="365"/>
      <c r="Q67" s="365"/>
      <c r="R67" s="365"/>
      <c r="S67" s="365"/>
      <c r="T67" s="365"/>
      <c r="U67" s="366"/>
      <c r="V67" s="364"/>
      <c r="W67" s="364"/>
      <c r="X67" s="364"/>
      <c r="Y67" s="364"/>
      <c r="Z67" s="364"/>
      <c r="AA67" s="364"/>
      <c r="AB67" s="364"/>
      <c r="AC67" s="364"/>
      <c r="AD67" s="367"/>
      <c r="AE67" s="367"/>
      <c r="AF67" s="367"/>
      <c r="AG67" s="367"/>
      <c r="AH67" s="367"/>
      <c r="AI67" s="367"/>
      <c r="AJ67" s="367"/>
      <c r="AK67" s="367"/>
      <c r="AL67" s="367"/>
      <c r="AM67" s="367"/>
      <c r="AN67" s="367"/>
      <c r="AO67" s="367"/>
      <c r="AP67" s="367"/>
      <c r="AQ67" s="367"/>
      <c r="AR67" s="367"/>
      <c r="AS67" s="367"/>
      <c r="AT67" s="367"/>
      <c r="AU67" s="367"/>
      <c r="AV67" s="367"/>
      <c r="AW67" s="367"/>
      <c r="AX67" s="367"/>
      <c r="AY67" s="367"/>
    </row>
    <row r="68" spans="2:54" x14ac:dyDescent="0.45">
      <c r="B68" s="368" t="s">
        <v>142</v>
      </c>
      <c r="C68" s="368"/>
      <c r="D68" s="368"/>
      <c r="E68" s="368"/>
      <c r="F68" s="368"/>
      <c r="G68" s="368"/>
      <c r="H68" s="368"/>
      <c r="I68" s="368"/>
      <c r="J68" s="368"/>
      <c r="K68" s="368"/>
      <c r="L68" s="368"/>
      <c r="M68" s="368"/>
      <c r="N68" s="368"/>
      <c r="O68" s="368"/>
      <c r="P68" s="368"/>
      <c r="Q68" s="368"/>
      <c r="R68" s="368"/>
      <c r="S68" s="368"/>
      <c r="T68" s="368"/>
      <c r="U68" s="368"/>
      <c r="V68" s="368"/>
      <c r="W68" s="368"/>
      <c r="X68" s="368"/>
      <c r="Y68" s="368"/>
      <c r="Z68" s="368"/>
      <c r="AA68" s="368"/>
      <c r="AB68" s="368"/>
      <c r="AC68" s="368"/>
      <c r="AD68" s="368"/>
      <c r="AE68" s="368"/>
      <c r="AF68" s="368"/>
      <c r="AG68" s="368"/>
      <c r="AH68" s="368"/>
      <c r="AI68" s="368"/>
      <c r="AJ68" s="368"/>
      <c r="AK68" s="368"/>
      <c r="AL68" s="368"/>
      <c r="AM68" s="368"/>
      <c r="AN68" s="368"/>
      <c r="AO68" s="368"/>
      <c r="AP68" s="368"/>
      <c r="AQ68" s="368"/>
      <c r="AR68" s="368"/>
      <c r="AS68" s="368"/>
      <c r="AT68" s="368"/>
      <c r="AU68" s="368"/>
      <c r="AV68" s="368"/>
      <c r="AW68" s="368"/>
      <c r="AX68" s="368"/>
      <c r="AY68" s="368"/>
    </row>
    <row r="69" spans="2:54" ht="18" x14ac:dyDescent="0.45">
      <c r="B69" s="369"/>
      <c r="C69" s="369"/>
      <c r="D69" s="369"/>
      <c r="E69" s="369"/>
      <c r="F69" s="369"/>
      <c r="G69" s="369"/>
      <c r="H69" s="369"/>
      <c r="I69" s="369"/>
      <c r="J69" s="369"/>
      <c r="K69" s="369"/>
      <c r="L69" s="369"/>
      <c r="M69" s="369"/>
      <c r="N69" s="369"/>
      <c r="O69" s="369"/>
      <c r="P69" s="369"/>
      <c r="Q69" s="369"/>
      <c r="R69" s="369"/>
      <c r="S69" s="369"/>
      <c r="T69" s="369"/>
      <c r="U69" s="369"/>
      <c r="V69" s="369"/>
      <c r="W69" s="369"/>
      <c r="X69" s="369"/>
      <c r="Y69" s="369"/>
      <c r="Z69" s="369"/>
      <c r="AA69" s="369"/>
      <c r="AB69" s="369"/>
      <c r="AC69" s="369"/>
      <c r="AD69" s="369"/>
      <c r="AE69" s="369"/>
      <c r="AF69" s="369"/>
      <c r="AG69" s="369"/>
      <c r="AH69" s="369"/>
      <c r="AI69" s="369"/>
      <c r="AJ69" s="369"/>
      <c r="AK69" s="369"/>
      <c r="AL69" s="369"/>
      <c r="AM69" s="369"/>
      <c r="AN69" s="369"/>
      <c r="AO69" s="369"/>
      <c r="AP69" s="369"/>
      <c r="AQ69" s="369"/>
      <c r="AR69" s="369"/>
      <c r="AS69" s="369"/>
      <c r="AT69" s="369"/>
      <c r="AU69" s="369"/>
      <c r="AV69" s="369"/>
      <c r="AW69" s="369"/>
      <c r="AX69" s="369"/>
      <c r="AY69" s="369"/>
      <c r="AZ69" s="56"/>
      <c r="BA69" s="56"/>
      <c r="BB69" s="56"/>
    </row>
    <row r="70" spans="2:54" ht="40.5" customHeight="1" x14ac:dyDescent="0.45">
      <c r="B70" s="370" t="s">
        <v>143</v>
      </c>
      <c r="C70" s="371"/>
      <c r="D70" s="371"/>
      <c r="E70" s="371"/>
      <c r="F70" s="371"/>
      <c r="G70" s="372"/>
      <c r="H70" s="373"/>
      <c r="I70" s="374"/>
      <c r="J70" s="374"/>
      <c r="K70" s="374"/>
      <c r="L70" s="374"/>
      <c r="M70" s="374"/>
      <c r="N70" s="374"/>
      <c r="O70" s="374"/>
      <c r="P70" s="374"/>
      <c r="Q70" s="374"/>
      <c r="R70" s="374"/>
      <c r="S70" s="374"/>
      <c r="T70" s="374"/>
      <c r="U70" s="374"/>
      <c r="V70" s="374"/>
      <c r="W70" s="374"/>
      <c r="X70" s="374"/>
      <c r="Y70" s="374"/>
      <c r="Z70" s="374"/>
      <c r="AA70" s="374"/>
      <c r="AB70" s="374"/>
      <c r="AC70" s="374"/>
      <c r="AD70" s="374"/>
      <c r="AE70" s="374"/>
      <c r="AF70" s="374"/>
      <c r="AG70" s="374"/>
      <c r="AH70" s="374"/>
      <c r="AI70" s="374"/>
      <c r="AJ70" s="374"/>
      <c r="AK70" s="374"/>
      <c r="AL70" s="374"/>
      <c r="AM70" s="374"/>
      <c r="AN70" s="374"/>
      <c r="AO70" s="374"/>
      <c r="AP70" s="374"/>
      <c r="AQ70" s="374"/>
      <c r="AR70" s="374"/>
      <c r="AS70" s="374"/>
      <c r="AT70" s="374"/>
      <c r="AU70" s="374"/>
      <c r="AV70" s="374"/>
      <c r="AW70" s="374"/>
      <c r="AX70" s="374"/>
      <c r="AY70" s="375"/>
    </row>
    <row r="72" spans="2:54" x14ac:dyDescent="0.45">
      <c r="B72" s="3" t="s">
        <v>144</v>
      </c>
    </row>
    <row r="73" spans="2:54" x14ac:dyDescent="0.45">
      <c r="B73" s="376" t="s">
        <v>145</v>
      </c>
      <c r="C73" s="376"/>
      <c r="D73" s="376"/>
      <c r="E73" s="376"/>
      <c r="F73" s="376"/>
      <c r="G73" s="376"/>
      <c r="H73" s="377" t="s">
        <v>146</v>
      </c>
      <c r="I73" s="378"/>
      <c r="J73" s="378"/>
      <c r="K73" s="378"/>
      <c r="L73" s="378"/>
      <c r="M73" s="378"/>
      <c r="N73" s="378"/>
      <c r="O73" s="378"/>
      <c r="P73" s="378"/>
      <c r="Q73" s="378"/>
      <c r="R73" s="378"/>
      <c r="S73" s="378"/>
      <c r="T73" s="378"/>
      <c r="U73" s="378"/>
      <c r="V73" s="378"/>
      <c r="W73" s="379"/>
      <c r="X73" s="376" t="s">
        <v>147</v>
      </c>
      <c r="Y73" s="376"/>
      <c r="Z73" s="376"/>
      <c r="AA73" s="376"/>
      <c r="AB73" s="376"/>
      <c r="AC73" s="376"/>
      <c r="AD73" s="377" t="s">
        <v>148</v>
      </c>
      <c r="AE73" s="378"/>
      <c r="AF73" s="378"/>
      <c r="AG73" s="378"/>
      <c r="AH73" s="378"/>
      <c r="AI73" s="378"/>
      <c r="AJ73" s="378"/>
      <c r="AK73" s="378"/>
      <c r="AL73" s="378"/>
      <c r="AM73" s="378"/>
      <c r="AN73" s="378"/>
      <c r="AO73" s="378"/>
      <c r="AP73" s="378"/>
      <c r="AQ73" s="378"/>
      <c r="AR73" s="378"/>
      <c r="AS73" s="378"/>
      <c r="AT73" s="378"/>
      <c r="AU73" s="378"/>
      <c r="AV73" s="378"/>
      <c r="AW73" s="378"/>
      <c r="AX73" s="378"/>
      <c r="AY73" s="379"/>
    </row>
    <row r="74" spans="2:54" x14ac:dyDescent="0.45">
      <c r="B74" s="376" t="s">
        <v>149</v>
      </c>
      <c r="C74" s="376"/>
      <c r="D74" s="376"/>
      <c r="E74" s="376"/>
      <c r="F74" s="376"/>
      <c r="G74" s="376"/>
      <c r="H74" s="377" t="s">
        <v>150</v>
      </c>
      <c r="I74" s="378"/>
      <c r="J74" s="378"/>
      <c r="K74" s="378"/>
      <c r="L74" s="378"/>
      <c r="M74" s="378"/>
      <c r="N74" s="378"/>
      <c r="O74" s="378"/>
      <c r="P74" s="378"/>
      <c r="Q74" s="378"/>
      <c r="R74" s="378"/>
      <c r="S74" s="378"/>
      <c r="T74" s="378"/>
      <c r="U74" s="378"/>
      <c r="V74" s="378"/>
      <c r="W74" s="379"/>
      <c r="X74" s="376" t="s">
        <v>151</v>
      </c>
      <c r="Y74" s="376"/>
      <c r="Z74" s="376"/>
      <c r="AA74" s="376"/>
      <c r="AB74" s="376"/>
      <c r="AC74" s="376"/>
      <c r="AD74" s="377" t="s">
        <v>152</v>
      </c>
      <c r="AE74" s="378"/>
      <c r="AF74" s="378"/>
      <c r="AG74" s="378"/>
      <c r="AH74" s="378"/>
      <c r="AI74" s="378"/>
      <c r="AJ74" s="378"/>
      <c r="AK74" s="378"/>
      <c r="AL74" s="378"/>
      <c r="AM74" s="378"/>
      <c r="AN74" s="378"/>
      <c r="AO74" s="378"/>
      <c r="AP74" s="378"/>
      <c r="AQ74" s="378"/>
      <c r="AR74" s="378"/>
      <c r="AS74" s="378"/>
      <c r="AT74" s="378"/>
      <c r="AU74" s="378"/>
      <c r="AV74" s="378"/>
      <c r="AW74" s="378"/>
      <c r="AX74" s="378"/>
      <c r="AY74" s="379"/>
    </row>
    <row r="75" spans="2:54" x14ac:dyDescent="0.45">
      <c r="B75" s="376" t="s">
        <v>153</v>
      </c>
      <c r="C75" s="376"/>
      <c r="D75" s="376"/>
      <c r="E75" s="376"/>
      <c r="F75" s="376"/>
      <c r="G75" s="376"/>
      <c r="H75" s="377" t="s">
        <v>154</v>
      </c>
      <c r="I75" s="378"/>
      <c r="J75" s="378"/>
      <c r="K75" s="378"/>
      <c r="L75" s="378"/>
      <c r="M75" s="378"/>
      <c r="N75" s="378"/>
      <c r="O75" s="378"/>
      <c r="P75" s="378"/>
      <c r="Q75" s="378"/>
      <c r="R75" s="378"/>
      <c r="S75" s="378"/>
      <c r="T75" s="378"/>
      <c r="U75" s="378"/>
      <c r="V75" s="378"/>
      <c r="W75" s="378"/>
      <c r="X75" s="378"/>
      <c r="Y75" s="378"/>
      <c r="Z75" s="378"/>
      <c r="AA75" s="378"/>
      <c r="AB75" s="378"/>
      <c r="AC75" s="378"/>
      <c r="AD75" s="378"/>
      <c r="AE75" s="378"/>
      <c r="AF75" s="378"/>
      <c r="AG75" s="378"/>
      <c r="AH75" s="378"/>
      <c r="AI75" s="378"/>
      <c r="AJ75" s="378"/>
      <c r="AK75" s="378"/>
      <c r="AL75" s="378"/>
      <c r="AM75" s="378"/>
      <c r="AN75" s="378"/>
      <c r="AO75" s="378"/>
      <c r="AP75" s="378"/>
      <c r="AQ75" s="378"/>
      <c r="AR75" s="378"/>
      <c r="AS75" s="378"/>
      <c r="AT75" s="378"/>
      <c r="AU75" s="378"/>
      <c r="AV75" s="378"/>
      <c r="AW75" s="378"/>
      <c r="AX75" s="378"/>
      <c r="AY75" s="379"/>
    </row>
    <row r="76" spans="2:54" x14ac:dyDescent="0.45">
      <c r="B76" s="376" t="s">
        <v>155</v>
      </c>
      <c r="C76" s="376"/>
      <c r="D76" s="376"/>
      <c r="E76" s="376"/>
      <c r="F76" s="376"/>
      <c r="G76" s="376"/>
      <c r="H76" s="377" t="s">
        <v>156</v>
      </c>
      <c r="I76" s="378"/>
      <c r="J76" s="378"/>
      <c r="K76" s="378"/>
      <c r="L76" s="378"/>
      <c r="M76" s="378"/>
      <c r="N76" s="378"/>
      <c r="O76" s="378"/>
      <c r="P76" s="378"/>
      <c r="Q76" s="378"/>
      <c r="R76" s="378"/>
      <c r="S76" s="378"/>
      <c r="T76" s="378"/>
      <c r="U76" s="378"/>
      <c r="V76" s="378"/>
      <c r="W76" s="379"/>
      <c r="X76" s="376" t="s">
        <v>157</v>
      </c>
      <c r="Y76" s="376"/>
      <c r="Z76" s="376"/>
      <c r="AA76" s="376"/>
      <c r="AB76" s="376"/>
      <c r="AC76" s="376"/>
      <c r="AD76" s="377">
        <v>2238093</v>
      </c>
      <c r="AE76" s="378"/>
      <c r="AF76" s="378"/>
      <c r="AG76" s="378"/>
      <c r="AH76" s="378"/>
      <c r="AI76" s="378"/>
      <c r="AJ76" s="378"/>
      <c r="AK76" s="378"/>
      <c r="AL76" s="378"/>
      <c r="AM76" s="378"/>
      <c r="AN76" s="378"/>
      <c r="AO76" s="378"/>
      <c r="AP76" s="378"/>
      <c r="AQ76" s="378"/>
      <c r="AR76" s="378"/>
      <c r="AS76" s="378"/>
      <c r="AT76" s="378"/>
      <c r="AU76" s="378"/>
      <c r="AV76" s="378"/>
      <c r="AW76" s="378"/>
      <c r="AX76" s="378"/>
      <c r="AY76" s="379"/>
    </row>
    <row r="77" spans="2:54" x14ac:dyDescent="0.45">
      <c r="B77" s="376" t="s">
        <v>158</v>
      </c>
      <c r="C77" s="376"/>
      <c r="D77" s="376"/>
      <c r="E77" s="376"/>
      <c r="F77" s="376"/>
      <c r="G77" s="376"/>
      <c r="H77" s="377" t="s">
        <v>159</v>
      </c>
      <c r="I77" s="378"/>
      <c r="J77" s="378"/>
      <c r="K77" s="378"/>
      <c r="L77" s="378"/>
      <c r="M77" s="378"/>
      <c r="N77" s="378"/>
      <c r="O77" s="378"/>
      <c r="P77" s="378"/>
      <c r="Q77" s="378"/>
      <c r="R77" s="378"/>
      <c r="S77" s="378"/>
      <c r="T77" s="378"/>
      <c r="U77" s="378"/>
      <c r="V77" s="378"/>
      <c r="W77" s="379"/>
      <c r="X77" s="376" t="s">
        <v>160</v>
      </c>
      <c r="Y77" s="376"/>
      <c r="Z77" s="376"/>
      <c r="AA77" s="376"/>
      <c r="AB77" s="376"/>
      <c r="AC77" s="376"/>
      <c r="AD77" s="377" t="s">
        <v>161</v>
      </c>
      <c r="AE77" s="378"/>
      <c r="AF77" s="378"/>
      <c r="AG77" s="378"/>
      <c r="AH77" s="378"/>
      <c r="AI77" s="378"/>
      <c r="AJ77" s="378"/>
      <c r="AK77" s="378"/>
      <c r="AL77" s="378"/>
      <c r="AM77" s="378"/>
      <c r="AN77" s="378"/>
      <c r="AO77" s="378"/>
      <c r="AP77" s="378"/>
      <c r="AQ77" s="378"/>
      <c r="AR77" s="378"/>
      <c r="AS77" s="378"/>
      <c r="AT77" s="378"/>
      <c r="AU77" s="378"/>
      <c r="AV77" s="378"/>
      <c r="AW77" s="378"/>
      <c r="AX77" s="378"/>
      <c r="AY77" s="379"/>
    </row>
    <row r="78" spans="2:54" x14ac:dyDescent="0.45">
      <c r="B78" s="380" t="s">
        <v>162</v>
      </c>
      <c r="C78" s="380"/>
      <c r="D78" s="380"/>
      <c r="E78" s="380"/>
      <c r="F78" s="380"/>
      <c r="G78" s="380"/>
      <c r="H78" s="381" t="s">
        <v>163</v>
      </c>
      <c r="I78" s="382"/>
      <c r="J78" s="382"/>
      <c r="K78" s="382"/>
      <c r="L78" s="382"/>
      <c r="M78" s="382"/>
      <c r="N78" s="382"/>
      <c r="O78" s="382"/>
      <c r="P78" s="382"/>
      <c r="Q78" s="382"/>
      <c r="R78" s="382"/>
      <c r="S78" s="382"/>
      <c r="T78" s="382"/>
      <c r="U78" s="382"/>
      <c r="V78" s="382"/>
      <c r="W78" s="382"/>
      <c r="X78" s="382"/>
      <c r="Y78" s="382"/>
      <c r="Z78" s="382"/>
      <c r="AA78" s="382"/>
      <c r="AB78" s="382"/>
      <c r="AC78" s="382"/>
      <c r="AD78" s="382"/>
      <c r="AE78" s="382"/>
      <c r="AF78" s="382"/>
      <c r="AG78" s="382"/>
      <c r="AH78" s="382"/>
      <c r="AI78" s="382"/>
      <c r="AJ78" s="382"/>
      <c r="AK78" s="382"/>
      <c r="AL78" s="382"/>
      <c r="AM78" s="382"/>
      <c r="AN78" s="382"/>
      <c r="AO78" s="382"/>
      <c r="AP78" s="382"/>
      <c r="AQ78" s="382"/>
      <c r="AR78" s="382"/>
      <c r="AS78" s="382"/>
      <c r="AT78" s="382"/>
      <c r="AU78" s="382"/>
      <c r="AV78" s="382"/>
      <c r="AW78" s="382"/>
      <c r="AX78" s="382"/>
      <c r="AY78" s="383"/>
    </row>
    <row r="79" spans="2:54" x14ac:dyDescent="0.45">
      <c r="B79" s="384" t="s">
        <v>164</v>
      </c>
      <c r="C79" s="385"/>
      <c r="D79" s="385"/>
      <c r="E79" s="385"/>
      <c r="F79" s="385"/>
      <c r="G79" s="385"/>
      <c r="H79" s="385"/>
      <c r="I79" s="385"/>
      <c r="J79" s="385"/>
      <c r="K79" s="385"/>
      <c r="L79" s="385"/>
      <c r="M79" s="386"/>
      <c r="N79" s="387">
        <f>解約金計算ツール!K4</f>
        <v>0</v>
      </c>
      <c r="O79" s="388"/>
      <c r="P79" s="388"/>
      <c r="Q79" s="388"/>
      <c r="R79" s="389" t="s">
        <v>165</v>
      </c>
      <c r="S79" s="390"/>
      <c r="T79" s="390"/>
      <c r="U79" s="390" t="s">
        <v>166</v>
      </c>
      <c r="V79" s="390"/>
      <c r="W79" s="390"/>
      <c r="X79" s="390"/>
      <c r="Y79" s="390"/>
      <c r="Z79" s="390"/>
      <c r="AA79" s="390"/>
      <c r="AB79" s="390"/>
      <c r="AC79" s="390"/>
      <c r="AD79" s="390"/>
      <c r="AE79" s="390"/>
      <c r="AF79" s="390"/>
      <c r="AG79" s="390"/>
      <c r="AH79" s="390"/>
      <c r="AI79" s="390"/>
      <c r="AJ79" s="390"/>
      <c r="AK79" s="390"/>
      <c r="AL79" s="390"/>
      <c r="AM79" s="390"/>
      <c r="AN79" s="390"/>
      <c r="AO79" s="390"/>
      <c r="AP79" s="390"/>
      <c r="AQ79" s="390"/>
      <c r="AR79" s="390"/>
      <c r="AS79" s="390"/>
      <c r="AT79" s="390"/>
      <c r="AU79" s="390"/>
      <c r="AV79" s="390"/>
      <c r="AW79" s="390"/>
      <c r="AX79" s="390"/>
      <c r="AY79" s="391"/>
    </row>
    <row r="82" spans="13:13" x14ac:dyDescent="0.45">
      <c r="M82" s="392"/>
    </row>
    <row r="83" spans="13:13" x14ac:dyDescent="0.45">
      <c r="M83" s="392"/>
    </row>
  </sheetData>
  <sheetProtection algorithmName="SHA-512" hashValue="XwHeg1smzaMvo/7s7psDWDtmSvkrjk9MpGKmSuejB5tx/2hX18sfNm/easytjuId2iJYjddsfm4kGi7doNbUUQ==" saltValue="eZ6rjkH+O9c4TX4aGihiIA==" spinCount="100000" sheet="1" objects="1" scenarios="1"/>
  <mergeCells count="257">
    <mergeCell ref="B78:G78"/>
    <mergeCell ref="H78:AY78"/>
    <mergeCell ref="B79:M79"/>
    <mergeCell ref="N79:Q79"/>
    <mergeCell ref="B76:G76"/>
    <mergeCell ref="H76:W76"/>
    <mergeCell ref="X76:AC76"/>
    <mergeCell ref="AD76:AY76"/>
    <mergeCell ref="B77:G77"/>
    <mergeCell ref="H77:W77"/>
    <mergeCell ref="X77:AC77"/>
    <mergeCell ref="AD77:AY77"/>
    <mergeCell ref="B74:G74"/>
    <mergeCell ref="H74:W74"/>
    <mergeCell ref="X74:AC74"/>
    <mergeCell ref="AD74:AY74"/>
    <mergeCell ref="B75:G75"/>
    <mergeCell ref="H75:AY75"/>
    <mergeCell ref="B68:AY69"/>
    <mergeCell ref="B70:G70"/>
    <mergeCell ref="H70:AY70"/>
    <mergeCell ref="B73:G73"/>
    <mergeCell ref="H73:W73"/>
    <mergeCell ref="X73:AC73"/>
    <mergeCell ref="AD73:AY73"/>
    <mergeCell ref="B66:G66"/>
    <mergeCell ref="H66:I66"/>
    <mergeCell ref="J66:T66"/>
    <mergeCell ref="V66:W66"/>
    <mergeCell ref="X66:AC66"/>
    <mergeCell ref="AD66:AY66"/>
    <mergeCell ref="B65:G65"/>
    <mergeCell ref="H65:I65"/>
    <mergeCell ref="J65:T65"/>
    <mergeCell ref="V65:W65"/>
    <mergeCell ref="X65:AC65"/>
    <mergeCell ref="AD65:AY65"/>
    <mergeCell ref="J63:M63"/>
    <mergeCell ref="O63:R63"/>
    <mergeCell ref="T63:W63"/>
    <mergeCell ref="B64:G64"/>
    <mergeCell ref="H64:I64"/>
    <mergeCell ref="J64:M64"/>
    <mergeCell ref="O64:R64"/>
    <mergeCell ref="T64:W64"/>
    <mergeCell ref="AR61:AS61"/>
    <mergeCell ref="AT61:AY61"/>
    <mergeCell ref="B62:G62"/>
    <mergeCell ref="H62:I62"/>
    <mergeCell ref="J62:M62"/>
    <mergeCell ref="O62:R62"/>
    <mergeCell ref="T62:W62"/>
    <mergeCell ref="Y62:AY64"/>
    <mergeCell ref="B63:G63"/>
    <mergeCell ref="H63:I63"/>
    <mergeCell ref="B59:G59"/>
    <mergeCell ref="H59:AY59"/>
    <mergeCell ref="B60:AY60"/>
    <mergeCell ref="B61:G61"/>
    <mergeCell ref="H61:I61"/>
    <mergeCell ref="J61:T61"/>
    <mergeCell ref="V61:W61"/>
    <mergeCell ref="X61:AC61"/>
    <mergeCell ref="AD61:AE61"/>
    <mergeCell ref="AF61:AP61"/>
    <mergeCell ref="BN57:BQ57"/>
    <mergeCell ref="BS57:BW57"/>
    <mergeCell ref="CE57:CG57"/>
    <mergeCell ref="CI57:CL57"/>
    <mergeCell ref="CN57:CR57"/>
    <mergeCell ref="P58:Y58"/>
    <mergeCell ref="AK58:AT58"/>
    <mergeCell ref="BK58:BT58"/>
    <mergeCell ref="CF58:CO58"/>
    <mergeCell ref="S57:V57"/>
    <mergeCell ref="X57:AB57"/>
    <mergeCell ref="AJ57:AL57"/>
    <mergeCell ref="AN57:AQ57"/>
    <mergeCell ref="AS57:AW57"/>
    <mergeCell ref="BJ57:BL57"/>
    <mergeCell ref="CG53:CT53"/>
    <mergeCell ref="AI54:AY55"/>
    <mergeCell ref="CD54:CT55"/>
    <mergeCell ref="H56:M58"/>
    <mergeCell ref="AC56:AH58"/>
    <mergeCell ref="AX56:AY58"/>
    <mergeCell ref="BC56:BH58"/>
    <mergeCell ref="BX56:CC58"/>
    <mergeCell ref="CS56:CT58"/>
    <mergeCell ref="O57:Q57"/>
    <mergeCell ref="BO52:CT52"/>
    <mergeCell ref="H53:M55"/>
    <mergeCell ref="N53:AB55"/>
    <mergeCell ref="AC53:AH55"/>
    <mergeCell ref="AI53:AK53"/>
    <mergeCell ref="AL53:AY53"/>
    <mergeCell ref="BC53:BH55"/>
    <mergeCell ref="BI53:BW55"/>
    <mergeCell ref="BX53:CC55"/>
    <mergeCell ref="CD53:CF53"/>
    <mergeCell ref="BO50:BV51"/>
    <mergeCell ref="BW50:BY51"/>
    <mergeCell ref="BZ50:CT51"/>
    <mergeCell ref="H52:I52"/>
    <mergeCell ref="J52:P52"/>
    <mergeCell ref="Q52:S52"/>
    <mergeCell ref="T52:AY52"/>
    <mergeCell ref="BC52:BD52"/>
    <mergeCell ref="BE52:BK52"/>
    <mergeCell ref="BL52:BN52"/>
    <mergeCell ref="BO49:CT49"/>
    <mergeCell ref="H50:J51"/>
    <mergeCell ref="K50:P51"/>
    <mergeCell ref="Q50:S51"/>
    <mergeCell ref="T50:AA51"/>
    <mergeCell ref="AB50:AD51"/>
    <mergeCell ref="AE50:AY51"/>
    <mergeCell ref="BC50:BE51"/>
    <mergeCell ref="BF50:BK51"/>
    <mergeCell ref="BL50:BN51"/>
    <mergeCell ref="M49:P49"/>
    <mergeCell ref="Q49:S49"/>
    <mergeCell ref="T49:AY49"/>
    <mergeCell ref="BD49:BF49"/>
    <mergeCell ref="BH49:BK49"/>
    <mergeCell ref="BL49:BN49"/>
    <mergeCell ref="T45:AY46"/>
    <mergeCell ref="H47:I47"/>
    <mergeCell ref="J47:P47"/>
    <mergeCell ref="Q47:S47"/>
    <mergeCell ref="T47:AY47"/>
    <mergeCell ref="B48:G58"/>
    <mergeCell ref="H48:J48"/>
    <mergeCell ref="K48:X48"/>
    <mergeCell ref="Y48:AY48"/>
    <mergeCell ref="I49:K49"/>
    <mergeCell ref="B43:G47"/>
    <mergeCell ref="H43:J43"/>
    <mergeCell ref="K43:X43"/>
    <mergeCell ref="Y43:AY43"/>
    <mergeCell ref="I44:P44"/>
    <mergeCell ref="Q44:S44"/>
    <mergeCell ref="T44:AY44"/>
    <mergeCell ref="H45:J46"/>
    <mergeCell ref="K45:P46"/>
    <mergeCell ref="Q45:S46"/>
    <mergeCell ref="B41:G41"/>
    <mergeCell ref="H41:I41"/>
    <mergeCell ref="J41:M41"/>
    <mergeCell ref="O41:R41"/>
    <mergeCell ref="T41:W41"/>
    <mergeCell ref="B42:G42"/>
    <mergeCell ref="H42:I42"/>
    <mergeCell ref="J42:M42"/>
    <mergeCell ref="O42:R42"/>
    <mergeCell ref="T42:W42"/>
    <mergeCell ref="AH38:AQ38"/>
    <mergeCell ref="AS38:AT38"/>
    <mergeCell ref="AU38:AY38"/>
    <mergeCell ref="H39:AY39"/>
    <mergeCell ref="B40:G40"/>
    <mergeCell ref="H40:I40"/>
    <mergeCell ref="J40:M40"/>
    <mergeCell ref="O40:R40"/>
    <mergeCell ref="T40:W40"/>
    <mergeCell ref="Y40:AY42"/>
    <mergeCell ref="B37:G37"/>
    <mergeCell ref="H37:L37"/>
    <mergeCell ref="M37:AD37"/>
    <mergeCell ref="B38:G39"/>
    <mergeCell ref="H38:K38"/>
    <mergeCell ref="L38:U38"/>
    <mergeCell ref="W38:X38"/>
    <mergeCell ref="Y38:AC38"/>
    <mergeCell ref="AD38:AG38"/>
    <mergeCell ref="R31:V31"/>
    <mergeCell ref="C33:G33"/>
    <mergeCell ref="H33:Z33"/>
    <mergeCell ref="AB33:AY33"/>
    <mergeCell ref="B34:AY34"/>
    <mergeCell ref="B36:G36"/>
    <mergeCell ref="AE36:AI36"/>
    <mergeCell ref="AJ36:AY36"/>
    <mergeCell ref="AC25:AY26"/>
    <mergeCell ref="C27:G29"/>
    <mergeCell ref="W27:AY32"/>
    <mergeCell ref="I28:K28"/>
    <mergeCell ref="M28:P28"/>
    <mergeCell ref="R28:V28"/>
    <mergeCell ref="J29:S29"/>
    <mergeCell ref="C30:G32"/>
    <mergeCell ref="I31:K31"/>
    <mergeCell ref="M31:P31"/>
    <mergeCell ref="AC21:AY22"/>
    <mergeCell ref="B23:G23"/>
    <mergeCell ref="H23:L23"/>
    <mergeCell ref="W23:AY23"/>
    <mergeCell ref="B24:B33"/>
    <mergeCell ref="C24:G26"/>
    <mergeCell ref="H24:V26"/>
    <mergeCell ref="W24:AB26"/>
    <mergeCell ref="AC24:AE24"/>
    <mergeCell ref="AF24:AY24"/>
    <mergeCell ref="T17:AY18"/>
    <mergeCell ref="H19:I19"/>
    <mergeCell ref="J19:P19"/>
    <mergeCell ref="Q19:S19"/>
    <mergeCell ref="T19:AY19"/>
    <mergeCell ref="B20:G22"/>
    <mergeCell ref="H20:V22"/>
    <mergeCell ref="W20:AB22"/>
    <mergeCell ref="AC20:AE20"/>
    <mergeCell ref="AF20:AY20"/>
    <mergeCell ref="B15:G19"/>
    <mergeCell ref="H15:J15"/>
    <mergeCell ref="K15:X15"/>
    <mergeCell ref="Y15:AY15"/>
    <mergeCell ref="I16:P16"/>
    <mergeCell ref="Q16:S16"/>
    <mergeCell ref="T16:AY16"/>
    <mergeCell ref="H17:J18"/>
    <mergeCell ref="K17:P18"/>
    <mergeCell ref="Q17:S18"/>
    <mergeCell ref="BK13:BP13"/>
    <mergeCell ref="H14:I14"/>
    <mergeCell ref="J14:P14"/>
    <mergeCell ref="Q14:S14"/>
    <mergeCell ref="T14:AY14"/>
    <mergeCell ref="BK14:BP14"/>
    <mergeCell ref="B11:G14"/>
    <mergeCell ref="I11:P11"/>
    <mergeCell ref="Q11:S11"/>
    <mergeCell ref="T11:AY11"/>
    <mergeCell ref="H12:J13"/>
    <mergeCell ref="K12:P13"/>
    <mergeCell ref="Q12:S13"/>
    <mergeCell ref="T12:AY13"/>
    <mergeCell ref="AJ7:AN7"/>
    <mergeCell ref="AO7:AY7"/>
    <mergeCell ref="BD7:BI7"/>
    <mergeCell ref="BK7:BP7"/>
    <mergeCell ref="B8:G10"/>
    <mergeCell ref="H8:J8"/>
    <mergeCell ref="K8:AT8"/>
    <mergeCell ref="AU8:AY10"/>
    <mergeCell ref="H9:AT10"/>
    <mergeCell ref="BK10:BP10"/>
    <mergeCell ref="B1:AY4"/>
    <mergeCell ref="B5:H5"/>
    <mergeCell ref="I5:X5"/>
    <mergeCell ref="Y5:AE5"/>
    <mergeCell ref="AF5:AR5"/>
    <mergeCell ref="B7:G7"/>
    <mergeCell ref="H7:I7"/>
    <mergeCell ref="J7:M7"/>
    <mergeCell ref="O7:R7"/>
    <mergeCell ref="T7:W7"/>
  </mergeCells>
  <phoneticPr fontId="3"/>
  <conditionalFormatting sqref="H47">
    <cfRule type="expression" priority="36">
      <formula>$H$40="□"</formula>
    </cfRule>
    <cfRule type="expression" dxfId="115" priority="37">
      <formula>$H$40="■"</formula>
    </cfRule>
  </conditionalFormatting>
  <conditionalFormatting sqref="H44:AY44 H47:AY47">
    <cfRule type="expression" priority="38">
      <formula>$H$43="□"</formula>
    </cfRule>
    <cfRule type="expression" dxfId="114" priority="39">
      <formula>$H$43="■"</formula>
    </cfRule>
  </conditionalFormatting>
  <conditionalFormatting sqref="H44:AY47">
    <cfRule type="expression" dxfId="113" priority="35">
      <formula>$H$43="■"</formula>
    </cfRule>
  </conditionalFormatting>
  <conditionalFormatting sqref="B65 AD65 B61:H61 J61:AY61 B60:AY60 B68:AY70 B38:AC38 B39:H39 B40:AY47 B62:AY64">
    <cfRule type="expression" dxfId="112" priority="34">
      <formula>#REF!="■"</formula>
    </cfRule>
  </conditionalFormatting>
  <conditionalFormatting sqref="B43:G47">
    <cfRule type="expression" dxfId="111" priority="33">
      <formula>$H$43="■"</formula>
    </cfRule>
  </conditionalFormatting>
  <conditionalFormatting sqref="X65:AC65">
    <cfRule type="expression" dxfId="110" priority="32">
      <formula>#REF!="■"</formula>
    </cfRule>
  </conditionalFormatting>
  <conditionalFormatting sqref="H65">
    <cfRule type="expression" dxfId="109" priority="31">
      <formula>#REF!="■"</formula>
    </cfRule>
  </conditionalFormatting>
  <conditionalFormatting sqref="V65:W65">
    <cfRule type="expression" dxfId="108" priority="30">
      <formula>#REF!="■"</formula>
    </cfRule>
  </conditionalFormatting>
  <conditionalFormatting sqref="U65">
    <cfRule type="expression" dxfId="107" priority="29">
      <formula>#REF!="■"</formula>
    </cfRule>
  </conditionalFormatting>
  <conditionalFormatting sqref="H19 H23">
    <cfRule type="expression" priority="27">
      <formula>$H$40="□"</formula>
    </cfRule>
    <cfRule type="expression" dxfId="106" priority="28">
      <formula>$H$40="■"</formula>
    </cfRule>
  </conditionalFormatting>
  <conditionalFormatting sqref="B15:AY19 B23 H23 M23:W23">
    <cfRule type="expression" dxfId="105" priority="26">
      <formula>#REF!="■"</formula>
    </cfRule>
  </conditionalFormatting>
  <conditionalFormatting sqref="B66:B67">
    <cfRule type="expression" dxfId="104" priority="25">
      <formula>#REF!="■"</formula>
    </cfRule>
  </conditionalFormatting>
  <conditionalFormatting sqref="X66:AC67">
    <cfRule type="expression" dxfId="103" priority="24">
      <formula>#REF!="■"</formula>
    </cfRule>
  </conditionalFormatting>
  <conditionalFormatting sqref="H66:H67">
    <cfRule type="expression" dxfId="102" priority="23">
      <formula>#REF!="■"</formula>
    </cfRule>
  </conditionalFormatting>
  <conditionalFormatting sqref="V66:W67">
    <cfRule type="expression" dxfId="101" priority="22">
      <formula>#REF!="■"</formula>
    </cfRule>
  </conditionalFormatting>
  <conditionalFormatting sqref="U66:U67">
    <cfRule type="expression" dxfId="100" priority="21">
      <formula>#REF!="■"</formula>
    </cfRule>
  </conditionalFormatting>
  <conditionalFormatting sqref="AD66:AD67">
    <cfRule type="expression" dxfId="99" priority="20">
      <formula>#REF!="■"</formula>
    </cfRule>
  </conditionalFormatting>
  <conditionalFormatting sqref="B15 H19:AY19 H23 H16:AY16 M23:W23">
    <cfRule type="expression" priority="40">
      <formula>#REF!="□"</formula>
    </cfRule>
  </conditionalFormatting>
  <conditionalFormatting sqref="H23 B23 H16:AY19 B15:G19 M23:W23">
    <cfRule type="expression" dxfId="98" priority="41">
      <formula>#REF!="■"</formula>
    </cfRule>
  </conditionalFormatting>
  <conditionalFormatting sqref="B48:G58 H49:AY58">
    <cfRule type="expression" dxfId="97" priority="9">
      <formula>$H$48="■"</formula>
    </cfRule>
  </conditionalFormatting>
  <conditionalFormatting sqref="B59">
    <cfRule type="expression" dxfId="96" priority="8">
      <formula>#REF!="■"</formula>
    </cfRule>
  </conditionalFormatting>
  <conditionalFormatting sqref="H59:I59">
    <cfRule type="expression" dxfId="95" priority="7">
      <formula>$H$48="■"</formula>
    </cfRule>
  </conditionalFormatting>
  <conditionalFormatting sqref="B22:AB22 B20:AF20 B21:AC21">
    <cfRule type="expression" dxfId="94" priority="6">
      <formula>$M$28="■"</formula>
    </cfRule>
  </conditionalFormatting>
  <conditionalFormatting sqref="B22:AB22 B20:AF20 B21:AC21">
    <cfRule type="expression" dxfId="93" priority="5">
      <formula>$H$45="■"</formula>
    </cfRule>
  </conditionalFormatting>
  <conditionalFormatting sqref="AD38:AY38">
    <cfRule type="expression" dxfId="92" priority="4">
      <formula>#REF!="■"</formula>
    </cfRule>
  </conditionalFormatting>
  <dataValidations count="17">
    <dataValidation showDropDown="1" showErrorMessage="1" errorTitle="都道府県名入力" error="右側▼を押して、リストより選択してください。" promptTitle="都道府県名入力" prompt="右側▼を押して、リストより選択してください。" sqref="BF50:BK51" xr:uid="{A2CC3BAA-2B86-49F9-ABEB-C581DA79F58A}"/>
    <dataValidation imeMode="hiragana" allowBlank="1" showInputMessage="1" promptTitle="市区町村入力" prompt="市区町村を全角で入力してください。_x000a_(注)市区町村名について以下の情報のみ入力願います。_x000a_・東京都２３区の場合『○○区』_x000a_・政令指定都市の場合『○○市◆◆区』_x000a_・上記以外の場合『○○市』_x000a_郡の場合『○○郡◆◆町』または『○○郡◆◆村』" sqref="T50:AA51 BO50:BV51" xr:uid="{7A6738E5-36CF-458C-9B23-2EF58E220476}"/>
    <dataValidation imeMode="fullKatakana" allowBlank="1" showInputMessage="1" showErrorMessage="1" sqref="AL53:AY53 CG53:CT53 AF20" xr:uid="{2577F345-AE12-4EEF-B7DD-6B52E25CFF5F}"/>
    <dataValidation type="whole" imeMode="disabled" allowBlank="1" sqref="M49:P49 BH49:BK49" xr:uid="{6CE930B0-2F5D-4CB3-B7FE-20AAD16B53D2}">
      <formula1>0</formula1>
      <formula2>9999</formula2>
    </dataValidation>
    <dataValidation type="whole" imeMode="disabled" allowBlank="1" sqref="I49:K49 BD49:BF49" xr:uid="{344671A0-0116-4ECF-93AA-85423376CF3A}">
      <formula1>0</formula1>
      <formula2>999</formula2>
    </dataValidation>
    <dataValidation imeMode="disabled" allowBlank="1" sqref="L49 BG49" xr:uid="{F1DCB478-56D3-49D0-9BB4-46E03ED1A9B0}"/>
    <dataValidation imeMode="hiragana" allowBlank="1" showInputMessage="1" promptTitle="市区町村番地入力" prompt="市区町村・番地を全角で入力してください。" sqref="T12:AY13 T45:AY46 T17:AY18" xr:uid="{32A22060-9389-4200-A2AB-FF011ED342C2}"/>
    <dataValidation type="custom" imeMode="disabled" allowBlank="1" showInputMessage="1" showErrorMessage="1" sqref="AB33:AY33" xr:uid="{4D4509B4-061E-48FC-AF62-57061E0C4C58}">
      <formula1>LEN($AB$33)=LENB($AB$33)</formula1>
    </dataValidation>
    <dataValidation imeMode="disabled" allowBlank="1" showInputMessage="1" showErrorMessage="1" sqref="AJ36:AY36 M37:AD37" xr:uid="{6AA06701-E444-4FEE-B721-C4C8605AAC22}"/>
    <dataValidation type="whole" imeMode="disabled" allowBlank="1" showErrorMessage="1" errorTitle="入力エラー" error="1～31 の半角数字を入力してください" promptTitle="AP配送希望日の入力について" prompt="申込受領日の翌日から起算し、4営業日以降で記載してください。_x000a__x000a_※北海道、九州へのAP配送は、＋1営業日必要です。_x000a_※全県の諸島部への配送は、＋3営業日必要です。_x000a_※AP配送日は、申込日から最大3ヶ月先まで指定可能です。_x000a_※土日祝は指定できません。" sqref="T7:W7 T40:W42 T62:W64" xr:uid="{4C28026A-6F79-49F8-A4C1-5155EA479207}">
      <formula1>1</formula1>
      <formula2>31</formula2>
    </dataValidation>
    <dataValidation type="whole" imeMode="disabled" allowBlank="1" showErrorMessage="1" errorTitle="入力エラー" error="1～12 の半角数字を入力してください" promptTitle="AP配送希望日の入力について" prompt="申込受領日の翌日から起算し、4営業日以降で記載してください。_x000a__x000a_※北海道、九州へのAP配送は、＋1営業日必要です。_x000a_※全県の諸島部への配送は、＋3営業日必要です。_x000a_※AP配送日は、申込日から最大3ヶ月先まで指定可能です。_x000a_※土日祝は指定できません。" sqref="O40:R42 O7:R7 O62:R64" xr:uid="{91D89DA4-60D5-4AC2-8ACC-6784120AE07A}">
      <formula1>1</formula1>
      <formula2>12</formula2>
    </dataValidation>
    <dataValidation type="whole" imeMode="disabled" allowBlank="1" showErrorMessage="1" errorTitle="入力エラー" error="西暦を半角数字で入力してください" promptTitle="AP配送希望日の入力について" prompt="申込受領日の翌日から起算し、4営業日以降で記載してください。_x000a__x000a_※北海道、九州へのAP配送は、＋1営業日必要です。_x000a_※全県の諸島部への配送は、＋3営業日必要です。_x000a_※AP配送日は、申込日から最大3ヶ月先まで指定可能です。_x000a_※土日祝は指定できません。" sqref="J7:M7 J40:M42 J62:M64" xr:uid="{9F920546-A157-4377-94B9-9D744924AAA3}">
      <formula1>2000</formula1>
      <formula2>2100</formula2>
    </dataValidation>
    <dataValidation type="custom" imeMode="disabled" allowBlank="1" showInputMessage="1" showErrorMessage="1" errorTitle="入力エラー" error="半角英数字にて入力してください。" sqref="H33:Z33" xr:uid="{AA63E814-9EA3-4C9A-8938-7E2138C44DCF}">
      <formula1>LEN($H$33)=LENB($H$33)</formula1>
    </dataValidation>
    <dataValidation imeMode="fullKatakana" allowBlank="1" showInputMessage="1" showErrorMessage="1" errorTitle="入力エラー" error="カタカナを入力してください" sqref="BO49:CT49 T44:AY44 AF24:AY24 T11:AY11 T16:AY16 T49:AY49 K8 AU8" xr:uid="{4603963C-D74E-4C97-8C2C-D522953FB507}"/>
    <dataValidation type="whole" allowBlank="1" showInputMessage="1" showErrorMessage="1" errorTitle="入力エラー" error="7桁の番号を入力してください。_x000a_（&quot;-&quot; は不要）" promptTitle="郵便番号入力" prompt="7桁の番号を入力してください。_x000a_（&quot;-&quot; は不要）" sqref="I44:P44 I11:P11 I16:P16" xr:uid="{C29217A9-A5E2-4E87-B7AC-35E07588A598}">
      <formula1>0</formula1>
      <formula2>9999999</formula2>
    </dataValidation>
    <dataValidation type="textLength" imeMode="disabled" allowBlank="1" showInputMessage="1" showErrorMessage="1" error="数字を入力してください。" sqref="R28:V28 M31:P31 I31:K31 R31:V31 I28:K28 M28:P28 X57:AB57 O57:Q57 S57:V57 AS57:AW57 AJ57:AL57 AN57:AQ57 BS57:BW57 BJ57:BL57 BN57:BQ57 CN57:CR57 CE57:CG57 CI57:CL57" xr:uid="{F1C4C0A4-56C7-4A6C-AEEA-7932FFE243F1}">
      <formula1>0</formula1>
      <formula2>99999</formula2>
    </dataValidation>
    <dataValidation type="list" allowBlank="1" showInputMessage="1" showErrorMessage="1" sqref="H14:H15 X36 H43 H19 BC52 AD61 H65:H67 AD38 H61 T36 I36 P36 L36 H47:H48 H52 H38" xr:uid="{3E17DEA2-C1A6-4935-9D0D-1A43494E3B26}">
      <formula1>"□,■"</formula1>
    </dataValidation>
  </dataValidations>
  <pageMargins left="0.25" right="0.25" top="0.75" bottom="0.75" header="0.3" footer="0.3"/>
  <pageSetup paperSize="9" scale="47"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2" id="{F9F13888-D39D-44B6-86C2-A7B098E32F97}">
            <xm:f>'別紙①-2_お客様お買い上げ型申込書'!$M$31="■"</xm:f>
            <x14:dxf>
              <fill>
                <patternFill>
                  <bgColor theme="0" tint="-0.499984740745262"/>
                </patternFill>
              </fill>
            </x14:dxf>
          </x14:cfRule>
          <xm:sqref>BC49:CT55 BI56:CT58</xm:sqref>
        </x14:conditionalFormatting>
        <x14:conditionalFormatting xmlns:xm="http://schemas.microsoft.com/office/excel/2006/main">
          <x14:cfRule type="expression" priority="16" id="{379235F0-0FED-4750-99C2-AA0CC3AA0615}">
            <xm:f>'別紙①-2_お客様お買い上げ型申込書'!$H$35="□"</xm:f>
            <x14:dxf/>
          </x14:cfRule>
          <x14:cfRule type="expression" priority="17" id="{5C84D768-19D3-47E2-9C94-2B6C6E2FF600}">
            <xm:f>'別紙①-2_お客様お買い上げ型申込書'!$H$35="■"</xm:f>
            <x14:dxf>
              <fill>
                <patternFill>
                  <bgColor theme="1" tint="0.499984740745262"/>
                </patternFill>
              </fill>
              <border>
                <left style="thin">
                  <color auto="1"/>
                </left>
                <right style="thin">
                  <color auto="1"/>
                </right>
                <top style="thin">
                  <color auto="1"/>
                </top>
                <bottom style="thin">
                  <color auto="1"/>
                </bottom>
              </border>
            </x14:dxf>
          </x14:cfRule>
          <xm:sqref>BC52</xm:sqref>
        </x14:conditionalFormatting>
        <x14:conditionalFormatting xmlns:xm="http://schemas.microsoft.com/office/excel/2006/main">
          <x14:cfRule type="expression" priority="15" id="{A7079E1A-0BB5-449D-B281-DB1F82F3F73D}">
            <xm:f>'別紙①-2_お客様お買い上げ型申込書'!$M$31="■"</xm:f>
            <x14:dxf>
              <fill>
                <patternFill>
                  <bgColor theme="1" tint="0.499984740745262"/>
                </patternFill>
              </fill>
              <border>
                <left style="thin">
                  <color auto="1"/>
                </left>
                <right style="thin">
                  <color auto="1"/>
                </right>
                <top style="thin">
                  <color auto="1"/>
                </top>
                <bottom style="thin">
                  <color auto="1"/>
                </bottom>
                <vertical/>
                <horizontal/>
              </border>
            </x14:dxf>
          </x14:cfRule>
          <xm:sqref>BC52:CT52 BC50:BK51 BC49 BL49:CT49</xm:sqref>
        </x14:conditionalFormatting>
        <x14:conditionalFormatting xmlns:xm="http://schemas.microsoft.com/office/excel/2006/main">
          <x14:cfRule type="expression" priority="19" id="{85E6A323-E455-4639-887C-8B5FAC1447AA}">
            <xm:f>'別紙①-2_お客様お買い上げ型申込書'!$H$43="□"</xm:f>
            <x14:dxf/>
          </x14:cfRule>
          <xm:sqref>BC49 BC52:CT52 BL49:CT49</xm:sqref>
        </x14:conditionalFormatting>
        <x14:conditionalFormatting xmlns:xm="http://schemas.microsoft.com/office/excel/2006/main">
          <x14:cfRule type="expression" priority="18" id="{24136EC7-CC80-4B42-AD75-F35E79AB49B1}">
            <xm:f>'別紙①-2_お客様お買い上げ型申込書'!$H$43="■"</xm:f>
            <x14:dxf>
              <fill>
                <patternFill>
                  <bgColor theme="1" tint="0.499984740745262"/>
                </patternFill>
              </fill>
              <border>
                <left style="thin">
                  <color auto="1"/>
                </left>
                <right style="thin">
                  <color auto="1"/>
                </right>
                <top style="thin">
                  <color auto="1"/>
                </top>
                <bottom style="thin">
                  <color auto="1"/>
                </bottom>
              </border>
            </x14:dxf>
          </x14:cfRule>
          <xm:sqref>BC49 BC52:CT52 BC50:BK51 BL49:CT49</xm:sqref>
        </x14:conditionalFormatting>
        <x14:conditionalFormatting xmlns:xm="http://schemas.microsoft.com/office/excel/2006/main">
          <x14:cfRule type="expression" priority="14" id="{2C1BFC3E-AD39-4D6A-8BE3-842DF3975C84}">
            <xm:f>'別紙①-2_お客様お買い上げ型申込書'!$H$43="■"</xm:f>
            <x14:dxf>
              <fill>
                <patternFill>
                  <bgColor theme="0" tint="-0.499984740745262"/>
                </patternFill>
              </fill>
            </x14:dxf>
          </x14:cfRule>
          <xm:sqref>BD49:BK49 BL50:CT51 BI56:CT58</xm:sqref>
        </x14:conditionalFormatting>
        <x14:conditionalFormatting xmlns:xm="http://schemas.microsoft.com/office/excel/2006/main">
          <x14:cfRule type="expression" priority="13" id="{CB776472-BDA9-40D7-9CF7-FC3B080AEF3E}">
            <xm:f>'別紙①-2_お客様お買い上げ型申込書'!$H$43="■"</xm:f>
            <x14:dxf>
              <fill>
                <patternFill>
                  <bgColor theme="0" tint="-0.499984740745262"/>
                </patternFill>
              </fill>
            </x14:dxf>
          </x14:cfRule>
          <xm:sqref>BC53:CT55</xm:sqref>
        </x14:conditionalFormatting>
        <x14:conditionalFormatting xmlns:xm="http://schemas.microsoft.com/office/excel/2006/main">
          <x14:cfRule type="expression" priority="10" id="{C43F7A4F-6BEB-4CDE-BAEF-C2978F501053}">
            <xm:f>'別紙①-2_お客様お買い上げ型申込書'!$M$31="■"</xm:f>
            <x14:dxf>
              <fill>
                <patternFill>
                  <bgColor theme="0" tint="-0.499984740745262"/>
                </patternFill>
              </fill>
            </x14:dxf>
          </x14:cfRule>
          <xm:sqref>BC56:BH58</xm:sqref>
        </x14:conditionalFormatting>
        <x14:conditionalFormatting xmlns:xm="http://schemas.microsoft.com/office/excel/2006/main">
          <x14:cfRule type="expression" priority="11" id="{66E13B1F-890C-4CDC-979F-B21CBB158437}">
            <xm:f>'別紙①-2_お客様お買い上げ型申込書'!$H$43="■"</xm:f>
            <x14:dxf>
              <fill>
                <patternFill>
                  <bgColor theme="0" tint="-0.499984740745262"/>
                </patternFill>
              </fill>
            </x14:dxf>
          </x14:cfRule>
          <xm:sqref>BC56:BH58</xm:sqref>
        </x14:conditionalFormatting>
        <x14:conditionalFormatting xmlns:xm="http://schemas.microsoft.com/office/excel/2006/main">
          <x14:cfRule type="expression" priority="1" id="{E85142DF-E1F5-4A1B-A638-1F4975680F5C}">
            <xm:f>本紙!$S$9="移転・契約情報変更・設定変更申込"</xm:f>
            <x14:dxf>
              <fill>
                <patternFill>
                  <bgColor theme="1" tint="0.499984740745262"/>
                </patternFill>
              </fill>
            </x14:dxf>
          </x14:cfRule>
          <x14:cfRule type="expression" priority="2" id="{5C417DAE-7541-44BE-A3D9-1A9192090C58}">
            <xm:f>本紙!$S$9="新規・追加・減少・廃止申込（補助金対応型）"</xm:f>
            <x14:dxf>
              <fill>
                <patternFill>
                  <bgColor theme="1" tint="0.499984740745262"/>
                </patternFill>
              </fill>
            </x14:dxf>
          </x14:cfRule>
          <x14:cfRule type="expression" priority="3" id="{30D5946B-9634-4881-ABFC-06D063CD9DD1}">
            <xm:f>本紙!$S$9="■選択して下さい■"</xm:f>
            <x14:dxf>
              <fill>
                <patternFill>
                  <bgColor theme="1" tint="0.499984740745262"/>
                </patternFill>
              </fill>
            </x14:dxf>
          </x14:cfRule>
          <xm:sqref>A1:AZ79</xm:sqref>
        </x14:conditionalFormatting>
      </x14:conditionalFormattings>
    </ext>
    <ext xmlns:x14="http://schemas.microsoft.com/office/spreadsheetml/2009/9/main" uri="{CCE6A557-97BC-4b89-ADB6-D9C93CAAB3DF}">
      <x14:dataValidations xmlns:xm="http://schemas.microsoft.com/office/excel/2006/main" count="2">
        <x14:dataValidation type="custom" allowBlank="1" showInputMessage="1" showErrorMessage="1" errorTitle="注文内容相違" error="背景がグレーの場合は使用できません。_x000a_本紙の注文内容をご確認ください。_x000a_複数の異なる注文を依頼する場合は_x000a_ファイルを新たに使用してください。" xr:uid="{D8432352-1A17-49E2-9084-4C34AB0D70A2}">
          <x14:formula1>
            <xm:f>本紙!$S$9="新規・追加・減少・廃止申込(月額支払い型)"</xm:f>
          </x14:formula1>
          <xm:sqref>M23:V23</xm:sqref>
        </x14:dataValidation>
        <x14:dataValidation type="custom" allowBlank="1" showInputMessage="1" showErrorMessage="1" errorTitle="注文内容相違" error="背景がグレーの場合は使用できません。_x000a_本紙の注文内容をご確認ください。_x000a_複数の異なる注文を依頼する場合、ファイルを新たに使用してください。" xr:uid="{72D89389-0570-4B48-887D-A6E7D022DEF5}">
          <x14:formula1>
            <xm:f>本紙!S9="新規・追加・減少・廃止申込(月額支払い型)"</xm:f>
          </x14:formula1>
          <xm:sqref>H9:AT10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AD738-3A5B-4CF0-A064-3158731D8916}">
  <dimension ref="A1:DP119"/>
  <sheetViews>
    <sheetView showGridLines="0" view="pageBreakPreview" zoomScale="85" zoomScaleNormal="100" zoomScaleSheetLayoutView="85" workbookViewId="0">
      <selection activeCell="S12" sqref="S12:AX14"/>
    </sheetView>
  </sheetViews>
  <sheetFormatPr defaultColWidth="2.19921875" defaultRowHeight="13.2" x14ac:dyDescent="0.45"/>
  <cols>
    <col min="1" max="9" width="2.19921875" style="3"/>
    <col min="10" max="10" width="2.8984375" style="3" customWidth="1"/>
    <col min="11" max="38" width="2.19921875" style="3"/>
    <col min="39" max="39" width="3.09765625" style="3" customWidth="1"/>
    <col min="40" max="54" width="2.19921875" style="3"/>
    <col min="55" max="62" width="2.19921875" style="3" hidden="1" customWidth="1"/>
    <col min="63" max="63" width="2.19921875" style="57" hidden="1" customWidth="1"/>
    <col min="64" max="76" width="2.19921875" style="3" hidden="1" customWidth="1"/>
    <col min="77" max="16384" width="2.19921875" style="3"/>
  </cols>
  <sheetData>
    <row r="1" spans="1:102" s="24" customFormat="1" ht="6.75" customHeight="1" x14ac:dyDescent="0.45">
      <c r="A1" s="21" t="str">
        <f>AZ5</f>
        <v>Ver2.7(2023.6.12～)</v>
      </c>
      <c r="B1" s="22" t="s">
        <v>167</v>
      </c>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BK1" s="25"/>
    </row>
    <row r="2" spans="1:102" s="24" customFormat="1" ht="6.75" customHeight="1" x14ac:dyDescent="0.45">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BK2" s="25"/>
    </row>
    <row r="3" spans="1:102" s="24" customFormat="1" ht="6.75" customHeight="1" x14ac:dyDescent="0.45">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BK3" s="25"/>
    </row>
    <row r="4" spans="1:102" s="24" customFormat="1" ht="20.25" customHeight="1" x14ac:dyDescent="0.45">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BK4" s="25"/>
    </row>
    <row r="5" spans="1:102" s="24" customFormat="1" ht="20.25" customHeight="1" x14ac:dyDescent="0.45">
      <c r="B5" s="393" t="s">
        <v>16</v>
      </c>
      <c r="C5" s="394"/>
      <c r="D5" s="394"/>
      <c r="E5" s="394"/>
      <c r="F5" s="394"/>
      <c r="G5" s="394"/>
      <c r="H5" s="394"/>
      <c r="I5" s="395" t="s">
        <v>17</v>
      </c>
      <c r="J5" s="395"/>
      <c r="K5" s="395"/>
      <c r="L5" s="395"/>
      <c r="M5" s="395"/>
      <c r="N5" s="395"/>
      <c r="O5" s="395"/>
      <c r="P5" s="395"/>
      <c r="Q5" s="395"/>
      <c r="R5" s="395"/>
      <c r="S5" s="395"/>
      <c r="T5" s="395"/>
      <c r="U5" s="395"/>
      <c r="V5" s="395"/>
      <c r="W5" s="395"/>
      <c r="X5" s="395"/>
      <c r="Y5" s="393" t="s">
        <v>18</v>
      </c>
      <c r="Z5" s="394"/>
      <c r="AA5" s="394"/>
      <c r="AB5" s="394"/>
      <c r="AC5" s="394"/>
      <c r="AD5" s="394"/>
      <c r="AE5" s="394"/>
      <c r="AF5" s="395" t="s">
        <v>19</v>
      </c>
      <c r="AG5" s="395"/>
      <c r="AH5" s="395"/>
      <c r="AI5" s="395"/>
      <c r="AJ5" s="395"/>
      <c r="AK5" s="395"/>
      <c r="AL5" s="395"/>
      <c r="AM5" s="395"/>
      <c r="AN5" s="395"/>
      <c r="AO5" s="395"/>
      <c r="AP5" s="395"/>
      <c r="AQ5" s="395"/>
      <c r="AR5" s="395"/>
      <c r="AS5" s="32"/>
      <c r="AT5" s="32"/>
      <c r="AU5" s="32"/>
      <c r="AV5" s="32"/>
      <c r="AW5" s="32"/>
      <c r="AX5" s="32"/>
      <c r="AY5" s="32"/>
      <c r="AZ5" s="33" t="s">
        <v>20</v>
      </c>
      <c r="BK5" s="25"/>
    </row>
    <row r="6" spans="1:102" s="24" customFormat="1" ht="11.25" customHeight="1" x14ac:dyDescent="0.45">
      <c r="B6" s="34" t="s">
        <v>168</v>
      </c>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BK6" s="25"/>
    </row>
    <row r="7" spans="1:102" ht="26.25" customHeight="1" x14ac:dyDescent="0.45">
      <c r="B7" s="35" t="s">
        <v>22</v>
      </c>
      <c r="C7" s="35"/>
      <c r="D7" s="35"/>
      <c r="E7" s="35"/>
      <c r="F7" s="35"/>
      <c r="G7" s="35"/>
      <c r="H7" s="35" t="s">
        <v>23</v>
      </c>
      <c r="I7" s="35"/>
      <c r="J7" s="36"/>
      <c r="K7" s="36"/>
      <c r="L7" s="36"/>
      <c r="M7" s="36"/>
      <c r="N7" s="37" t="s">
        <v>24</v>
      </c>
      <c r="O7" s="36"/>
      <c r="P7" s="36"/>
      <c r="Q7" s="36"/>
      <c r="R7" s="36"/>
      <c r="S7" s="37" t="s">
        <v>25</v>
      </c>
      <c r="T7" s="36"/>
      <c r="U7" s="36"/>
      <c r="V7" s="36"/>
      <c r="W7" s="36"/>
      <c r="X7" s="37" t="s">
        <v>26</v>
      </c>
      <c r="Y7" s="396"/>
      <c r="Z7" s="397"/>
      <c r="AA7" s="397"/>
      <c r="AB7" s="397"/>
      <c r="AC7" s="397"/>
      <c r="AD7" s="397"/>
      <c r="AE7" s="397"/>
      <c r="AF7" s="397"/>
      <c r="AG7" s="397"/>
      <c r="AH7" s="397"/>
      <c r="AI7" s="397"/>
      <c r="AJ7" s="40" t="s">
        <v>27</v>
      </c>
      <c r="AK7" s="41"/>
      <c r="AL7" s="41"/>
      <c r="AM7" s="41"/>
      <c r="AN7" s="42"/>
      <c r="AO7" s="43" t="str">
        <f>"CAF"&amp;M23&amp;N23&amp;O23&amp;P23&amp;Q23&amp;R23&amp;S23&amp;T23&amp;U23&amp;V23&amp;"WSO"&amp;LEFT(I11,6)&amp;[1]Sheet1!C3&amp;[1]Sheet1!D3</f>
        <v>CAFWSO0000</v>
      </c>
      <c r="AP7" s="44"/>
      <c r="AQ7" s="44"/>
      <c r="AR7" s="44"/>
      <c r="AS7" s="44"/>
      <c r="AT7" s="44"/>
      <c r="AU7" s="44"/>
      <c r="AV7" s="44"/>
      <c r="AW7" s="44"/>
      <c r="AX7" s="44"/>
      <c r="AY7" s="45"/>
      <c r="BD7" s="47"/>
      <c r="BE7" s="47"/>
      <c r="BF7" s="47"/>
      <c r="BG7" s="47"/>
      <c r="BH7" s="47"/>
      <c r="BI7" s="47"/>
      <c r="BK7" s="48"/>
      <c r="BL7" s="48"/>
      <c r="BM7" s="48"/>
      <c r="BN7" s="48"/>
      <c r="BO7" s="48"/>
      <c r="BP7" s="48"/>
      <c r="BY7" s="46"/>
    </row>
    <row r="8" spans="1:102" ht="21.75" customHeight="1" x14ac:dyDescent="0.45">
      <c r="B8" s="49" t="s">
        <v>28</v>
      </c>
      <c r="C8" s="49"/>
      <c r="D8" s="49"/>
      <c r="E8" s="49"/>
      <c r="F8" s="49"/>
      <c r="G8" s="49"/>
      <c r="H8" s="398" t="s">
        <v>29</v>
      </c>
      <c r="I8" s="399"/>
      <c r="J8" s="400"/>
      <c r="K8" s="51"/>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3"/>
      <c r="AU8" s="54" t="s">
        <v>31</v>
      </c>
      <c r="AV8" s="54"/>
      <c r="AW8" s="54"/>
      <c r="AX8" s="54"/>
      <c r="AY8" s="55"/>
      <c r="BD8" s="56"/>
      <c r="BE8" s="56"/>
    </row>
    <row r="9" spans="1:102" ht="21.75" customHeight="1" x14ac:dyDescent="0.45">
      <c r="B9" s="49"/>
      <c r="C9" s="49"/>
      <c r="D9" s="49"/>
      <c r="E9" s="49"/>
      <c r="F9" s="49"/>
      <c r="G9" s="49"/>
      <c r="H9" s="58"/>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60"/>
      <c r="AU9" s="61"/>
      <c r="AV9" s="61"/>
      <c r="AW9" s="61"/>
      <c r="AX9" s="61"/>
      <c r="AY9" s="62"/>
      <c r="BD9" s="56"/>
      <c r="BE9" s="63"/>
    </row>
    <row r="10" spans="1:102" ht="21.75" customHeight="1" x14ac:dyDescent="0.45">
      <c r="B10" s="49"/>
      <c r="C10" s="49"/>
      <c r="D10" s="49"/>
      <c r="E10" s="49"/>
      <c r="F10" s="49"/>
      <c r="G10" s="49"/>
      <c r="H10" s="64"/>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6"/>
      <c r="AU10" s="67"/>
      <c r="AV10" s="67"/>
      <c r="AW10" s="67"/>
      <c r="AX10" s="67"/>
      <c r="AY10" s="68"/>
      <c r="BD10" s="56"/>
      <c r="BK10" s="69"/>
      <c r="BL10" s="69"/>
      <c r="BM10" s="69"/>
      <c r="BN10" s="69"/>
      <c r="BO10" s="69"/>
      <c r="BP10" s="69"/>
    </row>
    <row r="11" spans="1:102" ht="13.5" customHeight="1" x14ac:dyDescent="0.2">
      <c r="B11" s="70" t="s">
        <v>33</v>
      </c>
      <c r="C11" s="71"/>
      <c r="D11" s="71"/>
      <c r="E11" s="71"/>
      <c r="F11" s="71"/>
      <c r="G11" s="72"/>
      <c r="H11" s="73" t="s">
        <v>34</v>
      </c>
      <c r="I11" s="74"/>
      <c r="J11" s="74"/>
      <c r="K11" s="74"/>
      <c r="L11" s="74"/>
      <c r="M11" s="74"/>
      <c r="N11" s="74"/>
      <c r="O11" s="74"/>
      <c r="P11" s="74"/>
      <c r="Q11" s="50" t="s">
        <v>29</v>
      </c>
      <c r="R11" s="50"/>
      <c r="S11" s="50"/>
      <c r="T11" s="75"/>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7"/>
      <c r="BA11" s="78" t="s">
        <v>36</v>
      </c>
      <c r="BB11" s="78"/>
      <c r="BC11" s="78"/>
      <c r="BD11" s="78"/>
      <c r="BE11" s="78"/>
      <c r="BF11" s="78"/>
      <c r="BG11" s="78"/>
      <c r="BH11" s="78"/>
      <c r="BI11" s="78"/>
      <c r="BJ11" s="78"/>
      <c r="BK11" s="78"/>
      <c r="BL11" s="78"/>
      <c r="BM11" s="78"/>
      <c r="BN11" s="78"/>
      <c r="BO11" s="78"/>
      <c r="BP11" s="78"/>
      <c r="BQ11" s="78"/>
      <c r="BR11" s="78"/>
      <c r="BS11" s="78"/>
      <c r="BT11" s="78"/>
      <c r="BU11" s="78"/>
      <c r="BV11" s="78"/>
      <c r="BW11" s="78"/>
      <c r="BX11" s="78"/>
      <c r="BY11" s="78"/>
      <c r="BZ11" s="78"/>
      <c r="CA11" s="78"/>
      <c r="CB11" s="78"/>
      <c r="CC11" s="78"/>
      <c r="CD11" s="78"/>
      <c r="CE11" s="78"/>
      <c r="CF11" s="78"/>
      <c r="CG11" s="78"/>
      <c r="CH11" s="78"/>
      <c r="CI11" s="78"/>
      <c r="CJ11" s="78"/>
      <c r="CK11" s="78"/>
      <c r="CL11" s="78"/>
      <c r="CM11" s="78"/>
      <c r="CN11" s="78"/>
      <c r="CO11" s="78"/>
      <c r="CP11" s="78"/>
      <c r="CQ11" s="78"/>
      <c r="CR11" s="78"/>
      <c r="CS11" s="78"/>
      <c r="CT11" s="78"/>
      <c r="CU11" s="78"/>
      <c r="CV11" s="78"/>
      <c r="CW11" s="78"/>
      <c r="CX11" s="78"/>
    </row>
    <row r="12" spans="1:102" ht="13.5" customHeight="1" x14ac:dyDescent="0.45">
      <c r="B12" s="79"/>
      <c r="C12" s="80"/>
      <c r="D12" s="80"/>
      <c r="E12" s="80"/>
      <c r="F12" s="80"/>
      <c r="G12" s="81"/>
      <c r="H12" s="82" t="s">
        <v>37</v>
      </c>
      <c r="I12" s="83"/>
      <c r="J12" s="84"/>
      <c r="K12" s="11"/>
      <c r="L12" s="12"/>
      <c r="M12" s="12"/>
      <c r="N12" s="12"/>
      <c r="O12" s="12"/>
      <c r="P12" s="85"/>
      <c r="Q12" s="86" t="s">
        <v>39</v>
      </c>
      <c r="R12" s="87"/>
      <c r="S12" s="88"/>
      <c r="T12" s="89"/>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1"/>
      <c r="BA12" s="92" t="s">
        <v>41</v>
      </c>
      <c r="BD12" s="56"/>
      <c r="BK12" s="63"/>
      <c r="BL12" s="63"/>
      <c r="BM12" s="63"/>
      <c r="BN12" s="63"/>
      <c r="BO12" s="63"/>
      <c r="BP12" s="63"/>
    </row>
    <row r="13" spans="1:102" ht="13.5" customHeight="1" x14ac:dyDescent="0.45">
      <c r="B13" s="79"/>
      <c r="C13" s="80"/>
      <c r="D13" s="80"/>
      <c r="E13" s="80"/>
      <c r="F13" s="80"/>
      <c r="G13" s="81"/>
      <c r="H13" s="93"/>
      <c r="I13" s="94"/>
      <c r="J13" s="95"/>
      <c r="K13" s="16"/>
      <c r="L13" s="17"/>
      <c r="M13" s="17"/>
      <c r="N13" s="17"/>
      <c r="O13" s="17"/>
      <c r="P13" s="96"/>
      <c r="Q13" s="97"/>
      <c r="R13" s="98"/>
      <c r="S13" s="99"/>
      <c r="T13" s="100"/>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2"/>
      <c r="BD13" s="56"/>
      <c r="BK13" s="69"/>
      <c r="BL13" s="69"/>
      <c r="BM13" s="69"/>
      <c r="BN13" s="69"/>
      <c r="BO13" s="69"/>
      <c r="BP13" s="69"/>
    </row>
    <row r="14" spans="1:102" ht="13.5" customHeight="1" x14ac:dyDescent="0.45">
      <c r="B14" s="103"/>
      <c r="C14" s="104"/>
      <c r="D14" s="104"/>
      <c r="E14" s="104"/>
      <c r="F14" s="104"/>
      <c r="G14" s="105"/>
      <c r="H14" s="106" t="s">
        <v>47</v>
      </c>
      <c r="I14" s="107"/>
      <c r="J14" s="108" t="s">
        <v>43</v>
      </c>
      <c r="K14" s="108"/>
      <c r="L14" s="108"/>
      <c r="M14" s="108"/>
      <c r="N14" s="108"/>
      <c r="O14" s="108"/>
      <c r="P14" s="109"/>
      <c r="Q14" s="110" t="s">
        <v>44</v>
      </c>
      <c r="R14" s="111"/>
      <c r="S14" s="112"/>
      <c r="T14" s="113"/>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c r="AY14" s="115"/>
      <c r="BD14" s="56"/>
      <c r="BK14" s="69"/>
      <c r="BL14" s="69"/>
      <c r="BM14" s="69"/>
      <c r="BN14" s="69"/>
      <c r="BO14" s="69"/>
      <c r="BP14" s="69"/>
    </row>
    <row r="15" spans="1:102" ht="15" customHeight="1" x14ac:dyDescent="0.45">
      <c r="B15" s="116" t="s">
        <v>45</v>
      </c>
      <c r="C15" s="41"/>
      <c r="D15" s="41"/>
      <c r="E15" s="41"/>
      <c r="F15" s="41"/>
      <c r="G15" s="42"/>
      <c r="H15" s="106" t="s">
        <v>47</v>
      </c>
      <c r="I15" s="107"/>
      <c r="J15" s="107"/>
      <c r="K15" s="117" t="s">
        <v>46</v>
      </c>
      <c r="L15" s="117"/>
      <c r="M15" s="117"/>
      <c r="N15" s="117"/>
      <c r="O15" s="117"/>
      <c r="P15" s="117"/>
      <c r="Q15" s="117"/>
      <c r="R15" s="117"/>
      <c r="S15" s="117"/>
      <c r="T15" s="117"/>
      <c r="U15" s="117"/>
      <c r="V15" s="117"/>
      <c r="W15" s="117"/>
      <c r="X15" s="118"/>
      <c r="Y15" s="116"/>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2"/>
    </row>
    <row r="16" spans="1:102" ht="15" customHeight="1" x14ac:dyDescent="0.45">
      <c r="B16" s="116"/>
      <c r="C16" s="41"/>
      <c r="D16" s="41"/>
      <c r="E16" s="41"/>
      <c r="F16" s="41"/>
      <c r="G16" s="42"/>
      <c r="H16" s="119" t="s">
        <v>34</v>
      </c>
      <c r="I16" s="74"/>
      <c r="J16" s="74"/>
      <c r="K16" s="74"/>
      <c r="L16" s="74"/>
      <c r="M16" s="74"/>
      <c r="N16" s="74"/>
      <c r="O16" s="74"/>
      <c r="P16" s="74"/>
      <c r="Q16" s="50" t="s">
        <v>29</v>
      </c>
      <c r="R16" s="50"/>
      <c r="S16" s="5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row>
    <row r="17" spans="2:51" ht="15" customHeight="1" x14ac:dyDescent="0.45">
      <c r="B17" s="116"/>
      <c r="C17" s="41"/>
      <c r="D17" s="41"/>
      <c r="E17" s="41"/>
      <c r="F17" s="41"/>
      <c r="G17" s="42"/>
      <c r="H17" s="82" t="s">
        <v>37</v>
      </c>
      <c r="I17" s="83"/>
      <c r="J17" s="84"/>
      <c r="K17" s="11"/>
      <c r="L17" s="12"/>
      <c r="M17" s="12"/>
      <c r="N17" s="12"/>
      <c r="O17" s="12"/>
      <c r="P17" s="85"/>
      <c r="Q17" s="86" t="s">
        <v>39</v>
      </c>
      <c r="R17" s="87"/>
      <c r="S17" s="88"/>
      <c r="T17" s="89"/>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1"/>
    </row>
    <row r="18" spans="2:51" ht="15" customHeight="1" x14ac:dyDescent="0.45">
      <c r="B18" s="116"/>
      <c r="C18" s="41"/>
      <c r="D18" s="41"/>
      <c r="E18" s="41"/>
      <c r="F18" s="41"/>
      <c r="G18" s="42"/>
      <c r="H18" s="93"/>
      <c r="I18" s="94"/>
      <c r="J18" s="95"/>
      <c r="K18" s="16"/>
      <c r="L18" s="17"/>
      <c r="M18" s="17"/>
      <c r="N18" s="17"/>
      <c r="O18" s="17"/>
      <c r="P18" s="96"/>
      <c r="Q18" s="97"/>
      <c r="R18" s="98"/>
      <c r="S18" s="99"/>
      <c r="T18" s="100"/>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2"/>
    </row>
    <row r="19" spans="2:51" ht="15" customHeight="1" x14ac:dyDescent="0.45">
      <c r="B19" s="116"/>
      <c r="C19" s="41"/>
      <c r="D19" s="41"/>
      <c r="E19" s="41"/>
      <c r="F19" s="41"/>
      <c r="G19" s="42"/>
      <c r="H19" s="107" t="s">
        <v>98</v>
      </c>
      <c r="I19" s="107"/>
      <c r="J19" s="108" t="s">
        <v>43</v>
      </c>
      <c r="K19" s="108"/>
      <c r="L19" s="108"/>
      <c r="M19" s="122"/>
      <c r="N19" s="122"/>
      <c r="O19" s="122"/>
      <c r="P19" s="123"/>
      <c r="Q19" s="124" t="s">
        <v>44</v>
      </c>
      <c r="R19" s="125"/>
      <c r="S19" s="126"/>
      <c r="T19" s="127"/>
      <c r="U19" s="128"/>
      <c r="V19" s="128"/>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5"/>
    </row>
    <row r="20" spans="2:51" ht="15" customHeight="1" x14ac:dyDescent="0.45">
      <c r="B20" s="129" t="s">
        <v>48</v>
      </c>
      <c r="C20" s="130"/>
      <c r="D20" s="130"/>
      <c r="E20" s="130"/>
      <c r="F20" s="130"/>
      <c r="G20" s="131"/>
      <c r="H20" s="132"/>
      <c r="I20" s="133"/>
      <c r="J20" s="133"/>
      <c r="K20" s="133"/>
      <c r="L20" s="133"/>
      <c r="M20" s="133"/>
      <c r="N20" s="133"/>
      <c r="O20" s="133"/>
      <c r="P20" s="133"/>
      <c r="Q20" s="133"/>
      <c r="R20" s="133"/>
      <c r="S20" s="133"/>
      <c r="T20" s="133"/>
      <c r="U20" s="133"/>
      <c r="V20" s="134"/>
      <c r="W20" s="49" t="s">
        <v>49</v>
      </c>
      <c r="X20" s="49"/>
      <c r="Y20" s="49"/>
      <c r="Z20" s="49"/>
      <c r="AA20" s="49"/>
      <c r="AB20" s="49"/>
      <c r="AC20" s="135" t="s">
        <v>29</v>
      </c>
      <c r="AD20" s="136"/>
      <c r="AE20" s="137"/>
      <c r="AF20" s="138"/>
      <c r="AG20" s="139"/>
      <c r="AH20" s="139"/>
      <c r="AI20" s="139"/>
      <c r="AJ20" s="139"/>
      <c r="AK20" s="139"/>
      <c r="AL20" s="139"/>
      <c r="AM20" s="139"/>
      <c r="AN20" s="139"/>
      <c r="AO20" s="139"/>
      <c r="AP20" s="139"/>
      <c r="AQ20" s="139"/>
      <c r="AR20" s="139"/>
      <c r="AS20" s="139"/>
      <c r="AT20" s="139"/>
      <c r="AU20" s="139"/>
      <c r="AV20" s="139"/>
      <c r="AW20" s="139"/>
      <c r="AX20" s="139"/>
      <c r="AY20" s="140"/>
    </row>
    <row r="21" spans="2:51" ht="15" customHeight="1" x14ac:dyDescent="0.45">
      <c r="B21" s="141"/>
      <c r="C21" s="142"/>
      <c r="D21" s="142"/>
      <c r="E21" s="142"/>
      <c r="F21" s="142"/>
      <c r="G21" s="143"/>
      <c r="H21" s="144"/>
      <c r="I21" s="145"/>
      <c r="J21" s="145"/>
      <c r="K21" s="145"/>
      <c r="L21" s="145"/>
      <c r="M21" s="145"/>
      <c r="N21" s="145"/>
      <c r="O21" s="145"/>
      <c r="P21" s="145"/>
      <c r="Q21" s="145"/>
      <c r="R21" s="145"/>
      <c r="S21" s="145"/>
      <c r="T21" s="145"/>
      <c r="U21" s="145"/>
      <c r="V21" s="146"/>
      <c r="W21" s="49"/>
      <c r="X21" s="49"/>
      <c r="Y21" s="49"/>
      <c r="Z21" s="49"/>
      <c r="AA21" s="49"/>
      <c r="AB21" s="49"/>
      <c r="AC21" s="132"/>
      <c r="AD21" s="133"/>
      <c r="AE21" s="133"/>
      <c r="AF21" s="133"/>
      <c r="AG21" s="133"/>
      <c r="AH21" s="133"/>
      <c r="AI21" s="133"/>
      <c r="AJ21" s="133"/>
      <c r="AK21" s="133"/>
      <c r="AL21" s="133"/>
      <c r="AM21" s="133"/>
      <c r="AN21" s="133"/>
      <c r="AO21" s="133"/>
      <c r="AP21" s="133"/>
      <c r="AQ21" s="133"/>
      <c r="AR21" s="133"/>
      <c r="AS21" s="133"/>
      <c r="AT21" s="133"/>
      <c r="AU21" s="133"/>
      <c r="AV21" s="133"/>
      <c r="AW21" s="133"/>
      <c r="AX21" s="133"/>
      <c r="AY21" s="134"/>
    </row>
    <row r="22" spans="2:51" ht="15" customHeight="1" x14ac:dyDescent="0.45">
      <c r="B22" s="147"/>
      <c r="C22" s="148"/>
      <c r="D22" s="148"/>
      <c r="E22" s="148"/>
      <c r="F22" s="148"/>
      <c r="G22" s="149"/>
      <c r="H22" s="144"/>
      <c r="I22" s="145"/>
      <c r="J22" s="145"/>
      <c r="K22" s="145"/>
      <c r="L22" s="145"/>
      <c r="M22" s="145"/>
      <c r="N22" s="145"/>
      <c r="O22" s="145"/>
      <c r="P22" s="145"/>
      <c r="Q22" s="145"/>
      <c r="R22" s="145"/>
      <c r="S22" s="145"/>
      <c r="T22" s="145"/>
      <c r="U22" s="145"/>
      <c r="V22" s="146"/>
      <c r="W22" s="49"/>
      <c r="X22" s="49"/>
      <c r="Y22" s="49"/>
      <c r="Z22" s="49"/>
      <c r="AA22" s="49"/>
      <c r="AB22" s="49"/>
      <c r="AC22" s="150"/>
      <c r="AD22" s="151"/>
      <c r="AE22" s="151"/>
      <c r="AF22" s="151"/>
      <c r="AG22" s="151"/>
      <c r="AH22" s="151"/>
      <c r="AI22" s="151"/>
      <c r="AJ22" s="151"/>
      <c r="AK22" s="151"/>
      <c r="AL22" s="151"/>
      <c r="AM22" s="151"/>
      <c r="AN22" s="151"/>
      <c r="AO22" s="151"/>
      <c r="AP22" s="151"/>
      <c r="AQ22" s="151"/>
      <c r="AR22" s="151"/>
      <c r="AS22" s="151"/>
      <c r="AT22" s="151"/>
      <c r="AU22" s="151"/>
      <c r="AV22" s="151"/>
      <c r="AW22" s="151"/>
      <c r="AX22" s="151"/>
      <c r="AY22" s="152"/>
    </row>
    <row r="23" spans="2:51" ht="15" customHeight="1" x14ac:dyDescent="0.45">
      <c r="B23" s="116" t="s">
        <v>52</v>
      </c>
      <c r="C23" s="41"/>
      <c r="D23" s="41"/>
      <c r="E23" s="41"/>
      <c r="F23" s="41"/>
      <c r="G23" s="42"/>
      <c r="H23" s="153" t="s">
        <v>53</v>
      </c>
      <c r="I23" s="154"/>
      <c r="J23" s="154"/>
      <c r="K23" s="154"/>
      <c r="L23" s="155"/>
      <c r="M23" s="156"/>
      <c r="N23" s="156"/>
      <c r="O23" s="156"/>
      <c r="P23" s="156"/>
      <c r="Q23" s="401"/>
      <c r="R23" s="401"/>
      <c r="S23" s="401"/>
      <c r="T23" s="401"/>
      <c r="U23" s="401"/>
      <c r="V23" s="401"/>
      <c r="W23" s="157" t="s">
        <v>60</v>
      </c>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9"/>
    </row>
    <row r="24" spans="2:51" ht="13.5" customHeight="1" x14ac:dyDescent="0.45">
      <c r="B24" s="160" t="s">
        <v>61</v>
      </c>
      <c r="C24" s="130" t="s">
        <v>62</v>
      </c>
      <c r="D24" s="130"/>
      <c r="E24" s="130"/>
      <c r="F24" s="130"/>
      <c r="G24" s="131"/>
      <c r="H24" s="402"/>
      <c r="I24" s="403"/>
      <c r="J24" s="403"/>
      <c r="K24" s="403"/>
      <c r="L24" s="403"/>
      <c r="M24" s="162"/>
      <c r="N24" s="162"/>
      <c r="O24" s="162"/>
      <c r="P24" s="162"/>
      <c r="Q24" s="162"/>
      <c r="R24" s="162"/>
      <c r="S24" s="162"/>
      <c r="T24" s="162"/>
      <c r="U24" s="162"/>
      <c r="V24" s="163"/>
      <c r="W24" s="49" t="s">
        <v>63</v>
      </c>
      <c r="X24" s="49"/>
      <c r="Y24" s="49"/>
      <c r="Z24" s="49"/>
      <c r="AA24" s="49"/>
      <c r="AB24" s="49"/>
      <c r="AC24" s="50" t="s">
        <v>29</v>
      </c>
      <c r="AD24" s="50"/>
      <c r="AE24" s="50"/>
      <c r="AF24" s="75"/>
      <c r="AG24" s="76"/>
      <c r="AH24" s="76"/>
      <c r="AI24" s="76"/>
      <c r="AJ24" s="76"/>
      <c r="AK24" s="76"/>
      <c r="AL24" s="76"/>
      <c r="AM24" s="76"/>
      <c r="AN24" s="76"/>
      <c r="AO24" s="76"/>
      <c r="AP24" s="76"/>
      <c r="AQ24" s="76"/>
      <c r="AR24" s="76"/>
      <c r="AS24" s="76"/>
      <c r="AT24" s="76"/>
      <c r="AU24" s="76"/>
      <c r="AV24" s="76"/>
      <c r="AW24" s="76"/>
      <c r="AX24" s="76"/>
      <c r="AY24" s="77"/>
    </row>
    <row r="25" spans="2:51" x14ac:dyDescent="0.45">
      <c r="B25" s="164"/>
      <c r="C25" s="142"/>
      <c r="D25" s="142"/>
      <c r="E25" s="142"/>
      <c r="F25" s="142"/>
      <c r="G25" s="143"/>
      <c r="H25" s="161"/>
      <c r="I25" s="162"/>
      <c r="J25" s="162"/>
      <c r="K25" s="162"/>
      <c r="L25" s="162"/>
      <c r="M25" s="162"/>
      <c r="N25" s="162"/>
      <c r="O25" s="162"/>
      <c r="P25" s="162"/>
      <c r="Q25" s="162"/>
      <c r="R25" s="162"/>
      <c r="S25" s="162"/>
      <c r="T25" s="162"/>
      <c r="U25" s="162"/>
      <c r="V25" s="163"/>
      <c r="W25" s="49"/>
      <c r="X25" s="49"/>
      <c r="Y25" s="49"/>
      <c r="Z25" s="49"/>
      <c r="AA25" s="49"/>
      <c r="AB25" s="49"/>
      <c r="AC25" s="165"/>
      <c r="AD25" s="166"/>
      <c r="AE25" s="166"/>
      <c r="AF25" s="166"/>
      <c r="AG25" s="166"/>
      <c r="AH25" s="166"/>
      <c r="AI25" s="166"/>
      <c r="AJ25" s="166"/>
      <c r="AK25" s="166"/>
      <c r="AL25" s="166"/>
      <c r="AM25" s="166"/>
      <c r="AN25" s="166"/>
      <c r="AO25" s="166"/>
      <c r="AP25" s="166"/>
      <c r="AQ25" s="166"/>
      <c r="AR25" s="166"/>
      <c r="AS25" s="166"/>
      <c r="AT25" s="166"/>
      <c r="AU25" s="166"/>
      <c r="AV25" s="166"/>
      <c r="AW25" s="166"/>
      <c r="AX25" s="166"/>
      <c r="AY25" s="167"/>
    </row>
    <row r="26" spans="2:51" ht="12.75" customHeight="1" x14ac:dyDescent="0.45">
      <c r="B26" s="164"/>
      <c r="C26" s="148"/>
      <c r="D26" s="148"/>
      <c r="E26" s="148"/>
      <c r="F26" s="148"/>
      <c r="G26" s="149"/>
      <c r="H26" s="168"/>
      <c r="I26" s="169"/>
      <c r="J26" s="169"/>
      <c r="K26" s="169"/>
      <c r="L26" s="169"/>
      <c r="M26" s="169"/>
      <c r="N26" s="169"/>
      <c r="O26" s="169"/>
      <c r="P26" s="169"/>
      <c r="Q26" s="169"/>
      <c r="R26" s="169"/>
      <c r="S26" s="169"/>
      <c r="T26" s="169"/>
      <c r="U26" s="169"/>
      <c r="V26" s="170"/>
      <c r="W26" s="49"/>
      <c r="X26" s="49"/>
      <c r="Y26" s="49"/>
      <c r="Z26" s="49"/>
      <c r="AA26" s="49"/>
      <c r="AB26" s="49"/>
      <c r="AC26" s="171"/>
      <c r="AD26" s="172"/>
      <c r="AE26" s="172"/>
      <c r="AF26" s="172"/>
      <c r="AG26" s="172"/>
      <c r="AH26" s="172"/>
      <c r="AI26" s="172"/>
      <c r="AJ26" s="172"/>
      <c r="AK26" s="172"/>
      <c r="AL26" s="172"/>
      <c r="AM26" s="172"/>
      <c r="AN26" s="172"/>
      <c r="AO26" s="172"/>
      <c r="AP26" s="172"/>
      <c r="AQ26" s="172"/>
      <c r="AR26" s="172"/>
      <c r="AS26" s="172"/>
      <c r="AT26" s="172"/>
      <c r="AU26" s="172"/>
      <c r="AV26" s="172"/>
      <c r="AW26" s="172"/>
      <c r="AX26" s="172"/>
      <c r="AY26" s="173"/>
    </row>
    <row r="27" spans="2:51" ht="18" customHeight="1" x14ac:dyDescent="0.45">
      <c r="B27" s="164"/>
      <c r="C27" s="174" t="s">
        <v>65</v>
      </c>
      <c r="D27" s="174"/>
      <c r="E27" s="174"/>
      <c r="F27" s="174"/>
      <c r="G27" s="175"/>
      <c r="H27" s="176"/>
      <c r="I27" s="177"/>
      <c r="J27" s="177"/>
      <c r="K27" s="177"/>
      <c r="L27" s="177"/>
      <c r="M27" s="177"/>
      <c r="N27" s="177"/>
      <c r="O27" s="177"/>
      <c r="P27" s="177"/>
      <c r="Q27" s="177"/>
      <c r="R27" s="177"/>
      <c r="S27" s="177"/>
      <c r="T27" s="177"/>
      <c r="U27" s="177"/>
      <c r="V27" s="178"/>
      <c r="W27" s="179" t="s">
        <v>66</v>
      </c>
      <c r="X27" s="180"/>
      <c r="Y27" s="180"/>
      <c r="Z27" s="180"/>
      <c r="AA27" s="180"/>
      <c r="AB27" s="180"/>
      <c r="AC27" s="180"/>
      <c r="AD27" s="180"/>
      <c r="AE27" s="180"/>
      <c r="AF27" s="180"/>
      <c r="AG27" s="180"/>
      <c r="AH27" s="180"/>
      <c r="AI27" s="180"/>
      <c r="AJ27" s="180"/>
      <c r="AK27" s="180"/>
      <c r="AL27" s="180"/>
      <c r="AM27" s="180"/>
      <c r="AN27" s="180"/>
      <c r="AO27" s="180"/>
      <c r="AP27" s="180"/>
      <c r="AQ27" s="180"/>
      <c r="AR27" s="180"/>
      <c r="AS27" s="180"/>
      <c r="AT27" s="180"/>
      <c r="AU27" s="180"/>
      <c r="AV27" s="180"/>
      <c r="AW27" s="180"/>
      <c r="AX27" s="180"/>
      <c r="AY27" s="181"/>
    </row>
    <row r="28" spans="2:51" ht="18" customHeight="1" x14ac:dyDescent="0.45">
      <c r="B28" s="164"/>
      <c r="C28" s="182"/>
      <c r="D28" s="182"/>
      <c r="E28" s="182"/>
      <c r="F28" s="182"/>
      <c r="G28" s="183"/>
      <c r="H28" s="184" t="s">
        <v>67</v>
      </c>
      <c r="I28" s="185"/>
      <c r="J28" s="185"/>
      <c r="K28" s="185"/>
      <c r="L28" s="186" t="s">
        <v>69</v>
      </c>
      <c r="M28" s="185"/>
      <c r="N28" s="185"/>
      <c r="O28" s="185"/>
      <c r="P28" s="185"/>
      <c r="Q28" s="186" t="s">
        <v>71</v>
      </c>
      <c r="R28" s="185"/>
      <c r="S28" s="185"/>
      <c r="T28" s="185"/>
      <c r="U28" s="185"/>
      <c r="V28" s="187"/>
      <c r="W28" s="188"/>
      <c r="X28" s="189"/>
      <c r="Y28" s="189"/>
      <c r="Z28" s="189"/>
      <c r="AA28" s="189"/>
      <c r="AB28" s="189"/>
      <c r="AC28" s="189"/>
      <c r="AD28" s="189"/>
      <c r="AE28" s="189"/>
      <c r="AF28" s="189"/>
      <c r="AG28" s="189"/>
      <c r="AH28" s="189"/>
      <c r="AI28" s="189"/>
      <c r="AJ28" s="189"/>
      <c r="AK28" s="189"/>
      <c r="AL28" s="189"/>
      <c r="AM28" s="189"/>
      <c r="AN28" s="189"/>
      <c r="AO28" s="189"/>
      <c r="AP28" s="189"/>
      <c r="AQ28" s="189"/>
      <c r="AR28" s="189"/>
      <c r="AS28" s="189"/>
      <c r="AT28" s="189"/>
      <c r="AU28" s="189"/>
      <c r="AV28" s="189"/>
      <c r="AW28" s="189"/>
      <c r="AX28" s="189"/>
      <c r="AY28" s="190"/>
    </row>
    <row r="29" spans="2:51" ht="18" customHeight="1" x14ac:dyDescent="0.45">
      <c r="B29" s="164"/>
      <c r="C29" s="191"/>
      <c r="D29" s="191"/>
      <c r="E29" s="191"/>
      <c r="F29" s="191"/>
      <c r="G29" s="192"/>
      <c r="H29" s="193"/>
      <c r="I29" s="194"/>
      <c r="J29" s="195"/>
      <c r="K29" s="195"/>
      <c r="L29" s="195"/>
      <c r="M29" s="195"/>
      <c r="N29" s="195"/>
      <c r="O29" s="195"/>
      <c r="P29" s="195"/>
      <c r="Q29" s="195"/>
      <c r="R29" s="195"/>
      <c r="S29" s="195"/>
      <c r="T29" s="194"/>
      <c r="U29" s="194"/>
      <c r="V29" s="196"/>
      <c r="W29" s="188"/>
      <c r="X29" s="189"/>
      <c r="Y29" s="189"/>
      <c r="Z29" s="189"/>
      <c r="AA29" s="189"/>
      <c r="AB29" s="189"/>
      <c r="AC29" s="189"/>
      <c r="AD29" s="189"/>
      <c r="AE29" s="189"/>
      <c r="AF29" s="189"/>
      <c r="AG29" s="189"/>
      <c r="AH29" s="189"/>
      <c r="AI29" s="189"/>
      <c r="AJ29" s="189"/>
      <c r="AK29" s="189"/>
      <c r="AL29" s="189"/>
      <c r="AM29" s="189"/>
      <c r="AN29" s="189"/>
      <c r="AO29" s="189"/>
      <c r="AP29" s="189"/>
      <c r="AQ29" s="189"/>
      <c r="AR29" s="189"/>
      <c r="AS29" s="189"/>
      <c r="AT29" s="189"/>
      <c r="AU29" s="189"/>
      <c r="AV29" s="189"/>
      <c r="AW29" s="189"/>
      <c r="AX29" s="189"/>
      <c r="AY29" s="190"/>
    </row>
    <row r="30" spans="2:51" ht="18" customHeight="1" x14ac:dyDescent="0.45">
      <c r="B30" s="164"/>
      <c r="C30" s="174" t="s">
        <v>73</v>
      </c>
      <c r="D30" s="174"/>
      <c r="E30" s="174"/>
      <c r="F30" s="174"/>
      <c r="G30" s="175"/>
      <c r="H30" s="176"/>
      <c r="I30" s="177"/>
      <c r="J30" s="177"/>
      <c r="K30" s="177"/>
      <c r="L30" s="177"/>
      <c r="M30" s="177"/>
      <c r="N30" s="177"/>
      <c r="O30" s="177"/>
      <c r="P30" s="177"/>
      <c r="Q30" s="177"/>
      <c r="R30" s="177"/>
      <c r="S30" s="177"/>
      <c r="T30" s="177"/>
      <c r="U30" s="177"/>
      <c r="V30" s="178"/>
      <c r="W30" s="188"/>
      <c r="X30" s="189"/>
      <c r="Y30" s="189"/>
      <c r="Z30" s="189"/>
      <c r="AA30" s="189"/>
      <c r="AB30" s="189"/>
      <c r="AC30" s="189"/>
      <c r="AD30" s="189"/>
      <c r="AE30" s="189"/>
      <c r="AF30" s="189"/>
      <c r="AG30" s="189"/>
      <c r="AH30" s="189"/>
      <c r="AI30" s="189"/>
      <c r="AJ30" s="189"/>
      <c r="AK30" s="189"/>
      <c r="AL30" s="189"/>
      <c r="AM30" s="189"/>
      <c r="AN30" s="189"/>
      <c r="AO30" s="189"/>
      <c r="AP30" s="189"/>
      <c r="AQ30" s="189"/>
      <c r="AR30" s="189"/>
      <c r="AS30" s="189"/>
      <c r="AT30" s="189"/>
      <c r="AU30" s="189"/>
      <c r="AV30" s="189"/>
      <c r="AW30" s="189"/>
      <c r="AX30" s="189"/>
      <c r="AY30" s="190"/>
    </row>
    <row r="31" spans="2:51" ht="18" customHeight="1" x14ac:dyDescent="0.45">
      <c r="B31" s="164"/>
      <c r="C31" s="182"/>
      <c r="D31" s="182"/>
      <c r="E31" s="182"/>
      <c r="F31" s="182"/>
      <c r="G31" s="183"/>
      <c r="H31" s="184" t="s">
        <v>67</v>
      </c>
      <c r="I31" s="185"/>
      <c r="J31" s="185"/>
      <c r="K31" s="185"/>
      <c r="L31" s="186" t="s">
        <v>69</v>
      </c>
      <c r="M31" s="185"/>
      <c r="N31" s="185"/>
      <c r="O31" s="185"/>
      <c r="P31" s="185"/>
      <c r="Q31" s="186" t="s">
        <v>71</v>
      </c>
      <c r="R31" s="185"/>
      <c r="S31" s="185"/>
      <c r="T31" s="185"/>
      <c r="U31" s="185"/>
      <c r="V31" s="187"/>
      <c r="W31" s="188"/>
      <c r="X31" s="189"/>
      <c r="Y31" s="189"/>
      <c r="Z31" s="189"/>
      <c r="AA31" s="189"/>
      <c r="AB31" s="189"/>
      <c r="AC31" s="189"/>
      <c r="AD31" s="189"/>
      <c r="AE31" s="189"/>
      <c r="AF31" s="189"/>
      <c r="AG31" s="189"/>
      <c r="AH31" s="189"/>
      <c r="AI31" s="189"/>
      <c r="AJ31" s="189"/>
      <c r="AK31" s="189"/>
      <c r="AL31" s="189"/>
      <c r="AM31" s="189"/>
      <c r="AN31" s="189"/>
      <c r="AO31" s="189"/>
      <c r="AP31" s="189"/>
      <c r="AQ31" s="189"/>
      <c r="AR31" s="189"/>
      <c r="AS31" s="189"/>
      <c r="AT31" s="189"/>
      <c r="AU31" s="189"/>
      <c r="AV31" s="189"/>
      <c r="AW31" s="189"/>
      <c r="AX31" s="189"/>
      <c r="AY31" s="190"/>
    </row>
    <row r="32" spans="2:51" ht="18" customHeight="1" x14ac:dyDescent="0.45">
      <c r="B32" s="164"/>
      <c r="C32" s="182"/>
      <c r="D32" s="182"/>
      <c r="E32" s="182"/>
      <c r="F32" s="182"/>
      <c r="G32" s="183"/>
      <c r="H32" s="184"/>
      <c r="I32" s="186"/>
      <c r="J32" s="186"/>
      <c r="K32" s="186"/>
      <c r="L32" s="186"/>
      <c r="M32" s="186"/>
      <c r="N32" s="186"/>
      <c r="O32" s="186"/>
      <c r="P32" s="186"/>
      <c r="Q32" s="186"/>
      <c r="R32" s="186"/>
      <c r="S32" s="186"/>
      <c r="T32" s="186"/>
      <c r="U32" s="186"/>
      <c r="V32" s="197"/>
      <c r="W32" s="188"/>
      <c r="X32" s="189"/>
      <c r="Y32" s="189"/>
      <c r="Z32" s="189"/>
      <c r="AA32" s="189"/>
      <c r="AB32" s="189"/>
      <c r="AC32" s="189"/>
      <c r="AD32" s="189"/>
      <c r="AE32" s="189"/>
      <c r="AF32" s="189"/>
      <c r="AG32" s="189"/>
      <c r="AH32" s="189"/>
      <c r="AI32" s="189"/>
      <c r="AJ32" s="189"/>
      <c r="AK32" s="189"/>
      <c r="AL32" s="189"/>
      <c r="AM32" s="189"/>
      <c r="AN32" s="189"/>
      <c r="AO32" s="189"/>
      <c r="AP32" s="189"/>
      <c r="AQ32" s="189"/>
      <c r="AR32" s="189"/>
      <c r="AS32" s="189"/>
      <c r="AT32" s="189"/>
      <c r="AU32" s="189"/>
      <c r="AV32" s="189"/>
      <c r="AW32" s="189"/>
      <c r="AX32" s="189"/>
      <c r="AY32" s="190"/>
    </row>
    <row r="33" spans="2:120" ht="18" customHeight="1" x14ac:dyDescent="0.45">
      <c r="B33" s="198"/>
      <c r="C33" s="199" t="s">
        <v>74</v>
      </c>
      <c r="D33" s="200"/>
      <c r="E33" s="200"/>
      <c r="F33" s="200"/>
      <c r="G33" s="200"/>
      <c r="H33" s="205"/>
      <c r="I33" s="205"/>
      <c r="J33" s="205"/>
      <c r="K33" s="205"/>
      <c r="L33" s="205"/>
      <c r="M33" s="205"/>
      <c r="N33" s="205"/>
      <c r="O33" s="205"/>
      <c r="P33" s="205"/>
      <c r="Q33" s="205"/>
      <c r="R33" s="205"/>
      <c r="S33" s="205"/>
      <c r="T33" s="205"/>
      <c r="U33" s="205"/>
      <c r="V33" s="205"/>
      <c r="W33" s="205"/>
      <c r="X33" s="205"/>
      <c r="Y33" s="205"/>
      <c r="Z33" s="205"/>
      <c r="AA33" s="204" t="s">
        <v>76</v>
      </c>
      <c r="AB33" s="205"/>
      <c r="AC33" s="205"/>
      <c r="AD33" s="205"/>
      <c r="AE33" s="205"/>
      <c r="AF33" s="205"/>
      <c r="AG33" s="205"/>
      <c r="AH33" s="205"/>
      <c r="AI33" s="205"/>
      <c r="AJ33" s="205"/>
      <c r="AK33" s="205"/>
      <c r="AL33" s="205"/>
      <c r="AM33" s="205"/>
      <c r="AN33" s="205"/>
      <c r="AO33" s="205"/>
      <c r="AP33" s="205"/>
      <c r="AQ33" s="205"/>
      <c r="AR33" s="205"/>
      <c r="AS33" s="205"/>
      <c r="AT33" s="205"/>
      <c r="AU33" s="205"/>
      <c r="AV33" s="205"/>
      <c r="AW33" s="205"/>
      <c r="AX33" s="205"/>
      <c r="AY33" s="205"/>
    </row>
    <row r="34" spans="2:120" s="24" customFormat="1" ht="13.5" customHeight="1" x14ac:dyDescent="0.2">
      <c r="B34" s="404"/>
      <c r="C34" s="404"/>
      <c r="D34" s="404"/>
      <c r="E34" s="404"/>
      <c r="F34" s="404"/>
      <c r="G34" s="404"/>
      <c r="H34" s="404"/>
      <c r="I34" s="404"/>
      <c r="J34" s="404"/>
      <c r="K34" s="404"/>
      <c r="L34" s="404"/>
      <c r="M34" s="404"/>
      <c r="N34" s="404"/>
      <c r="O34" s="404"/>
      <c r="P34" s="404"/>
      <c r="Q34" s="404"/>
      <c r="R34" s="404"/>
      <c r="S34" s="404"/>
      <c r="T34" s="404"/>
      <c r="U34" s="404"/>
      <c r="V34" s="404"/>
      <c r="W34" s="404"/>
      <c r="X34" s="404"/>
      <c r="Y34" s="404"/>
      <c r="Z34" s="404"/>
      <c r="AA34" s="404"/>
      <c r="AB34" s="404"/>
      <c r="AC34" s="404"/>
      <c r="AD34" s="404"/>
      <c r="AE34" s="404"/>
      <c r="AF34" s="404"/>
      <c r="AG34" s="404"/>
      <c r="AH34" s="404"/>
      <c r="AI34" s="404"/>
      <c r="AJ34" s="404"/>
      <c r="AK34" s="404"/>
      <c r="AL34" s="404"/>
      <c r="AM34" s="404"/>
      <c r="AN34" s="404"/>
      <c r="AO34" s="404"/>
      <c r="AP34" s="404"/>
      <c r="AQ34" s="404"/>
      <c r="AR34" s="404"/>
      <c r="AS34" s="404"/>
      <c r="AT34" s="404"/>
      <c r="AU34" s="404"/>
      <c r="AV34" s="404"/>
      <c r="AW34" s="404"/>
      <c r="AX34" s="404"/>
      <c r="AY34" s="404"/>
      <c r="BK34" s="25"/>
    </row>
    <row r="35" spans="2:120" s="56" customFormat="1" ht="13.5" customHeight="1" x14ac:dyDescent="0.45">
      <c r="B35" s="3" t="s">
        <v>78</v>
      </c>
      <c r="BK35" s="63"/>
    </row>
    <row r="36" spans="2:120" ht="26.25" customHeight="1" x14ac:dyDescent="0.45">
      <c r="B36" s="116" t="s">
        <v>79</v>
      </c>
      <c r="C36" s="41"/>
      <c r="D36" s="41"/>
      <c r="E36" s="41"/>
      <c r="F36" s="41"/>
      <c r="G36" s="42"/>
      <c r="H36" s="207"/>
      <c r="I36" s="208" t="s">
        <v>47</v>
      </c>
      <c r="J36" s="209" t="s">
        <v>80</v>
      </c>
      <c r="K36" s="209"/>
      <c r="L36" s="208" t="s">
        <v>47</v>
      </c>
      <c r="M36" s="209" t="s">
        <v>81</v>
      </c>
      <c r="N36" s="210"/>
      <c r="O36" s="210"/>
      <c r="P36" s="208" t="s">
        <v>47</v>
      </c>
      <c r="Q36" s="209" t="s">
        <v>82</v>
      </c>
      <c r="R36" s="209"/>
      <c r="S36" s="209"/>
      <c r="T36" s="208" t="s">
        <v>47</v>
      </c>
      <c r="U36" s="209" t="s">
        <v>83</v>
      </c>
      <c r="V36" s="209"/>
      <c r="W36" s="209"/>
      <c r="X36" s="212"/>
      <c r="Y36" s="211"/>
      <c r="Z36" s="212"/>
      <c r="AA36" s="212"/>
      <c r="AB36" s="212"/>
      <c r="AC36" s="212"/>
      <c r="AD36" s="213"/>
      <c r="AE36" s="214" t="s">
        <v>84</v>
      </c>
      <c r="AF36" s="41"/>
      <c r="AG36" s="41"/>
      <c r="AH36" s="41"/>
      <c r="AI36" s="42"/>
      <c r="AJ36" s="215"/>
      <c r="AK36" s="216"/>
      <c r="AL36" s="216"/>
      <c r="AM36" s="216"/>
      <c r="AN36" s="216"/>
      <c r="AO36" s="216"/>
      <c r="AP36" s="216"/>
      <c r="AQ36" s="216"/>
      <c r="AR36" s="216"/>
      <c r="AS36" s="216"/>
      <c r="AT36" s="216"/>
      <c r="AU36" s="216"/>
      <c r="AV36" s="216"/>
      <c r="AW36" s="216"/>
      <c r="AX36" s="216"/>
      <c r="AY36" s="217"/>
    </row>
    <row r="37" spans="2:120" ht="26.25" customHeight="1" x14ac:dyDescent="0.45">
      <c r="B37" s="214" t="s">
        <v>85</v>
      </c>
      <c r="C37" s="41"/>
      <c r="D37" s="41"/>
      <c r="E37" s="41"/>
      <c r="F37" s="41"/>
      <c r="G37" s="42"/>
      <c r="H37" s="405" t="s">
        <v>86</v>
      </c>
      <c r="I37" s="406"/>
      <c r="J37" s="406"/>
      <c r="K37" s="406"/>
      <c r="L37" s="407"/>
      <c r="M37" s="165"/>
      <c r="N37" s="166"/>
      <c r="O37" s="166"/>
      <c r="P37" s="166"/>
      <c r="Q37" s="166"/>
      <c r="R37" s="166"/>
      <c r="S37" s="166"/>
      <c r="T37" s="166"/>
      <c r="U37" s="166"/>
      <c r="V37" s="166"/>
      <c r="W37" s="166"/>
      <c r="X37" s="166"/>
      <c r="Y37" s="166"/>
      <c r="Z37" s="166"/>
      <c r="AA37" s="166"/>
      <c r="AB37" s="166"/>
      <c r="AC37" s="166"/>
      <c r="AD37" s="167"/>
      <c r="AE37" s="219"/>
      <c r="AF37" s="220"/>
      <c r="AG37" s="220"/>
      <c r="AH37" s="220"/>
      <c r="AI37" s="220"/>
      <c r="AJ37" s="221"/>
      <c r="AK37" s="221"/>
      <c r="AL37" s="221"/>
      <c r="AM37" s="221"/>
      <c r="AN37" s="221"/>
      <c r="AO37" s="221"/>
      <c r="AP37" s="221"/>
      <c r="AQ37" s="221"/>
      <c r="AR37" s="221"/>
      <c r="AS37" s="221"/>
      <c r="AT37" s="221"/>
      <c r="AU37" s="221"/>
      <c r="AV37" s="221"/>
      <c r="AW37" s="221"/>
      <c r="AX37" s="221"/>
      <c r="AY37" s="222"/>
    </row>
    <row r="38" spans="2:120" s="24" customFormat="1" ht="26.25" customHeight="1" x14ac:dyDescent="0.45">
      <c r="B38" s="129" t="s">
        <v>87</v>
      </c>
      <c r="C38" s="130"/>
      <c r="D38" s="130"/>
      <c r="E38" s="130"/>
      <c r="F38" s="130"/>
      <c r="G38" s="131"/>
      <c r="H38" s="402" t="s">
        <v>47</v>
      </c>
      <c r="I38" s="403"/>
      <c r="J38" s="403"/>
      <c r="K38" s="403"/>
      <c r="L38" s="408" t="s">
        <v>88</v>
      </c>
      <c r="M38" s="408"/>
      <c r="N38" s="408"/>
      <c r="O38" s="408"/>
      <c r="P38" s="408"/>
      <c r="Q38" s="408"/>
      <c r="R38" s="408"/>
      <c r="S38" s="408"/>
      <c r="T38" s="408"/>
      <c r="U38" s="408"/>
      <c r="V38" s="409" t="s">
        <v>89</v>
      </c>
      <c r="W38" s="402"/>
      <c r="X38" s="410"/>
      <c r="Y38" s="411" t="s">
        <v>90</v>
      </c>
      <c r="Z38" s="408"/>
      <c r="AA38" s="408"/>
      <c r="AB38" s="408"/>
      <c r="AC38" s="409"/>
      <c r="AD38" s="412" t="s">
        <v>169</v>
      </c>
      <c r="AE38" s="413"/>
      <c r="AF38" s="413"/>
      <c r="AG38" s="413"/>
      <c r="AH38" s="414"/>
      <c r="AI38" s="414"/>
      <c r="AJ38" s="414"/>
      <c r="AK38" s="414"/>
      <c r="AL38" s="414"/>
      <c r="AM38" s="414"/>
      <c r="AN38" s="414"/>
      <c r="AO38" s="414"/>
      <c r="AP38" s="414"/>
      <c r="AQ38" s="414"/>
      <c r="AR38" s="414"/>
      <c r="AS38" s="414"/>
      <c r="AT38" s="414"/>
      <c r="AU38" s="414"/>
      <c r="AV38" s="414"/>
      <c r="AW38" s="414"/>
      <c r="AX38" s="414"/>
      <c r="AY38" s="415"/>
      <c r="BK38" s="25"/>
    </row>
    <row r="39" spans="2:120" s="24" customFormat="1" ht="26.25" customHeight="1" x14ac:dyDescent="0.45">
      <c r="B39" s="147"/>
      <c r="C39" s="148"/>
      <c r="D39" s="148"/>
      <c r="E39" s="148"/>
      <c r="F39" s="148"/>
      <c r="G39" s="149"/>
      <c r="H39" s="168"/>
      <c r="I39" s="169"/>
      <c r="J39" s="169"/>
      <c r="K39" s="169"/>
      <c r="L39" s="416"/>
      <c r="M39" s="416"/>
      <c r="N39" s="416"/>
      <c r="O39" s="416"/>
      <c r="P39" s="416"/>
      <c r="Q39" s="416"/>
      <c r="R39" s="416"/>
      <c r="S39" s="416"/>
      <c r="T39" s="416"/>
      <c r="U39" s="416"/>
      <c r="V39" s="417"/>
      <c r="W39" s="168"/>
      <c r="X39" s="170"/>
      <c r="Y39" s="418"/>
      <c r="Z39" s="416"/>
      <c r="AA39" s="416"/>
      <c r="AB39" s="416"/>
      <c r="AC39" s="417"/>
      <c r="AD39" s="412" t="s">
        <v>170</v>
      </c>
      <c r="AE39" s="413"/>
      <c r="AF39" s="413"/>
      <c r="AG39" s="413"/>
      <c r="AH39" s="414"/>
      <c r="AI39" s="414"/>
      <c r="AJ39" s="414"/>
      <c r="AK39" s="414"/>
      <c r="AL39" s="414"/>
      <c r="AM39" s="414"/>
      <c r="AN39" s="414"/>
      <c r="AO39" s="414"/>
      <c r="AP39" s="414"/>
      <c r="AQ39" s="414"/>
      <c r="AR39" s="414"/>
      <c r="AS39" s="414"/>
      <c r="AT39" s="414"/>
      <c r="AU39" s="414"/>
      <c r="AV39" s="414"/>
      <c r="AW39" s="414"/>
      <c r="AX39" s="414"/>
      <c r="AY39" s="415"/>
      <c r="BK39" s="25"/>
    </row>
    <row r="40" spans="2:120" ht="65.25" customHeight="1" x14ac:dyDescent="0.45">
      <c r="B40" s="116" t="s">
        <v>93</v>
      </c>
      <c r="C40" s="41"/>
      <c r="D40" s="41"/>
      <c r="E40" s="41"/>
      <c r="F40" s="41"/>
      <c r="G40" s="42"/>
      <c r="H40" s="42" t="s">
        <v>23</v>
      </c>
      <c r="I40" s="35"/>
      <c r="J40" s="36"/>
      <c r="K40" s="36"/>
      <c r="L40" s="36"/>
      <c r="M40" s="36"/>
      <c r="N40" s="37" t="s">
        <v>24</v>
      </c>
      <c r="O40" s="36"/>
      <c r="P40" s="36"/>
      <c r="Q40" s="36"/>
      <c r="R40" s="36"/>
      <c r="S40" s="37" t="s">
        <v>25</v>
      </c>
      <c r="T40" s="36"/>
      <c r="U40" s="36"/>
      <c r="V40" s="36"/>
      <c r="W40" s="36"/>
      <c r="X40" s="234" t="s">
        <v>26</v>
      </c>
      <c r="Y40" s="235" t="s">
        <v>94</v>
      </c>
      <c r="Z40" s="236"/>
      <c r="AA40" s="236"/>
      <c r="AB40" s="236"/>
      <c r="AC40" s="236"/>
      <c r="AD40" s="236"/>
      <c r="AE40" s="236"/>
      <c r="AF40" s="236"/>
      <c r="AG40" s="236"/>
      <c r="AH40" s="236"/>
      <c r="AI40" s="236"/>
      <c r="AJ40" s="236"/>
      <c r="AK40" s="236"/>
      <c r="AL40" s="236"/>
      <c r="AM40" s="236"/>
      <c r="AN40" s="236"/>
      <c r="AO40" s="236"/>
      <c r="AP40" s="236"/>
      <c r="AQ40" s="236"/>
      <c r="AR40" s="236"/>
      <c r="AS40" s="236"/>
      <c r="AT40" s="236"/>
      <c r="AU40" s="236"/>
      <c r="AV40" s="236"/>
      <c r="AW40" s="236"/>
      <c r="AX40" s="236"/>
      <c r="AY40" s="237"/>
      <c r="BD40" s="419"/>
      <c r="BE40" s="419"/>
      <c r="BF40" s="419"/>
      <c r="BG40" s="419"/>
      <c r="BH40" s="419"/>
      <c r="BI40" s="419"/>
      <c r="BJ40" s="420"/>
      <c r="BK40" s="419"/>
      <c r="BL40" s="419"/>
      <c r="BM40" s="419"/>
      <c r="BN40" s="419"/>
      <c r="BO40" s="419"/>
      <c r="BP40" s="419"/>
      <c r="BQ40" s="420"/>
      <c r="BR40" s="419"/>
      <c r="BS40" s="419"/>
      <c r="BT40" s="419"/>
      <c r="BU40" s="419"/>
      <c r="BV40" s="419"/>
      <c r="BW40" s="419"/>
    </row>
    <row r="41" spans="2:120" ht="72.75" customHeight="1" x14ac:dyDescent="0.45">
      <c r="B41" s="116" t="s">
        <v>95</v>
      </c>
      <c r="C41" s="41"/>
      <c r="D41" s="41"/>
      <c r="E41" s="41"/>
      <c r="F41" s="41"/>
      <c r="G41" s="42"/>
      <c r="H41" s="72" t="s">
        <v>23</v>
      </c>
      <c r="I41" s="238"/>
      <c r="J41" s="36"/>
      <c r="K41" s="36"/>
      <c r="L41" s="36"/>
      <c r="M41" s="36"/>
      <c r="N41" s="239" t="s">
        <v>24</v>
      </c>
      <c r="O41" s="36"/>
      <c r="P41" s="36"/>
      <c r="Q41" s="36"/>
      <c r="R41" s="36"/>
      <c r="S41" s="239" t="s">
        <v>25</v>
      </c>
      <c r="T41" s="36"/>
      <c r="U41" s="36"/>
      <c r="V41" s="36"/>
      <c r="W41" s="36"/>
      <c r="X41" s="240" t="s">
        <v>26</v>
      </c>
      <c r="Y41" s="241"/>
      <c r="Z41" s="242"/>
      <c r="AA41" s="242"/>
      <c r="AB41" s="242"/>
      <c r="AC41" s="242"/>
      <c r="AD41" s="242"/>
      <c r="AE41" s="242"/>
      <c r="AF41" s="242"/>
      <c r="AG41" s="242"/>
      <c r="AH41" s="242"/>
      <c r="AI41" s="242"/>
      <c r="AJ41" s="242"/>
      <c r="AK41" s="242"/>
      <c r="AL41" s="242"/>
      <c r="AM41" s="242"/>
      <c r="AN41" s="242"/>
      <c r="AO41" s="242"/>
      <c r="AP41" s="242"/>
      <c r="AQ41" s="242"/>
      <c r="AR41" s="242"/>
      <c r="AS41" s="242"/>
      <c r="AT41" s="242"/>
      <c r="AU41" s="242"/>
      <c r="AV41" s="242"/>
      <c r="AW41" s="242"/>
      <c r="AX41" s="242"/>
      <c r="AY41" s="243"/>
      <c r="BD41" s="419"/>
      <c r="BE41" s="419"/>
      <c r="BF41" s="419"/>
      <c r="BG41" s="419"/>
      <c r="BH41" s="419"/>
      <c r="BI41" s="419"/>
      <c r="BJ41" s="420"/>
      <c r="BK41" s="419"/>
      <c r="BL41" s="419"/>
      <c r="BM41" s="419"/>
      <c r="BN41" s="419"/>
      <c r="BO41" s="419"/>
      <c r="BP41" s="419"/>
      <c r="BQ41" s="420"/>
      <c r="BR41" s="419"/>
      <c r="BS41" s="419"/>
      <c r="BT41" s="419"/>
      <c r="BU41" s="419"/>
      <c r="BV41" s="419"/>
      <c r="BW41" s="419"/>
    </row>
    <row r="42" spans="2:120" ht="68.25" customHeight="1" x14ac:dyDescent="0.45">
      <c r="B42" s="214" t="s">
        <v>96</v>
      </c>
      <c r="C42" s="244"/>
      <c r="D42" s="244"/>
      <c r="E42" s="244"/>
      <c r="F42" s="244"/>
      <c r="G42" s="245"/>
      <c r="H42" s="72" t="s">
        <v>23</v>
      </c>
      <c r="I42" s="238"/>
      <c r="J42" s="36"/>
      <c r="K42" s="36"/>
      <c r="L42" s="36"/>
      <c r="M42" s="36"/>
      <c r="N42" s="239" t="s">
        <v>24</v>
      </c>
      <c r="O42" s="36"/>
      <c r="P42" s="36"/>
      <c r="Q42" s="36"/>
      <c r="R42" s="36"/>
      <c r="S42" s="239" t="s">
        <v>25</v>
      </c>
      <c r="T42" s="36"/>
      <c r="U42" s="36"/>
      <c r="V42" s="36"/>
      <c r="W42" s="36"/>
      <c r="X42" s="240" t="s">
        <v>26</v>
      </c>
      <c r="Y42" s="246"/>
      <c r="Z42" s="247"/>
      <c r="AA42" s="247"/>
      <c r="AB42" s="247"/>
      <c r="AC42" s="247"/>
      <c r="AD42" s="247"/>
      <c r="AE42" s="247"/>
      <c r="AF42" s="247"/>
      <c r="AG42" s="247"/>
      <c r="AH42" s="247"/>
      <c r="AI42" s="247"/>
      <c r="AJ42" s="247"/>
      <c r="AK42" s="247"/>
      <c r="AL42" s="247"/>
      <c r="AM42" s="247"/>
      <c r="AN42" s="247"/>
      <c r="AO42" s="247"/>
      <c r="AP42" s="247"/>
      <c r="AQ42" s="247"/>
      <c r="AR42" s="247"/>
      <c r="AS42" s="247"/>
      <c r="AT42" s="247"/>
      <c r="AU42" s="247"/>
      <c r="AV42" s="247"/>
      <c r="AW42" s="247"/>
      <c r="AX42" s="247"/>
      <c r="AY42" s="248"/>
      <c r="BD42" s="419"/>
      <c r="BE42" s="419"/>
      <c r="BF42" s="419"/>
      <c r="BG42" s="419"/>
      <c r="BH42" s="419"/>
      <c r="BI42" s="419"/>
      <c r="BJ42" s="420"/>
      <c r="BK42" s="419"/>
      <c r="BL42" s="419"/>
      <c r="BM42" s="419"/>
      <c r="BN42" s="419"/>
      <c r="BO42" s="419"/>
      <c r="BP42" s="419"/>
      <c r="BQ42" s="420"/>
      <c r="BR42" s="419"/>
      <c r="BS42" s="419"/>
      <c r="BT42" s="419"/>
      <c r="BU42" s="419"/>
      <c r="BV42" s="419"/>
      <c r="BW42" s="419"/>
    </row>
    <row r="43" spans="2:120" ht="15" customHeight="1" x14ac:dyDescent="0.45">
      <c r="B43" s="70" t="s">
        <v>97</v>
      </c>
      <c r="C43" s="71"/>
      <c r="D43" s="71"/>
      <c r="E43" s="71"/>
      <c r="F43" s="71"/>
      <c r="G43" s="72"/>
      <c r="H43" s="106" t="s">
        <v>47</v>
      </c>
      <c r="I43" s="107"/>
      <c r="J43" s="107"/>
      <c r="K43" s="117" t="s">
        <v>46</v>
      </c>
      <c r="L43" s="117"/>
      <c r="M43" s="117"/>
      <c r="N43" s="117"/>
      <c r="O43" s="117"/>
      <c r="P43" s="117"/>
      <c r="Q43" s="117"/>
      <c r="R43" s="117"/>
      <c r="S43" s="117"/>
      <c r="T43" s="117"/>
      <c r="U43" s="117"/>
      <c r="V43" s="117"/>
      <c r="W43" s="117"/>
      <c r="X43" s="118"/>
      <c r="Y43" s="103"/>
      <c r="Z43" s="104"/>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2"/>
      <c r="BY43" s="421"/>
      <c r="BZ43" s="422"/>
      <c r="CA43" s="422"/>
      <c r="CB43" s="422"/>
      <c r="CC43" s="422"/>
      <c r="CD43" s="422"/>
      <c r="CE43" s="422"/>
      <c r="CF43" s="422"/>
      <c r="CG43" s="422"/>
      <c r="CH43" s="423"/>
      <c r="CI43" s="423"/>
      <c r="CJ43" s="423"/>
      <c r="CK43" s="424"/>
      <c r="CL43" s="424"/>
      <c r="CM43" s="424"/>
      <c r="CN43" s="424"/>
      <c r="CO43" s="424"/>
      <c r="CP43" s="424"/>
      <c r="CQ43" s="424"/>
      <c r="CR43" s="424"/>
      <c r="CS43" s="424"/>
      <c r="CT43" s="424"/>
      <c r="CU43" s="424"/>
      <c r="CV43" s="424"/>
      <c r="CW43" s="424"/>
      <c r="CX43" s="424"/>
      <c r="CY43" s="424"/>
      <c r="CZ43" s="424"/>
      <c r="DA43" s="424"/>
      <c r="DB43" s="424"/>
      <c r="DC43" s="424"/>
      <c r="DD43" s="424"/>
      <c r="DE43" s="424"/>
      <c r="DF43" s="424"/>
      <c r="DG43" s="424"/>
      <c r="DH43" s="424"/>
      <c r="DI43" s="424"/>
      <c r="DJ43" s="424"/>
      <c r="DK43" s="424"/>
      <c r="DL43" s="424"/>
      <c r="DM43" s="424"/>
      <c r="DN43" s="424"/>
      <c r="DO43" s="424"/>
      <c r="DP43" s="424"/>
    </row>
    <row r="44" spans="2:120" ht="15" customHeight="1" x14ac:dyDescent="0.45">
      <c r="B44" s="79"/>
      <c r="C44" s="80"/>
      <c r="D44" s="80"/>
      <c r="E44" s="80"/>
      <c r="F44" s="80"/>
      <c r="G44" s="81"/>
      <c r="H44" s="119" t="s">
        <v>34</v>
      </c>
      <c r="I44" s="74"/>
      <c r="J44" s="74"/>
      <c r="K44" s="74"/>
      <c r="L44" s="74"/>
      <c r="M44" s="74"/>
      <c r="N44" s="74"/>
      <c r="O44" s="74"/>
      <c r="P44" s="74"/>
      <c r="Q44" s="50" t="s">
        <v>29</v>
      </c>
      <c r="R44" s="50"/>
      <c r="S44" s="50"/>
      <c r="T44" s="120"/>
      <c r="U44" s="120"/>
      <c r="V44" s="120"/>
      <c r="W44" s="120"/>
      <c r="X44" s="120"/>
      <c r="Y44" s="120"/>
      <c r="Z44" s="120"/>
      <c r="AA44" s="120"/>
      <c r="AB44" s="120"/>
      <c r="AC44" s="120"/>
      <c r="AD44" s="120"/>
      <c r="AE44" s="120"/>
      <c r="AF44" s="120"/>
      <c r="AG44" s="120"/>
      <c r="AH44" s="120"/>
      <c r="AI44" s="120"/>
      <c r="AJ44" s="120"/>
      <c r="AK44" s="120"/>
      <c r="AL44" s="120"/>
      <c r="AM44" s="120"/>
      <c r="AN44" s="120"/>
      <c r="AO44" s="120"/>
      <c r="AP44" s="120"/>
      <c r="AQ44" s="120"/>
      <c r="AR44" s="120"/>
      <c r="AS44" s="120"/>
      <c r="AT44" s="120"/>
      <c r="AU44" s="120"/>
      <c r="AV44" s="120"/>
      <c r="AW44" s="120"/>
      <c r="AX44" s="120"/>
      <c r="AY44" s="120"/>
      <c r="BY44" s="425"/>
      <c r="BZ44" s="425"/>
      <c r="CA44" s="425"/>
      <c r="CB44" s="426"/>
      <c r="CC44" s="426"/>
      <c r="CD44" s="426"/>
      <c r="CE44" s="426"/>
      <c r="CF44" s="426"/>
      <c r="CG44" s="426"/>
      <c r="CH44" s="427"/>
      <c r="CI44" s="324"/>
      <c r="CJ44" s="324"/>
      <c r="CK44" s="428"/>
      <c r="CL44" s="428"/>
      <c r="CM44" s="428"/>
      <c r="CN44" s="428"/>
      <c r="CO44" s="428"/>
      <c r="CP44" s="428"/>
      <c r="CQ44" s="428"/>
      <c r="CR44" s="428"/>
      <c r="CS44" s="428"/>
      <c r="CT44" s="428"/>
      <c r="CU44" s="428"/>
      <c r="CV44" s="428"/>
      <c r="CW44" s="428"/>
      <c r="CX44" s="428"/>
      <c r="CY44" s="428"/>
      <c r="CZ44" s="428"/>
      <c r="DA44" s="428"/>
      <c r="DB44" s="428"/>
      <c r="DC44" s="428"/>
      <c r="DD44" s="428"/>
      <c r="DE44" s="428"/>
      <c r="DF44" s="428"/>
      <c r="DG44" s="428"/>
      <c r="DH44" s="428"/>
      <c r="DI44" s="428"/>
      <c r="DJ44" s="428"/>
      <c r="DK44" s="428"/>
      <c r="DL44" s="428"/>
      <c r="DM44" s="428"/>
      <c r="DN44" s="428"/>
      <c r="DO44" s="428"/>
      <c r="DP44" s="428"/>
    </row>
    <row r="45" spans="2:120" ht="15" customHeight="1" x14ac:dyDescent="0.45">
      <c r="B45" s="79"/>
      <c r="C45" s="80"/>
      <c r="D45" s="80"/>
      <c r="E45" s="80"/>
      <c r="F45" s="80"/>
      <c r="G45" s="81"/>
      <c r="H45" s="82" t="s">
        <v>37</v>
      </c>
      <c r="I45" s="83"/>
      <c r="J45" s="84"/>
      <c r="K45" s="11"/>
      <c r="L45" s="12"/>
      <c r="M45" s="12"/>
      <c r="N45" s="12"/>
      <c r="O45" s="12"/>
      <c r="P45" s="85"/>
      <c r="Q45" s="86" t="s">
        <v>39</v>
      </c>
      <c r="R45" s="87"/>
      <c r="S45" s="88"/>
      <c r="T45" s="89"/>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1"/>
      <c r="BY45" s="425"/>
      <c r="BZ45" s="425"/>
      <c r="CA45" s="425"/>
      <c r="CB45" s="426"/>
      <c r="CC45" s="426"/>
      <c r="CD45" s="426"/>
      <c r="CE45" s="426"/>
      <c r="CF45" s="426"/>
      <c r="CG45" s="426"/>
      <c r="CH45" s="324"/>
      <c r="CI45" s="324"/>
      <c r="CJ45" s="324"/>
      <c r="CK45" s="428"/>
      <c r="CL45" s="428"/>
      <c r="CM45" s="428"/>
      <c r="CN45" s="428"/>
      <c r="CO45" s="428"/>
      <c r="CP45" s="428"/>
      <c r="CQ45" s="428"/>
      <c r="CR45" s="428"/>
      <c r="CS45" s="428"/>
      <c r="CT45" s="428"/>
      <c r="CU45" s="428"/>
      <c r="CV45" s="428"/>
      <c r="CW45" s="428"/>
      <c r="CX45" s="428"/>
      <c r="CY45" s="428"/>
      <c r="CZ45" s="428"/>
      <c r="DA45" s="428"/>
      <c r="DB45" s="428"/>
      <c r="DC45" s="428"/>
      <c r="DD45" s="428"/>
      <c r="DE45" s="428"/>
      <c r="DF45" s="428"/>
      <c r="DG45" s="428"/>
      <c r="DH45" s="428"/>
      <c r="DI45" s="428"/>
      <c r="DJ45" s="428"/>
      <c r="DK45" s="428"/>
      <c r="DL45" s="428"/>
      <c r="DM45" s="428"/>
      <c r="DN45" s="428"/>
      <c r="DO45" s="428"/>
      <c r="DP45" s="428"/>
    </row>
    <row r="46" spans="2:120" ht="15" customHeight="1" x14ac:dyDescent="0.45">
      <c r="B46" s="79"/>
      <c r="C46" s="80"/>
      <c r="D46" s="80"/>
      <c r="E46" s="80"/>
      <c r="F46" s="80"/>
      <c r="G46" s="81"/>
      <c r="H46" s="93"/>
      <c r="I46" s="94"/>
      <c r="J46" s="95"/>
      <c r="K46" s="16"/>
      <c r="L46" s="17"/>
      <c r="M46" s="17"/>
      <c r="N46" s="17"/>
      <c r="O46" s="17"/>
      <c r="P46" s="96"/>
      <c r="Q46" s="97"/>
      <c r="R46" s="98"/>
      <c r="S46" s="99"/>
      <c r="T46" s="100"/>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2"/>
      <c r="BY46" s="429"/>
      <c r="BZ46" s="429"/>
      <c r="CA46" s="424"/>
      <c r="CB46" s="424"/>
      <c r="CC46" s="424"/>
      <c r="CD46" s="424"/>
      <c r="CE46" s="424"/>
      <c r="CF46" s="424"/>
      <c r="CG46" s="424"/>
      <c r="CH46" s="345"/>
      <c r="CI46" s="345"/>
      <c r="CJ46" s="345"/>
      <c r="CK46" s="430"/>
      <c r="CL46" s="430"/>
      <c r="CM46" s="430"/>
      <c r="CN46" s="430"/>
      <c r="CO46" s="430"/>
      <c r="CP46" s="430"/>
      <c r="CQ46" s="430"/>
      <c r="CR46" s="430"/>
      <c r="CS46" s="430"/>
      <c r="CT46" s="430"/>
      <c r="CU46" s="430"/>
      <c r="CV46" s="430"/>
      <c r="CW46" s="430"/>
      <c r="CX46" s="430"/>
      <c r="CY46" s="430"/>
      <c r="CZ46" s="430"/>
      <c r="DA46" s="430"/>
      <c r="DB46" s="430"/>
      <c r="DC46" s="430"/>
      <c r="DD46" s="430"/>
      <c r="DE46" s="430"/>
      <c r="DF46" s="430"/>
      <c r="DG46" s="430"/>
      <c r="DH46" s="430"/>
      <c r="DI46" s="430"/>
      <c r="DJ46" s="430"/>
      <c r="DK46" s="430"/>
      <c r="DL46" s="430"/>
      <c r="DM46" s="430"/>
      <c r="DN46" s="430"/>
      <c r="DO46" s="430"/>
      <c r="DP46" s="430"/>
    </row>
    <row r="47" spans="2:120" ht="15" customHeight="1" x14ac:dyDescent="0.45">
      <c r="B47" s="103"/>
      <c r="C47" s="104"/>
      <c r="D47" s="104"/>
      <c r="E47" s="104"/>
      <c r="F47" s="104"/>
      <c r="G47" s="105"/>
      <c r="H47" s="107" t="s">
        <v>98</v>
      </c>
      <c r="I47" s="107"/>
      <c r="J47" s="108" t="s">
        <v>43</v>
      </c>
      <c r="K47" s="108"/>
      <c r="L47" s="108"/>
      <c r="M47" s="108"/>
      <c r="N47" s="108"/>
      <c r="O47" s="108"/>
      <c r="P47" s="109"/>
      <c r="Q47" s="110" t="s">
        <v>44</v>
      </c>
      <c r="R47" s="111"/>
      <c r="S47" s="112"/>
      <c r="T47" s="113"/>
      <c r="U47" s="114"/>
      <c r="V47" s="114"/>
      <c r="W47" s="114"/>
      <c r="X47" s="114"/>
      <c r="Y47" s="114"/>
      <c r="Z47" s="114"/>
      <c r="AA47" s="114"/>
      <c r="AB47" s="114"/>
      <c r="AC47" s="114"/>
      <c r="AD47" s="114"/>
      <c r="AE47" s="114"/>
      <c r="AF47" s="114"/>
      <c r="AG47" s="114"/>
      <c r="AH47" s="114"/>
      <c r="AI47" s="114"/>
      <c r="AJ47" s="114"/>
      <c r="AK47" s="114"/>
      <c r="AL47" s="114"/>
      <c r="AM47" s="114"/>
      <c r="AN47" s="114"/>
      <c r="AO47" s="114"/>
      <c r="AP47" s="114"/>
      <c r="AQ47" s="114"/>
      <c r="AR47" s="114"/>
      <c r="AS47" s="114"/>
      <c r="AT47" s="114"/>
      <c r="AU47" s="114"/>
      <c r="AV47" s="114"/>
      <c r="AW47" s="114"/>
      <c r="AX47" s="114"/>
      <c r="AY47" s="115"/>
    </row>
    <row r="48" spans="2:120" ht="15" customHeight="1" x14ac:dyDescent="0.45">
      <c r="B48" s="129" t="s">
        <v>99</v>
      </c>
      <c r="C48" s="71"/>
      <c r="D48" s="71"/>
      <c r="E48" s="71"/>
      <c r="F48" s="71"/>
      <c r="G48" s="72"/>
      <c r="H48" s="106" t="s">
        <v>47</v>
      </c>
      <c r="I48" s="107"/>
      <c r="J48" s="107"/>
      <c r="K48" s="117" t="s">
        <v>100</v>
      </c>
      <c r="L48" s="117"/>
      <c r="M48" s="117"/>
      <c r="N48" s="117"/>
      <c r="O48" s="117"/>
      <c r="P48" s="117"/>
      <c r="Q48" s="117"/>
      <c r="R48" s="117"/>
      <c r="S48" s="117"/>
      <c r="T48" s="117"/>
      <c r="U48" s="117"/>
      <c r="V48" s="117"/>
      <c r="W48" s="117"/>
      <c r="X48" s="118"/>
      <c r="Y48" s="116"/>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2"/>
      <c r="BY48" s="3" t="s">
        <v>101</v>
      </c>
    </row>
    <row r="49" spans="2:120" ht="15" customHeight="1" x14ac:dyDescent="0.45">
      <c r="B49" s="79"/>
      <c r="C49" s="80"/>
      <c r="D49" s="80"/>
      <c r="E49" s="80"/>
      <c r="F49" s="80"/>
      <c r="G49" s="81"/>
      <c r="H49" s="119" t="s">
        <v>34</v>
      </c>
      <c r="I49" s="252"/>
      <c r="J49" s="253"/>
      <c r="K49" s="253"/>
      <c r="L49" s="254" t="s">
        <v>102</v>
      </c>
      <c r="M49" s="255"/>
      <c r="N49" s="255"/>
      <c r="O49" s="255"/>
      <c r="P49" s="256"/>
      <c r="Q49" s="398" t="s">
        <v>29</v>
      </c>
      <c r="R49" s="399"/>
      <c r="S49" s="400"/>
      <c r="T49" s="75"/>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7"/>
      <c r="BY49" s="257" t="s">
        <v>34</v>
      </c>
      <c r="BZ49" s="258">
        <v>460</v>
      </c>
      <c r="CA49" s="258"/>
      <c r="CB49" s="259"/>
      <c r="CC49" s="260" t="s">
        <v>102</v>
      </c>
      <c r="CD49" s="261" t="s">
        <v>103</v>
      </c>
      <c r="CE49" s="262"/>
      <c r="CF49" s="262"/>
      <c r="CG49" s="262"/>
      <c r="CH49" s="263" t="s">
        <v>29</v>
      </c>
      <c r="CI49" s="263"/>
      <c r="CJ49" s="263"/>
      <c r="CK49" s="264" t="s">
        <v>104</v>
      </c>
      <c r="CL49" s="264"/>
      <c r="CM49" s="264"/>
      <c r="CN49" s="264"/>
      <c r="CO49" s="264"/>
      <c r="CP49" s="264"/>
      <c r="CQ49" s="264"/>
      <c r="CR49" s="264"/>
      <c r="CS49" s="264"/>
      <c r="CT49" s="264"/>
      <c r="CU49" s="264"/>
      <c r="CV49" s="264"/>
      <c r="CW49" s="264"/>
      <c r="CX49" s="264"/>
      <c r="CY49" s="264"/>
      <c r="CZ49" s="264"/>
      <c r="DA49" s="264"/>
      <c r="DB49" s="264"/>
      <c r="DC49" s="264"/>
      <c r="DD49" s="264"/>
      <c r="DE49" s="264"/>
      <c r="DF49" s="264"/>
      <c r="DG49" s="264"/>
      <c r="DH49" s="264"/>
      <c r="DI49" s="264"/>
      <c r="DJ49" s="264"/>
      <c r="DK49" s="264"/>
      <c r="DL49" s="264"/>
      <c r="DM49" s="264"/>
      <c r="DN49" s="264"/>
      <c r="DO49" s="264"/>
      <c r="DP49" s="264"/>
    </row>
    <row r="50" spans="2:120" ht="15" customHeight="1" x14ac:dyDescent="0.45">
      <c r="B50" s="79"/>
      <c r="C50" s="80"/>
      <c r="D50" s="80"/>
      <c r="E50" s="80"/>
      <c r="F50" s="80"/>
      <c r="G50" s="81"/>
      <c r="H50" s="82" t="s">
        <v>37</v>
      </c>
      <c r="I50" s="83"/>
      <c r="J50" s="84"/>
      <c r="K50" s="265"/>
      <c r="L50" s="266"/>
      <c r="M50" s="266"/>
      <c r="N50" s="266"/>
      <c r="O50" s="266"/>
      <c r="P50" s="267"/>
      <c r="Q50" s="86" t="s">
        <v>105</v>
      </c>
      <c r="R50" s="271"/>
      <c r="S50" s="272"/>
      <c r="T50" s="268"/>
      <c r="U50" s="269"/>
      <c r="V50" s="269"/>
      <c r="W50" s="269"/>
      <c r="X50" s="269"/>
      <c r="Y50" s="269"/>
      <c r="Z50" s="269"/>
      <c r="AA50" s="270"/>
      <c r="AB50" s="86" t="s">
        <v>107</v>
      </c>
      <c r="AC50" s="271"/>
      <c r="AD50" s="272"/>
      <c r="AE50" s="268"/>
      <c r="AF50" s="269"/>
      <c r="AG50" s="269"/>
      <c r="AH50" s="269"/>
      <c r="AI50" s="269"/>
      <c r="AJ50" s="269"/>
      <c r="AK50" s="269"/>
      <c r="AL50" s="269"/>
      <c r="AM50" s="269"/>
      <c r="AN50" s="269"/>
      <c r="AO50" s="269"/>
      <c r="AP50" s="269"/>
      <c r="AQ50" s="269"/>
      <c r="AR50" s="269"/>
      <c r="AS50" s="269"/>
      <c r="AT50" s="269"/>
      <c r="AU50" s="269"/>
      <c r="AV50" s="269"/>
      <c r="AW50" s="269"/>
      <c r="AX50" s="269"/>
      <c r="AY50" s="270"/>
      <c r="BY50" s="273" t="s">
        <v>37</v>
      </c>
      <c r="BZ50" s="273"/>
      <c r="CA50" s="273"/>
      <c r="CB50" s="274" t="s">
        <v>109</v>
      </c>
      <c r="CC50" s="274"/>
      <c r="CD50" s="274"/>
      <c r="CE50" s="274"/>
      <c r="CF50" s="274"/>
      <c r="CG50" s="274"/>
      <c r="CH50" s="275" t="s">
        <v>105</v>
      </c>
      <c r="CI50" s="276"/>
      <c r="CJ50" s="276"/>
      <c r="CK50" s="277" t="s">
        <v>110</v>
      </c>
      <c r="CL50" s="277"/>
      <c r="CM50" s="277"/>
      <c r="CN50" s="277"/>
      <c r="CO50" s="277"/>
      <c r="CP50" s="277"/>
      <c r="CQ50" s="277"/>
      <c r="CR50" s="277"/>
      <c r="CS50" s="275" t="s">
        <v>107</v>
      </c>
      <c r="CT50" s="275"/>
      <c r="CU50" s="275"/>
      <c r="CV50" s="277" t="s">
        <v>111</v>
      </c>
      <c r="CW50" s="277"/>
      <c r="CX50" s="277"/>
      <c r="CY50" s="277"/>
      <c r="CZ50" s="277"/>
      <c r="DA50" s="277"/>
      <c r="DB50" s="277"/>
      <c r="DC50" s="277"/>
      <c r="DD50" s="277"/>
      <c r="DE50" s="277"/>
      <c r="DF50" s="277"/>
      <c r="DG50" s="277"/>
      <c r="DH50" s="277"/>
      <c r="DI50" s="277"/>
      <c r="DJ50" s="277"/>
      <c r="DK50" s="277"/>
      <c r="DL50" s="277"/>
      <c r="DM50" s="277"/>
      <c r="DN50" s="277"/>
      <c r="DO50" s="277"/>
      <c r="DP50" s="277"/>
    </row>
    <row r="51" spans="2:120" ht="15" customHeight="1" x14ac:dyDescent="0.45">
      <c r="B51" s="79"/>
      <c r="C51" s="80"/>
      <c r="D51" s="80"/>
      <c r="E51" s="80"/>
      <c r="F51" s="80"/>
      <c r="G51" s="81"/>
      <c r="H51" s="93"/>
      <c r="I51" s="94"/>
      <c r="J51" s="95"/>
      <c r="K51" s="278"/>
      <c r="L51" s="279"/>
      <c r="M51" s="279"/>
      <c r="N51" s="279"/>
      <c r="O51" s="279"/>
      <c r="P51" s="280"/>
      <c r="Q51" s="284"/>
      <c r="R51" s="285"/>
      <c r="S51" s="286"/>
      <c r="T51" s="281"/>
      <c r="U51" s="282"/>
      <c r="V51" s="282"/>
      <c r="W51" s="282"/>
      <c r="X51" s="282"/>
      <c r="Y51" s="282"/>
      <c r="Z51" s="282"/>
      <c r="AA51" s="283"/>
      <c r="AB51" s="284"/>
      <c r="AC51" s="285"/>
      <c r="AD51" s="286"/>
      <c r="AE51" s="281"/>
      <c r="AF51" s="282"/>
      <c r="AG51" s="282"/>
      <c r="AH51" s="282"/>
      <c r="AI51" s="282"/>
      <c r="AJ51" s="282"/>
      <c r="AK51" s="282"/>
      <c r="AL51" s="282"/>
      <c r="AM51" s="282"/>
      <c r="AN51" s="282"/>
      <c r="AO51" s="282"/>
      <c r="AP51" s="282"/>
      <c r="AQ51" s="282"/>
      <c r="AR51" s="282"/>
      <c r="AS51" s="282"/>
      <c r="AT51" s="282"/>
      <c r="AU51" s="282"/>
      <c r="AV51" s="282"/>
      <c r="AW51" s="282"/>
      <c r="AX51" s="282"/>
      <c r="AY51" s="283"/>
      <c r="BY51" s="273"/>
      <c r="BZ51" s="273"/>
      <c r="CA51" s="273"/>
      <c r="CB51" s="274"/>
      <c r="CC51" s="274"/>
      <c r="CD51" s="274"/>
      <c r="CE51" s="274"/>
      <c r="CF51" s="274"/>
      <c r="CG51" s="274"/>
      <c r="CH51" s="276"/>
      <c r="CI51" s="276"/>
      <c r="CJ51" s="276"/>
      <c r="CK51" s="277"/>
      <c r="CL51" s="277"/>
      <c r="CM51" s="277"/>
      <c r="CN51" s="277"/>
      <c r="CO51" s="277"/>
      <c r="CP51" s="277"/>
      <c r="CQ51" s="277"/>
      <c r="CR51" s="277"/>
      <c r="CS51" s="275"/>
      <c r="CT51" s="275"/>
      <c r="CU51" s="275"/>
      <c r="CV51" s="277"/>
      <c r="CW51" s="277"/>
      <c r="CX51" s="277"/>
      <c r="CY51" s="277"/>
      <c r="CZ51" s="277"/>
      <c r="DA51" s="277"/>
      <c r="DB51" s="277"/>
      <c r="DC51" s="277"/>
      <c r="DD51" s="277"/>
      <c r="DE51" s="277"/>
      <c r="DF51" s="277"/>
      <c r="DG51" s="277"/>
      <c r="DH51" s="277"/>
      <c r="DI51" s="277"/>
      <c r="DJ51" s="277"/>
      <c r="DK51" s="277"/>
      <c r="DL51" s="277"/>
      <c r="DM51" s="277"/>
      <c r="DN51" s="277"/>
      <c r="DO51" s="277"/>
      <c r="DP51" s="277"/>
    </row>
    <row r="52" spans="2:120" ht="15" customHeight="1" x14ac:dyDescent="0.45">
      <c r="B52" s="79"/>
      <c r="C52" s="80"/>
      <c r="D52" s="80"/>
      <c r="E52" s="80"/>
      <c r="F52" s="80"/>
      <c r="G52" s="81"/>
      <c r="H52" s="106" t="s">
        <v>47</v>
      </c>
      <c r="I52" s="107"/>
      <c r="J52" s="108" t="s">
        <v>43</v>
      </c>
      <c r="K52" s="108"/>
      <c r="L52" s="108"/>
      <c r="M52" s="108"/>
      <c r="N52" s="108"/>
      <c r="O52" s="108"/>
      <c r="P52" s="109"/>
      <c r="Q52" s="110" t="s">
        <v>44</v>
      </c>
      <c r="R52" s="111"/>
      <c r="S52" s="112"/>
      <c r="T52" s="113"/>
      <c r="U52" s="114"/>
      <c r="V52" s="114"/>
      <c r="W52" s="114"/>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4"/>
      <c r="AY52" s="115"/>
      <c r="BY52" s="287" t="s">
        <v>47</v>
      </c>
      <c r="BZ52" s="287"/>
      <c r="CA52" s="264" t="s">
        <v>43</v>
      </c>
      <c r="CB52" s="264"/>
      <c r="CC52" s="264"/>
      <c r="CD52" s="264"/>
      <c r="CE52" s="264"/>
      <c r="CF52" s="264"/>
      <c r="CG52" s="264"/>
      <c r="CH52" s="288" t="s">
        <v>44</v>
      </c>
      <c r="CI52" s="288"/>
      <c r="CJ52" s="288"/>
      <c r="CK52" s="289" t="s">
        <v>112</v>
      </c>
      <c r="CL52" s="289"/>
      <c r="CM52" s="289"/>
      <c r="CN52" s="289"/>
      <c r="CO52" s="289"/>
      <c r="CP52" s="289"/>
      <c r="CQ52" s="289"/>
      <c r="CR52" s="289"/>
      <c r="CS52" s="289"/>
      <c r="CT52" s="289"/>
      <c r="CU52" s="289"/>
      <c r="CV52" s="289"/>
      <c r="CW52" s="289"/>
      <c r="CX52" s="289"/>
      <c r="CY52" s="289"/>
      <c r="CZ52" s="289"/>
      <c r="DA52" s="289"/>
      <c r="DB52" s="289"/>
      <c r="DC52" s="289"/>
      <c r="DD52" s="289"/>
      <c r="DE52" s="289"/>
      <c r="DF52" s="289"/>
      <c r="DG52" s="289"/>
      <c r="DH52" s="289"/>
      <c r="DI52" s="289"/>
      <c r="DJ52" s="289"/>
      <c r="DK52" s="289"/>
      <c r="DL52" s="289"/>
      <c r="DM52" s="289"/>
      <c r="DN52" s="289"/>
      <c r="DO52" s="289"/>
      <c r="DP52" s="289"/>
    </row>
    <row r="53" spans="2:120" s="24" customFormat="1" ht="17.25" customHeight="1" x14ac:dyDescent="0.45">
      <c r="B53" s="79"/>
      <c r="C53" s="80"/>
      <c r="D53" s="80"/>
      <c r="E53" s="80"/>
      <c r="F53" s="80"/>
      <c r="G53" s="81"/>
      <c r="H53" s="129" t="s">
        <v>113</v>
      </c>
      <c r="I53" s="130"/>
      <c r="J53" s="130"/>
      <c r="K53" s="130"/>
      <c r="L53" s="130"/>
      <c r="M53" s="131"/>
      <c r="N53" s="132"/>
      <c r="O53" s="133"/>
      <c r="P53" s="133"/>
      <c r="Q53" s="133"/>
      <c r="R53" s="133"/>
      <c r="S53" s="133"/>
      <c r="T53" s="133"/>
      <c r="U53" s="133"/>
      <c r="V53" s="133"/>
      <c r="W53" s="133"/>
      <c r="X53" s="133"/>
      <c r="Y53" s="133"/>
      <c r="Z53" s="133"/>
      <c r="AA53" s="133"/>
      <c r="AB53" s="134"/>
      <c r="AC53" s="129" t="s">
        <v>115</v>
      </c>
      <c r="AD53" s="130"/>
      <c r="AE53" s="130"/>
      <c r="AF53" s="130"/>
      <c r="AG53" s="130"/>
      <c r="AH53" s="131"/>
      <c r="AI53" s="135" t="s">
        <v>29</v>
      </c>
      <c r="AJ53" s="136"/>
      <c r="AK53" s="137"/>
      <c r="AL53" s="138"/>
      <c r="AM53" s="139"/>
      <c r="AN53" s="139"/>
      <c r="AO53" s="139"/>
      <c r="AP53" s="139"/>
      <c r="AQ53" s="139"/>
      <c r="AR53" s="139"/>
      <c r="AS53" s="139"/>
      <c r="AT53" s="139"/>
      <c r="AU53" s="139"/>
      <c r="AV53" s="139"/>
      <c r="AW53" s="139"/>
      <c r="AX53" s="139"/>
      <c r="AY53" s="140"/>
      <c r="BK53" s="25"/>
      <c r="BY53" s="290" t="s">
        <v>113</v>
      </c>
      <c r="BZ53" s="290"/>
      <c r="CA53" s="290"/>
      <c r="CB53" s="290"/>
      <c r="CC53" s="290"/>
      <c r="CD53" s="290"/>
      <c r="CE53" s="291" t="s">
        <v>117</v>
      </c>
      <c r="CF53" s="292"/>
      <c r="CG53" s="292"/>
      <c r="CH53" s="292"/>
      <c r="CI53" s="292"/>
      <c r="CJ53" s="292"/>
      <c r="CK53" s="292"/>
      <c r="CL53" s="292"/>
      <c r="CM53" s="292"/>
      <c r="CN53" s="292"/>
      <c r="CO53" s="292"/>
      <c r="CP53" s="292"/>
      <c r="CQ53" s="292"/>
      <c r="CR53" s="292"/>
      <c r="CS53" s="292"/>
      <c r="CT53" s="290" t="s">
        <v>115</v>
      </c>
      <c r="CU53" s="290"/>
      <c r="CV53" s="290"/>
      <c r="CW53" s="290"/>
      <c r="CX53" s="290"/>
      <c r="CY53" s="290"/>
      <c r="CZ53" s="276" t="s">
        <v>29</v>
      </c>
      <c r="DA53" s="276"/>
      <c r="DB53" s="276"/>
      <c r="DC53" s="293" t="s">
        <v>118</v>
      </c>
      <c r="DD53" s="293"/>
      <c r="DE53" s="293"/>
      <c r="DF53" s="293"/>
      <c r="DG53" s="293"/>
      <c r="DH53" s="293"/>
      <c r="DI53" s="293"/>
      <c r="DJ53" s="293"/>
      <c r="DK53" s="293"/>
      <c r="DL53" s="293"/>
      <c r="DM53" s="293"/>
      <c r="DN53" s="293"/>
      <c r="DO53" s="293"/>
      <c r="DP53" s="293"/>
    </row>
    <row r="54" spans="2:120" s="24" customFormat="1" ht="12.75" customHeight="1" x14ac:dyDescent="0.45">
      <c r="B54" s="79"/>
      <c r="C54" s="80"/>
      <c r="D54" s="80"/>
      <c r="E54" s="80"/>
      <c r="F54" s="80"/>
      <c r="G54" s="81"/>
      <c r="H54" s="141"/>
      <c r="I54" s="142"/>
      <c r="J54" s="142"/>
      <c r="K54" s="142"/>
      <c r="L54" s="142"/>
      <c r="M54" s="143"/>
      <c r="N54" s="144"/>
      <c r="O54" s="145"/>
      <c r="P54" s="145"/>
      <c r="Q54" s="145"/>
      <c r="R54" s="145"/>
      <c r="S54" s="145"/>
      <c r="T54" s="145"/>
      <c r="U54" s="145"/>
      <c r="V54" s="145"/>
      <c r="W54" s="145"/>
      <c r="X54" s="145"/>
      <c r="Y54" s="145"/>
      <c r="Z54" s="145"/>
      <c r="AA54" s="145"/>
      <c r="AB54" s="146"/>
      <c r="AC54" s="141"/>
      <c r="AD54" s="142"/>
      <c r="AE54" s="142"/>
      <c r="AF54" s="142"/>
      <c r="AG54" s="142"/>
      <c r="AH54" s="143"/>
      <c r="AI54" s="132"/>
      <c r="AJ54" s="133"/>
      <c r="AK54" s="133"/>
      <c r="AL54" s="133"/>
      <c r="AM54" s="133"/>
      <c r="AN54" s="133"/>
      <c r="AO54" s="133"/>
      <c r="AP54" s="133"/>
      <c r="AQ54" s="133"/>
      <c r="AR54" s="133"/>
      <c r="AS54" s="133"/>
      <c r="AT54" s="133"/>
      <c r="AU54" s="133"/>
      <c r="AV54" s="133"/>
      <c r="AW54" s="133"/>
      <c r="AX54" s="133"/>
      <c r="AY54" s="134"/>
      <c r="BK54" s="25"/>
      <c r="BY54" s="290"/>
      <c r="BZ54" s="290"/>
      <c r="CA54" s="290"/>
      <c r="CB54" s="290"/>
      <c r="CC54" s="290"/>
      <c r="CD54" s="290"/>
      <c r="CE54" s="292"/>
      <c r="CF54" s="292"/>
      <c r="CG54" s="292"/>
      <c r="CH54" s="292"/>
      <c r="CI54" s="292"/>
      <c r="CJ54" s="292"/>
      <c r="CK54" s="292"/>
      <c r="CL54" s="292"/>
      <c r="CM54" s="292"/>
      <c r="CN54" s="292"/>
      <c r="CO54" s="292"/>
      <c r="CP54" s="292"/>
      <c r="CQ54" s="292"/>
      <c r="CR54" s="292"/>
      <c r="CS54" s="292"/>
      <c r="CT54" s="290"/>
      <c r="CU54" s="290"/>
      <c r="CV54" s="290"/>
      <c r="CW54" s="290"/>
      <c r="CX54" s="290"/>
      <c r="CY54" s="290"/>
      <c r="CZ54" s="294" t="s">
        <v>120</v>
      </c>
      <c r="DA54" s="294"/>
      <c r="DB54" s="294"/>
      <c r="DC54" s="294"/>
      <c r="DD54" s="294"/>
      <c r="DE54" s="294"/>
      <c r="DF54" s="294"/>
      <c r="DG54" s="294"/>
      <c r="DH54" s="294"/>
      <c r="DI54" s="294"/>
      <c r="DJ54" s="294"/>
      <c r="DK54" s="294"/>
      <c r="DL54" s="294"/>
      <c r="DM54" s="294"/>
      <c r="DN54" s="294"/>
      <c r="DO54" s="294"/>
      <c r="DP54" s="294"/>
    </row>
    <row r="55" spans="2:120" s="24" customFormat="1" ht="6.75" customHeight="1" x14ac:dyDescent="0.45">
      <c r="B55" s="79"/>
      <c r="C55" s="80"/>
      <c r="D55" s="80"/>
      <c r="E55" s="80"/>
      <c r="F55" s="80"/>
      <c r="G55" s="81"/>
      <c r="H55" s="147"/>
      <c r="I55" s="148"/>
      <c r="J55" s="148"/>
      <c r="K55" s="148"/>
      <c r="L55" s="148"/>
      <c r="M55" s="149"/>
      <c r="N55" s="150"/>
      <c r="O55" s="151"/>
      <c r="P55" s="151"/>
      <c r="Q55" s="151"/>
      <c r="R55" s="151"/>
      <c r="S55" s="151"/>
      <c r="T55" s="151"/>
      <c r="U55" s="151"/>
      <c r="V55" s="151"/>
      <c r="W55" s="151"/>
      <c r="X55" s="151"/>
      <c r="Y55" s="151"/>
      <c r="Z55" s="151"/>
      <c r="AA55" s="151"/>
      <c r="AB55" s="152"/>
      <c r="AC55" s="147"/>
      <c r="AD55" s="148"/>
      <c r="AE55" s="148"/>
      <c r="AF55" s="148"/>
      <c r="AG55" s="148"/>
      <c r="AH55" s="149"/>
      <c r="AI55" s="150"/>
      <c r="AJ55" s="151"/>
      <c r="AK55" s="151"/>
      <c r="AL55" s="151"/>
      <c r="AM55" s="151"/>
      <c r="AN55" s="151"/>
      <c r="AO55" s="151"/>
      <c r="AP55" s="151"/>
      <c r="AQ55" s="151"/>
      <c r="AR55" s="151"/>
      <c r="AS55" s="151"/>
      <c r="AT55" s="151"/>
      <c r="AU55" s="151"/>
      <c r="AV55" s="151"/>
      <c r="AW55" s="151"/>
      <c r="AX55" s="151"/>
      <c r="AY55" s="152"/>
      <c r="BK55" s="25"/>
      <c r="BY55" s="295"/>
      <c r="BZ55" s="295"/>
      <c r="CA55" s="295"/>
      <c r="CB55" s="295"/>
      <c r="CC55" s="295"/>
      <c r="CD55" s="295"/>
      <c r="CE55" s="292"/>
      <c r="CF55" s="292"/>
      <c r="CG55" s="292"/>
      <c r="CH55" s="292"/>
      <c r="CI55" s="292"/>
      <c r="CJ55" s="292"/>
      <c r="CK55" s="292"/>
      <c r="CL55" s="292"/>
      <c r="CM55" s="292"/>
      <c r="CN55" s="292"/>
      <c r="CO55" s="292"/>
      <c r="CP55" s="292"/>
      <c r="CQ55" s="292"/>
      <c r="CR55" s="292"/>
      <c r="CS55" s="292"/>
      <c r="CT55" s="290"/>
      <c r="CU55" s="290"/>
      <c r="CV55" s="290"/>
      <c r="CW55" s="290"/>
      <c r="CX55" s="290"/>
      <c r="CY55" s="290"/>
      <c r="CZ55" s="294"/>
      <c r="DA55" s="294"/>
      <c r="DB55" s="294"/>
      <c r="DC55" s="294"/>
      <c r="DD55" s="294"/>
      <c r="DE55" s="294"/>
      <c r="DF55" s="294"/>
      <c r="DG55" s="294"/>
      <c r="DH55" s="294"/>
      <c r="DI55" s="294"/>
      <c r="DJ55" s="294"/>
      <c r="DK55" s="294"/>
      <c r="DL55" s="294"/>
      <c r="DM55" s="294"/>
      <c r="DN55" s="294"/>
      <c r="DO55" s="294"/>
      <c r="DP55" s="294"/>
    </row>
    <row r="56" spans="2:120" s="24" customFormat="1" ht="13.5" customHeight="1" x14ac:dyDescent="0.45">
      <c r="B56" s="79"/>
      <c r="C56" s="80"/>
      <c r="D56" s="80"/>
      <c r="E56" s="80"/>
      <c r="F56" s="80"/>
      <c r="G56" s="81"/>
      <c r="H56" s="129" t="s">
        <v>65</v>
      </c>
      <c r="I56" s="130"/>
      <c r="J56" s="130"/>
      <c r="K56" s="130"/>
      <c r="L56" s="130"/>
      <c r="M56" s="131"/>
      <c r="N56" s="296"/>
      <c r="O56" s="297"/>
      <c r="P56" s="297"/>
      <c r="Q56" s="297"/>
      <c r="R56" s="297"/>
      <c r="S56" s="297"/>
      <c r="T56" s="297"/>
      <c r="U56" s="297"/>
      <c r="V56" s="297"/>
      <c r="W56" s="297"/>
      <c r="X56" s="297"/>
      <c r="Y56" s="297"/>
      <c r="Z56" s="297"/>
      <c r="AA56" s="297"/>
      <c r="AB56" s="298"/>
      <c r="AC56" s="129" t="s">
        <v>121</v>
      </c>
      <c r="AD56" s="130"/>
      <c r="AE56" s="130"/>
      <c r="AF56" s="130"/>
      <c r="AG56" s="130"/>
      <c r="AH56" s="131"/>
      <c r="AI56" s="296"/>
      <c r="AJ56" s="297"/>
      <c r="AK56" s="297"/>
      <c r="AL56" s="297"/>
      <c r="AM56" s="297"/>
      <c r="AN56" s="297"/>
      <c r="AO56" s="297"/>
      <c r="AP56" s="297"/>
      <c r="AQ56" s="297"/>
      <c r="AR56" s="297"/>
      <c r="AS56" s="297"/>
      <c r="AT56" s="297"/>
      <c r="AU56" s="297"/>
      <c r="AV56" s="297"/>
      <c r="AW56" s="298"/>
      <c r="AX56" s="299"/>
      <c r="AY56" s="88"/>
      <c r="BK56" s="25"/>
      <c r="BY56" s="300" t="s">
        <v>65</v>
      </c>
      <c r="BZ56" s="301"/>
      <c r="CA56" s="301"/>
      <c r="CB56" s="301"/>
      <c r="CC56" s="301"/>
      <c r="CD56" s="302"/>
      <c r="CE56" s="303"/>
      <c r="CF56" s="303"/>
      <c r="CG56" s="303"/>
      <c r="CH56" s="303"/>
      <c r="CI56" s="303"/>
      <c r="CJ56" s="303"/>
      <c r="CK56" s="303"/>
      <c r="CL56" s="303"/>
      <c r="CM56" s="303"/>
      <c r="CN56" s="303"/>
      <c r="CO56" s="303"/>
      <c r="CP56" s="303"/>
      <c r="CQ56" s="303"/>
      <c r="CR56" s="303"/>
      <c r="CS56" s="304"/>
      <c r="CT56" s="305" t="s">
        <v>121</v>
      </c>
      <c r="CU56" s="306"/>
      <c r="CV56" s="306"/>
      <c r="CW56" s="306"/>
      <c r="CX56" s="306"/>
      <c r="CY56" s="307"/>
      <c r="CZ56" s="308"/>
      <c r="DA56" s="303"/>
      <c r="DB56" s="303"/>
      <c r="DC56" s="303"/>
      <c r="DD56" s="303"/>
      <c r="DE56" s="303"/>
      <c r="DF56" s="303"/>
      <c r="DG56" s="303"/>
      <c r="DH56" s="303"/>
      <c r="DI56" s="303"/>
      <c r="DJ56" s="303"/>
      <c r="DK56" s="303"/>
      <c r="DL56" s="303"/>
      <c r="DM56" s="303"/>
      <c r="DN56" s="303"/>
      <c r="DO56" s="309"/>
      <c r="DP56" s="310"/>
    </row>
    <row r="57" spans="2:120" s="24" customFormat="1" ht="38.25" customHeight="1" x14ac:dyDescent="0.45">
      <c r="B57" s="79"/>
      <c r="C57" s="80"/>
      <c r="D57" s="80"/>
      <c r="E57" s="80"/>
      <c r="F57" s="80"/>
      <c r="G57" s="81"/>
      <c r="H57" s="141"/>
      <c r="I57" s="142"/>
      <c r="J57" s="142"/>
      <c r="K57" s="142"/>
      <c r="L57" s="142"/>
      <c r="M57" s="143"/>
      <c r="N57" s="311" t="s">
        <v>67</v>
      </c>
      <c r="O57" s="312"/>
      <c r="P57" s="312"/>
      <c r="Q57" s="312"/>
      <c r="R57" s="313" t="s">
        <v>69</v>
      </c>
      <c r="S57" s="312"/>
      <c r="T57" s="312"/>
      <c r="U57" s="312"/>
      <c r="V57" s="312"/>
      <c r="W57" s="313" t="s">
        <v>71</v>
      </c>
      <c r="X57" s="312"/>
      <c r="Y57" s="312"/>
      <c r="Z57" s="312"/>
      <c r="AA57" s="312"/>
      <c r="AB57" s="314"/>
      <c r="AC57" s="141"/>
      <c r="AD57" s="142"/>
      <c r="AE57" s="142"/>
      <c r="AF57" s="142"/>
      <c r="AG57" s="142"/>
      <c r="AH57" s="143"/>
      <c r="AI57" s="311" t="s">
        <v>67</v>
      </c>
      <c r="AJ57" s="312"/>
      <c r="AK57" s="312"/>
      <c r="AL57" s="312"/>
      <c r="AM57" s="313" t="s">
        <v>69</v>
      </c>
      <c r="AN57" s="312"/>
      <c r="AO57" s="312"/>
      <c r="AP57" s="312"/>
      <c r="AQ57" s="312"/>
      <c r="AR57" s="313" t="s">
        <v>71</v>
      </c>
      <c r="AS57" s="312"/>
      <c r="AT57" s="312"/>
      <c r="AU57" s="312"/>
      <c r="AV57" s="312"/>
      <c r="AW57" s="314"/>
      <c r="AX57" s="315"/>
      <c r="AY57" s="316"/>
      <c r="BK57" s="25"/>
      <c r="BY57" s="317"/>
      <c r="BZ57" s="142"/>
      <c r="CA57" s="142"/>
      <c r="CB57" s="142"/>
      <c r="CC57" s="142"/>
      <c r="CD57" s="318"/>
      <c r="CE57" s="313" t="s">
        <v>67</v>
      </c>
      <c r="CF57" s="319" t="s">
        <v>68</v>
      </c>
      <c r="CG57" s="319"/>
      <c r="CH57" s="319"/>
      <c r="CI57" s="313" t="s">
        <v>69</v>
      </c>
      <c r="CJ57" s="319" t="s">
        <v>124</v>
      </c>
      <c r="CK57" s="319"/>
      <c r="CL57" s="319"/>
      <c r="CM57" s="319"/>
      <c r="CN57" s="313" t="s">
        <v>71</v>
      </c>
      <c r="CO57" s="319" t="s">
        <v>125</v>
      </c>
      <c r="CP57" s="319"/>
      <c r="CQ57" s="319"/>
      <c r="CR57" s="319"/>
      <c r="CS57" s="320"/>
      <c r="CT57" s="321"/>
      <c r="CU57" s="142"/>
      <c r="CV57" s="142"/>
      <c r="CW57" s="142"/>
      <c r="CX57" s="142"/>
      <c r="CY57" s="322"/>
      <c r="CZ57" s="323" t="s">
        <v>67</v>
      </c>
      <c r="DA57" s="319"/>
      <c r="DB57" s="319"/>
      <c r="DC57" s="319"/>
      <c r="DD57" s="313" t="s">
        <v>69</v>
      </c>
      <c r="DE57" s="319"/>
      <c r="DF57" s="319"/>
      <c r="DG57" s="319"/>
      <c r="DH57" s="319"/>
      <c r="DI57" s="313" t="s">
        <v>71</v>
      </c>
      <c r="DJ57" s="319"/>
      <c r="DK57" s="319"/>
      <c r="DL57" s="319"/>
      <c r="DM57" s="319"/>
      <c r="DN57" s="319"/>
      <c r="DO57" s="324"/>
      <c r="DP57" s="325"/>
    </row>
    <row r="58" spans="2:120" ht="7.5" customHeight="1" x14ac:dyDescent="0.45">
      <c r="B58" s="79"/>
      <c r="C58" s="80"/>
      <c r="D58" s="80"/>
      <c r="E58" s="80"/>
      <c r="F58" s="80"/>
      <c r="G58" s="81"/>
      <c r="H58" s="147"/>
      <c r="I58" s="148"/>
      <c r="J58" s="148"/>
      <c r="K58" s="148"/>
      <c r="L58" s="148"/>
      <c r="M58" s="149"/>
      <c r="N58" s="311"/>
      <c r="O58" s="313"/>
      <c r="P58" s="431"/>
      <c r="Q58" s="431"/>
      <c r="R58" s="431"/>
      <c r="S58" s="431"/>
      <c r="T58" s="431"/>
      <c r="U58" s="431"/>
      <c r="V58" s="431"/>
      <c r="W58" s="431"/>
      <c r="X58" s="431"/>
      <c r="Y58" s="431"/>
      <c r="Z58" s="313"/>
      <c r="AA58" s="313"/>
      <c r="AB58" s="327"/>
      <c r="AC58" s="147"/>
      <c r="AD58" s="148"/>
      <c r="AE58" s="148"/>
      <c r="AF58" s="148"/>
      <c r="AG58" s="148"/>
      <c r="AH58" s="149"/>
      <c r="AI58" s="311"/>
      <c r="AJ58" s="313"/>
      <c r="AK58" s="431"/>
      <c r="AL58" s="431"/>
      <c r="AM58" s="431"/>
      <c r="AN58" s="431"/>
      <c r="AO58" s="431"/>
      <c r="AP58" s="431"/>
      <c r="AQ58" s="431"/>
      <c r="AR58" s="431"/>
      <c r="AS58" s="431"/>
      <c r="AT58" s="431"/>
      <c r="AU58" s="313"/>
      <c r="AV58" s="313"/>
      <c r="AW58" s="327"/>
      <c r="AX58" s="97"/>
      <c r="AY58" s="99"/>
      <c r="BD58" s="419"/>
      <c r="BE58" s="419"/>
      <c r="BF58" s="419"/>
      <c r="BG58" s="419"/>
      <c r="BH58" s="419"/>
      <c r="BI58" s="419"/>
      <c r="BJ58" s="420"/>
      <c r="BK58" s="432"/>
      <c r="BL58" s="419"/>
      <c r="BM58" s="419"/>
      <c r="BN58" s="419"/>
      <c r="BO58" s="419"/>
      <c r="BP58" s="419"/>
      <c r="BQ58" s="420"/>
      <c r="BR58" s="419"/>
      <c r="BS58" s="419"/>
      <c r="BT58" s="419"/>
      <c r="BU58" s="419"/>
      <c r="BV58" s="419"/>
      <c r="BW58" s="419"/>
      <c r="BY58" s="328"/>
      <c r="BZ58" s="329"/>
      <c r="CA58" s="329"/>
      <c r="CB58" s="329"/>
      <c r="CC58" s="329"/>
      <c r="CD58" s="330"/>
      <c r="CE58" s="331"/>
      <c r="CF58" s="331"/>
      <c r="CG58" s="332"/>
      <c r="CH58" s="332"/>
      <c r="CI58" s="332"/>
      <c r="CJ58" s="332"/>
      <c r="CK58" s="332"/>
      <c r="CL58" s="332"/>
      <c r="CM58" s="332"/>
      <c r="CN58" s="332"/>
      <c r="CO58" s="332"/>
      <c r="CP58" s="332"/>
      <c r="CQ58" s="331"/>
      <c r="CR58" s="331"/>
      <c r="CS58" s="333"/>
      <c r="CT58" s="334"/>
      <c r="CU58" s="335"/>
      <c r="CV58" s="335"/>
      <c r="CW58" s="335"/>
      <c r="CX58" s="335"/>
      <c r="CY58" s="336"/>
      <c r="CZ58" s="337"/>
      <c r="DA58" s="331"/>
      <c r="DB58" s="332"/>
      <c r="DC58" s="332"/>
      <c r="DD58" s="332"/>
      <c r="DE58" s="332"/>
      <c r="DF58" s="332"/>
      <c r="DG58" s="332"/>
      <c r="DH58" s="332"/>
      <c r="DI58" s="332"/>
      <c r="DJ58" s="332"/>
      <c r="DK58" s="332"/>
      <c r="DL58" s="331"/>
      <c r="DM58" s="331"/>
      <c r="DN58" s="331"/>
      <c r="DO58" s="338"/>
      <c r="DP58" s="339"/>
    </row>
    <row r="59" spans="2:120" ht="21.75" customHeight="1" x14ac:dyDescent="0.45">
      <c r="B59" s="340" t="s">
        <v>126</v>
      </c>
      <c r="C59" s="340"/>
      <c r="D59" s="340"/>
      <c r="E59" s="340"/>
      <c r="F59" s="340"/>
      <c r="G59" s="340"/>
      <c r="H59" s="341" t="s">
        <v>171</v>
      </c>
      <c r="I59" s="341"/>
      <c r="J59" s="433"/>
      <c r="K59" s="433"/>
      <c r="L59" s="433"/>
      <c r="M59" s="433"/>
      <c r="N59" s="433"/>
      <c r="O59" s="433"/>
      <c r="P59" s="433"/>
      <c r="Q59" s="433"/>
      <c r="R59" s="433"/>
      <c r="S59" s="433"/>
      <c r="T59" s="433"/>
      <c r="U59" s="433"/>
      <c r="V59" s="433"/>
      <c r="W59" s="433"/>
      <c r="X59" s="433"/>
      <c r="Y59" s="433"/>
      <c r="Z59" s="433"/>
      <c r="AA59" s="433"/>
      <c r="AB59" s="433"/>
      <c r="AC59" s="433"/>
      <c r="AD59" s="433"/>
      <c r="AE59" s="433"/>
      <c r="AF59" s="433"/>
      <c r="AG59" s="433"/>
      <c r="AH59" s="433"/>
      <c r="AI59" s="433"/>
      <c r="AJ59" s="433"/>
      <c r="AK59" s="433"/>
      <c r="AL59" s="433"/>
      <c r="AM59" s="433"/>
      <c r="AN59" s="433"/>
      <c r="AO59" s="433"/>
      <c r="AP59" s="433"/>
      <c r="AQ59" s="433"/>
      <c r="AR59" s="433"/>
      <c r="AS59" s="433"/>
      <c r="AT59" s="433"/>
      <c r="AU59" s="433"/>
      <c r="AV59" s="433"/>
      <c r="AW59" s="433"/>
      <c r="AX59" s="433"/>
      <c r="AY59" s="433"/>
      <c r="BD59" s="434"/>
      <c r="BE59" s="434"/>
      <c r="BF59" s="434"/>
      <c r="BG59" s="434"/>
      <c r="BH59" s="434"/>
      <c r="BI59" s="434"/>
      <c r="BK59" s="435"/>
      <c r="BL59" s="434"/>
      <c r="BM59" s="434"/>
      <c r="BN59" s="434"/>
      <c r="BO59" s="434"/>
      <c r="BP59" s="434"/>
      <c r="BR59" s="434"/>
      <c r="BS59" s="434"/>
      <c r="BT59" s="434"/>
      <c r="BU59" s="434"/>
      <c r="BV59" s="434"/>
      <c r="BW59" s="434"/>
      <c r="BY59" s="436"/>
      <c r="BZ59" s="436"/>
      <c r="CA59" s="436"/>
      <c r="CB59" s="436"/>
      <c r="CC59" s="436"/>
      <c r="CD59" s="436"/>
      <c r="CE59" s="313"/>
      <c r="CF59" s="313"/>
      <c r="CG59" s="437"/>
      <c r="CH59" s="437"/>
      <c r="CI59" s="437"/>
      <c r="CJ59" s="437"/>
      <c r="CK59" s="437"/>
      <c r="CL59" s="437"/>
      <c r="CM59" s="437"/>
      <c r="CN59" s="437"/>
      <c r="CO59" s="437"/>
      <c r="CP59" s="437"/>
      <c r="CQ59" s="313"/>
      <c r="CR59" s="313"/>
      <c r="CS59" s="313"/>
      <c r="CT59" s="436"/>
      <c r="CU59" s="436"/>
      <c r="CV59" s="436"/>
      <c r="CW59" s="436"/>
      <c r="CX59" s="436"/>
      <c r="CY59" s="436"/>
      <c r="CZ59" s="313"/>
      <c r="DA59" s="313"/>
      <c r="DB59" s="437"/>
      <c r="DC59" s="437"/>
      <c r="DD59" s="437"/>
      <c r="DE59" s="437"/>
      <c r="DF59" s="437"/>
      <c r="DG59" s="437"/>
      <c r="DH59" s="437"/>
      <c r="DI59" s="437"/>
      <c r="DJ59" s="437"/>
      <c r="DK59" s="437"/>
      <c r="DL59" s="313"/>
      <c r="DM59" s="313"/>
      <c r="DN59" s="313"/>
      <c r="DO59" s="438"/>
      <c r="DP59" s="438"/>
    </row>
    <row r="60" spans="2:120" ht="26.25" customHeight="1" x14ac:dyDescent="0.15">
      <c r="B60" s="343" t="s">
        <v>128</v>
      </c>
      <c r="C60" s="343"/>
      <c r="D60" s="343"/>
      <c r="E60" s="343"/>
      <c r="F60" s="343"/>
      <c r="G60" s="343"/>
      <c r="H60" s="343"/>
      <c r="I60" s="343"/>
      <c r="J60" s="343"/>
      <c r="K60" s="343"/>
      <c r="L60" s="343"/>
      <c r="M60" s="343"/>
      <c r="N60" s="343"/>
      <c r="O60" s="343"/>
      <c r="P60" s="343"/>
      <c r="Q60" s="343"/>
      <c r="R60" s="343"/>
      <c r="S60" s="343"/>
      <c r="T60" s="343"/>
      <c r="U60" s="343"/>
      <c r="V60" s="343"/>
      <c r="W60" s="343"/>
      <c r="X60" s="343"/>
      <c r="Y60" s="343"/>
      <c r="Z60" s="343"/>
      <c r="AA60" s="343"/>
      <c r="AB60" s="343"/>
      <c r="AC60" s="343"/>
      <c r="AD60" s="343"/>
      <c r="AE60" s="343"/>
      <c r="AF60" s="343"/>
      <c r="AG60" s="343"/>
      <c r="AH60" s="343"/>
      <c r="AI60" s="343"/>
      <c r="AJ60" s="343"/>
      <c r="AK60" s="343"/>
      <c r="AL60" s="343"/>
      <c r="AM60" s="343"/>
      <c r="AN60" s="343"/>
      <c r="AO60" s="343"/>
      <c r="AP60" s="343"/>
      <c r="AQ60" s="343"/>
      <c r="AR60" s="343"/>
      <c r="AS60" s="343"/>
      <c r="AT60" s="343"/>
      <c r="AU60" s="343"/>
      <c r="AV60" s="343"/>
      <c r="AW60" s="343"/>
      <c r="AX60" s="343"/>
      <c r="AY60" s="343"/>
    </row>
    <row r="61" spans="2:120" ht="26.25" customHeight="1" x14ac:dyDescent="0.45">
      <c r="B61" s="214" t="s">
        <v>129</v>
      </c>
      <c r="C61" s="244"/>
      <c r="D61" s="244"/>
      <c r="E61" s="244"/>
      <c r="F61" s="244"/>
      <c r="G61" s="245"/>
      <c r="H61" s="106" t="s">
        <v>47</v>
      </c>
      <c r="I61" s="107"/>
      <c r="J61" s="223" t="s">
        <v>130</v>
      </c>
      <c r="K61" s="223"/>
      <c r="L61" s="223"/>
      <c r="M61" s="223"/>
      <c r="N61" s="223"/>
      <c r="O61" s="223"/>
      <c r="P61" s="223"/>
      <c r="Q61" s="223"/>
      <c r="R61" s="223"/>
      <c r="S61" s="223"/>
      <c r="T61" s="223"/>
      <c r="U61" s="209" t="s">
        <v>89</v>
      </c>
      <c r="V61" s="106"/>
      <c r="W61" s="224"/>
      <c r="X61" s="225" t="s">
        <v>90</v>
      </c>
      <c r="Y61" s="226"/>
      <c r="Z61" s="226"/>
      <c r="AA61" s="226"/>
      <c r="AB61" s="226"/>
      <c r="AC61" s="227"/>
      <c r="AD61" s="106" t="s">
        <v>47</v>
      </c>
      <c r="AE61" s="107"/>
      <c r="AF61" s="223" t="s">
        <v>131</v>
      </c>
      <c r="AG61" s="223"/>
      <c r="AH61" s="223"/>
      <c r="AI61" s="223"/>
      <c r="AJ61" s="223"/>
      <c r="AK61" s="223"/>
      <c r="AL61" s="223"/>
      <c r="AM61" s="223"/>
      <c r="AN61" s="223"/>
      <c r="AO61" s="223"/>
      <c r="AP61" s="223"/>
      <c r="AQ61" s="209" t="s">
        <v>89</v>
      </c>
      <c r="AR61" s="106"/>
      <c r="AS61" s="224"/>
      <c r="AT61" s="225" t="s">
        <v>90</v>
      </c>
      <c r="AU61" s="226"/>
      <c r="AV61" s="226"/>
      <c r="AW61" s="226"/>
      <c r="AX61" s="226"/>
      <c r="AY61" s="227"/>
    </row>
    <row r="62" spans="2:120" ht="26.25" customHeight="1" x14ac:dyDescent="0.45">
      <c r="B62" s="116" t="s">
        <v>132</v>
      </c>
      <c r="C62" s="41"/>
      <c r="D62" s="41"/>
      <c r="E62" s="41"/>
      <c r="F62" s="41"/>
      <c r="G62" s="42"/>
      <c r="H62" s="35" t="s">
        <v>23</v>
      </c>
      <c r="I62" s="35"/>
      <c r="J62" s="36"/>
      <c r="K62" s="36"/>
      <c r="L62" s="36"/>
      <c r="M62" s="36"/>
      <c r="N62" s="37" t="s">
        <v>24</v>
      </c>
      <c r="O62" s="36"/>
      <c r="P62" s="36"/>
      <c r="Q62" s="36"/>
      <c r="R62" s="36"/>
      <c r="S62" s="37" t="s">
        <v>25</v>
      </c>
      <c r="T62" s="439"/>
      <c r="U62" s="439"/>
      <c r="V62" s="439"/>
      <c r="W62" s="439"/>
      <c r="X62" s="37" t="s">
        <v>26</v>
      </c>
      <c r="Y62" s="440" t="s">
        <v>133</v>
      </c>
      <c r="Z62" s="441"/>
      <c r="AA62" s="441"/>
      <c r="AB62" s="441"/>
      <c r="AC62" s="441"/>
      <c r="AD62" s="441"/>
      <c r="AE62" s="441"/>
      <c r="AF62" s="441"/>
      <c r="AG62" s="441"/>
      <c r="AH62" s="441"/>
      <c r="AI62" s="441"/>
      <c r="AJ62" s="441"/>
      <c r="AK62" s="441"/>
      <c r="AL62" s="441"/>
      <c r="AM62" s="441"/>
      <c r="AN62" s="441"/>
      <c r="AO62" s="441"/>
      <c r="AP62" s="441"/>
      <c r="AQ62" s="441"/>
      <c r="AR62" s="441"/>
      <c r="AS62" s="441"/>
      <c r="AT62" s="441"/>
      <c r="AU62" s="441"/>
      <c r="AV62" s="441"/>
      <c r="AW62" s="441"/>
      <c r="AX62" s="441"/>
      <c r="AY62" s="442"/>
    </row>
    <row r="63" spans="2:120" ht="26.25" customHeight="1" x14ac:dyDescent="0.45">
      <c r="B63" s="116" t="s">
        <v>134</v>
      </c>
      <c r="C63" s="41"/>
      <c r="D63" s="41"/>
      <c r="E63" s="41"/>
      <c r="F63" s="41"/>
      <c r="G63" s="42"/>
      <c r="H63" s="35" t="s">
        <v>23</v>
      </c>
      <c r="I63" s="35"/>
      <c r="J63" s="36"/>
      <c r="K63" s="36"/>
      <c r="L63" s="36"/>
      <c r="M63" s="36"/>
      <c r="N63" s="37" t="s">
        <v>24</v>
      </c>
      <c r="O63" s="36"/>
      <c r="P63" s="36"/>
      <c r="Q63" s="36"/>
      <c r="R63" s="36"/>
      <c r="S63" s="37" t="s">
        <v>25</v>
      </c>
      <c r="T63" s="439"/>
      <c r="U63" s="439"/>
      <c r="V63" s="439"/>
      <c r="W63" s="439"/>
      <c r="X63" s="37" t="s">
        <v>26</v>
      </c>
      <c r="Y63" s="443"/>
      <c r="Z63" s="444"/>
      <c r="AA63" s="444"/>
      <c r="AB63" s="444"/>
      <c r="AC63" s="444"/>
      <c r="AD63" s="444"/>
      <c r="AE63" s="444"/>
      <c r="AF63" s="444"/>
      <c r="AG63" s="444"/>
      <c r="AH63" s="444"/>
      <c r="AI63" s="444"/>
      <c r="AJ63" s="444"/>
      <c r="AK63" s="444"/>
      <c r="AL63" s="444"/>
      <c r="AM63" s="444"/>
      <c r="AN63" s="444"/>
      <c r="AO63" s="444"/>
      <c r="AP63" s="444"/>
      <c r="AQ63" s="444"/>
      <c r="AR63" s="444"/>
      <c r="AS63" s="444"/>
      <c r="AT63" s="444"/>
      <c r="AU63" s="444"/>
      <c r="AV63" s="444"/>
      <c r="AW63" s="444"/>
      <c r="AX63" s="444"/>
      <c r="AY63" s="445"/>
    </row>
    <row r="64" spans="2:120" ht="26.25" customHeight="1" x14ac:dyDescent="0.45">
      <c r="B64" s="129" t="s">
        <v>135</v>
      </c>
      <c r="C64" s="347"/>
      <c r="D64" s="347"/>
      <c r="E64" s="347"/>
      <c r="F64" s="347"/>
      <c r="G64" s="348"/>
      <c r="H64" s="349" t="s">
        <v>23</v>
      </c>
      <c r="I64" s="349"/>
      <c r="J64" s="351"/>
      <c r="K64" s="351"/>
      <c r="L64" s="351"/>
      <c r="M64" s="351"/>
      <c r="N64" s="350" t="s">
        <v>24</v>
      </c>
      <c r="O64" s="351"/>
      <c r="P64" s="351"/>
      <c r="Q64" s="351"/>
      <c r="R64" s="351"/>
      <c r="S64" s="350" t="s">
        <v>25</v>
      </c>
      <c r="T64" s="446"/>
      <c r="U64" s="446"/>
      <c r="V64" s="446"/>
      <c r="W64" s="446"/>
      <c r="X64" s="350" t="s">
        <v>26</v>
      </c>
      <c r="Y64" s="443"/>
      <c r="Z64" s="444"/>
      <c r="AA64" s="444"/>
      <c r="AB64" s="444"/>
      <c r="AC64" s="444"/>
      <c r="AD64" s="447"/>
      <c r="AE64" s="447"/>
      <c r="AF64" s="447"/>
      <c r="AG64" s="447"/>
      <c r="AH64" s="447"/>
      <c r="AI64" s="447"/>
      <c r="AJ64" s="447"/>
      <c r="AK64" s="447"/>
      <c r="AL64" s="447"/>
      <c r="AM64" s="447"/>
      <c r="AN64" s="447"/>
      <c r="AO64" s="447"/>
      <c r="AP64" s="447"/>
      <c r="AQ64" s="447"/>
      <c r="AR64" s="447"/>
      <c r="AS64" s="447"/>
      <c r="AT64" s="447"/>
      <c r="AU64" s="447"/>
      <c r="AV64" s="447"/>
      <c r="AW64" s="447"/>
      <c r="AX64" s="447"/>
      <c r="AY64" s="448"/>
    </row>
    <row r="65" spans="1:52" ht="26.25" customHeight="1" x14ac:dyDescent="0.45">
      <c r="B65" s="49" t="s">
        <v>136</v>
      </c>
      <c r="C65" s="49"/>
      <c r="D65" s="49"/>
      <c r="E65" s="49"/>
      <c r="F65" s="49"/>
      <c r="G65" s="49"/>
      <c r="H65" s="356" t="s">
        <v>47</v>
      </c>
      <c r="I65" s="356"/>
      <c r="J65" s="357" t="s">
        <v>136</v>
      </c>
      <c r="K65" s="357"/>
      <c r="L65" s="357"/>
      <c r="M65" s="357"/>
      <c r="N65" s="357"/>
      <c r="O65" s="357"/>
      <c r="P65" s="357"/>
      <c r="Q65" s="357"/>
      <c r="R65" s="357"/>
      <c r="S65" s="357"/>
      <c r="T65" s="357"/>
      <c r="U65" s="358" t="s">
        <v>89</v>
      </c>
      <c r="V65" s="356"/>
      <c r="W65" s="356"/>
      <c r="X65" s="359" t="s">
        <v>90</v>
      </c>
      <c r="Y65" s="359"/>
      <c r="Z65" s="359"/>
      <c r="AA65" s="359"/>
      <c r="AB65" s="359"/>
      <c r="AC65" s="359"/>
      <c r="AD65" s="360" t="s">
        <v>137</v>
      </c>
      <c r="AE65" s="360"/>
      <c r="AF65" s="360"/>
      <c r="AG65" s="360"/>
      <c r="AH65" s="360"/>
      <c r="AI65" s="360"/>
      <c r="AJ65" s="360"/>
      <c r="AK65" s="360"/>
      <c r="AL65" s="360"/>
      <c r="AM65" s="360"/>
      <c r="AN65" s="360"/>
      <c r="AO65" s="360"/>
      <c r="AP65" s="360"/>
      <c r="AQ65" s="360"/>
      <c r="AR65" s="360"/>
      <c r="AS65" s="360"/>
      <c r="AT65" s="360"/>
      <c r="AU65" s="360"/>
      <c r="AV65" s="360"/>
      <c r="AW65" s="360"/>
      <c r="AX65" s="360"/>
      <c r="AY65" s="360"/>
    </row>
    <row r="66" spans="1:52" ht="26.25" customHeight="1" x14ac:dyDescent="0.45">
      <c r="B66" s="49" t="s">
        <v>138</v>
      </c>
      <c r="C66" s="49"/>
      <c r="D66" s="49"/>
      <c r="E66" s="49"/>
      <c r="F66" s="49"/>
      <c r="G66" s="49"/>
      <c r="H66" s="356" t="s">
        <v>47</v>
      </c>
      <c r="I66" s="356"/>
      <c r="J66" s="357" t="s">
        <v>139</v>
      </c>
      <c r="K66" s="357"/>
      <c r="L66" s="357"/>
      <c r="M66" s="357"/>
      <c r="N66" s="357"/>
      <c r="O66" s="357"/>
      <c r="P66" s="357"/>
      <c r="Q66" s="357"/>
      <c r="R66" s="357"/>
      <c r="S66" s="357"/>
      <c r="T66" s="357"/>
      <c r="U66" s="358" t="s">
        <v>89</v>
      </c>
      <c r="V66" s="356"/>
      <c r="W66" s="356"/>
      <c r="X66" s="359" t="s">
        <v>90</v>
      </c>
      <c r="Y66" s="359"/>
      <c r="Z66" s="359"/>
      <c r="AA66" s="359"/>
      <c r="AB66" s="359"/>
      <c r="AC66" s="359"/>
      <c r="AD66" s="361" t="s">
        <v>140</v>
      </c>
      <c r="AE66" s="361"/>
      <c r="AF66" s="361"/>
      <c r="AG66" s="361"/>
      <c r="AH66" s="361"/>
      <c r="AI66" s="361"/>
      <c r="AJ66" s="361"/>
      <c r="AK66" s="361"/>
      <c r="AL66" s="361"/>
      <c r="AM66" s="361"/>
      <c r="AN66" s="361"/>
      <c r="AO66" s="361"/>
      <c r="AP66" s="361"/>
      <c r="AQ66" s="361"/>
      <c r="AR66" s="361"/>
      <c r="AS66" s="361"/>
      <c r="AT66" s="361"/>
      <c r="AU66" s="361"/>
      <c r="AV66" s="361"/>
      <c r="AW66" s="361"/>
      <c r="AX66" s="361"/>
      <c r="AY66" s="361"/>
    </row>
    <row r="67" spans="1:52" x14ac:dyDescent="0.2">
      <c r="B67" s="362" t="s">
        <v>172</v>
      </c>
      <c r="C67" s="449"/>
      <c r="D67" s="449"/>
      <c r="E67" s="449"/>
      <c r="F67" s="449"/>
      <c r="G67" s="449"/>
      <c r="H67" s="449"/>
      <c r="I67" s="449"/>
      <c r="J67" s="449"/>
      <c r="K67" s="449"/>
      <c r="L67" s="449"/>
      <c r="M67" s="449"/>
      <c r="N67" s="449"/>
      <c r="O67" s="449"/>
      <c r="P67" s="449"/>
      <c r="Q67" s="449"/>
      <c r="R67" s="449"/>
      <c r="S67" s="449"/>
      <c r="T67" s="449"/>
      <c r="U67" s="449"/>
      <c r="V67" s="449"/>
      <c r="W67" s="449"/>
      <c r="X67" s="449"/>
      <c r="Y67" s="449"/>
      <c r="Z67" s="449"/>
      <c r="AA67" s="449"/>
      <c r="AB67" s="449"/>
      <c r="AC67" s="449"/>
      <c r="AD67" s="449"/>
      <c r="AE67" s="449"/>
      <c r="AF67" s="449"/>
      <c r="AG67" s="449"/>
      <c r="AH67" s="449"/>
      <c r="AI67" s="449"/>
      <c r="AJ67" s="449"/>
      <c r="AK67" s="449"/>
      <c r="AL67" s="449"/>
      <c r="AM67" s="449"/>
      <c r="AN67" s="449"/>
      <c r="AO67" s="449"/>
      <c r="AP67" s="449"/>
      <c r="AQ67" s="449"/>
      <c r="AR67" s="449"/>
      <c r="AS67" s="449"/>
      <c r="AT67" s="449"/>
      <c r="AU67" s="449"/>
      <c r="AV67" s="449"/>
      <c r="AW67" s="449"/>
      <c r="AX67" s="449"/>
      <c r="AY67" s="449"/>
    </row>
    <row r="68" spans="1:52" x14ac:dyDescent="0.2">
      <c r="B68" s="449" t="s">
        <v>142</v>
      </c>
      <c r="C68" s="450"/>
      <c r="D68" s="450"/>
      <c r="E68" s="450"/>
      <c r="F68" s="450"/>
      <c r="G68" s="450"/>
      <c r="H68" s="450"/>
      <c r="I68" s="450"/>
      <c r="J68" s="450"/>
      <c r="K68" s="450"/>
      <c r="L68" s="450"/>
      <c r="M68" s="450"/>
      <c r="N68" s="450"/>
      <c r="O68" s="450"/>
      <c r="P68" s="450"/>
      <c r="Q68" s="450"/>
      <c r="R68" s="450"/>
      <c r="S68" s="450"/>
      <c r="T68" s="450"/>
      <c r="U68" s="450"/>
      <c r="V68" s="450"/>
      <c r="W68" s="450"/>
      <c r="X68" s="450"/>
      <c r="Y68" s="450"/>
      <c r="Z68" s="450"/>
      <c r="AA68" s="450"/>
      <c r="AB68" s="450"/>
      <c r="AC68" s="450"/>
      <c r="AD68" s="450"/>
      <c r="AE68" s="450"/>
      <c r="AF68" s="450"/>
      <c r="AG68" s="450"/>
      <c r="AH68" s="450"/>
      <c r="AI68" s="450"/>
      <c r="AJ68" s="450"/>
      <c r="AK68" s="450"/>
      <c r="AL68" s="450"/>
      <c r="AM68" s="450"/>
      <c r="AN68" s="450"/>
      <c r="AO68" s="450"/>
      <c r="AP68" s="450"/>
      <c r="AQ68" s="450"/>
      <c r="AR68" s="450"/>
      <c r="AS68" s="450"/>
      <c r="AT68" s="450"/>
      <c r="AU68" s="450"/>
      <c r="AV68" s="450"/>
      <c r="AW68" s="450"/>
      <c r="AX68" s="450"/>
      <c r="AY68" s="450"/>
    </row>
    <row r="69" spans="1:52" ht="40.5" customHeight="1" x14ac:dyDescent="0.45">
      <c r="B69" s="370" t="s">
        <v>143</v>
      </c>
      <c r="C69" s="371"/>
      <c r="D69" s="371"/>
      <c r="E69" s="371"/>
      <c r="F69" s="371"/>
      <c r="G69" s="372"/>
      <c r="H69" s="373"/>
      <c r="I69" s="374"/>
      <c r="J69" s="374"/>
      <c r="K69" s="374"/>
      <c r="L69" s="374"/>
      <c r="M69" s="374"/>
      <c r="N69" s="374"/>
      <c r="O69" s="374"/>
      <c r="P69" s="374"/>
      <c r="Q69" s="374"/>
      <c r="R69" s="374"/>
      <c r="S69" s="374"/>
      <c r="T69" s="374"/>
      <c r="U69" s="374"/>
      <c r="V69" s="374"/>
      <c r="W69" s="374"/>
      <c r="X69" s="374"/>
      <c r="Y69" s="374"/>
      <c r="Z69" s="374"/>
      <c r="AA69" s="374"/>
      <c r="AB69" s="374"/>
      <c r="AC69" s="374"/>
      <c r="AD69" s="374"/>
      <c r="AE69" s="374"/>
      <c r="AF69" s="374"/>
      <c r="AG69" s="374"/>
      <c r="AH69" s="374"/>
      <c r="AI69" s="374"/>
      <c r="AJ69" s="374"/>
      <c r="AK69" s="374"/>
      <c r="AL69" s="374"/>
      <c r="AM69" s="374"/>
      <c r="AN69" s="374"/>
      <c r="AO69" s="374"/>
      <c r="AP69" s="374"/>
      <c r="AQ69" s="374"/>
      <c r="AR69" s="374"/>
      <c r="AS69" s="374"/>
      <c r="AT69" s="374"/>
      <c r="AU69" s="374"/>
      <c r="AV69" s="374"/>
      <c r="AW69" s="374"/>
      <c r="AX69" s="374"/>
      <c r="AY69" s="375"/>
    </row>
    <row r="71" spans="1:52" x14ac:dyDescent="0.45">
      <c r="B71" s="3" t="s">
        <v>144</v>
      </c>
    </row>
    <row r="72" spans="1:52" x14ac:dyDescent="0.45">
      <c r="B72" s="376" t="s">
        <v>145</v>
      </c>
      <c r="C72" s="376"/>
      <c r="D72" s="376"/>
      <c r="E72" s="376"/>
      <c r="F72" s="376"/>
      <c r="G72" s="376"/>
      <c r="H72" s="377"/>
      <c r="I72" s="378"/>
      <c r="J72" s="378"/>
      <c r="K72" s="378"/>
      <c r="L72" s="378"/>
      <c r="M72" s="378"/>
      <c r="N72" s="378"/>
      <c r="O72" s="378"/>
      <c r="P72" s="378"/>
      <c r="Q72" s="378"/>
      <c r="R72" s="378"/>
      <c r="S72" s="378"/>
      <c r="T72" s="378"/>
      <c r="U72" s="378"/>
      <c r="V72" s="378"/>
      <c r="W72" s="379"/>
      <c r="X72" s="376" t="s">
        <v>147</v>
      </c>
      <c r="Y72" s="376"/>
      <c r="Z72" s="376"/>
      <c r="AA72" s="376"/>
      <c r="AB72" s="376"/>
      <c r="AC72" s="376"/>
      <c r="AD72" s="377"/>
      <c r="AE72" s="378"/>
      <c r="AF72" s="378"/>
      <c r="AG72" s="378"/>
      <c r="AH72" s="378"/>
      <c r="AI72" s="378"/>
      <c r="AJ72" s="378"/>
      <c r="AK72" s="378"/>
      <c r="AL72" s="378"/>
      <c r="AM72" s="378"/>
      <c r="AN72" s="378"/>
      <c r="AO72" s="378"/>
      <c r="AP72" s="378"/>
      <c r="AQ72" s="378"/>
      <c r="AR72" s="378"/>
      <c r="AS72" s="378"/>
      <c r="AT72" s="378"/>
      <c r="AU72" s="378"/>
      <c r="AV72" s="378"/>
      <c r="AW72" s="378"/>
      <c r="AX72" s="378"/>
      <c r="AY72" s="379"/>
    </row>
    <row r="73" spans="1:52" x14ac:dyDescent="0.45">
      <c r="B73" s="376" t="s">
        <v>149</v>
      </c>
      <c r="C73" s="376"/>
      <c r="D73" s="376"/>
      <c r="E73" s="376"/>
      <c r="F73" s="376"/>
      <c r="G73" s="376"/>
      <c r="H73" s="377"/>
      <c r="I73" s="378"/>
      <c r="J73" s="378"/>
      <c r="K73" s="378"/>
      <c r="L73" s="378"/>
      <c r="M73" s="378"/>
      <c r="N73" s="378"/>
      <c r="O73" s="378"/>
      <c r="P73" s="378"/>
      <c r="Q73" s="378"/>
      <c r="R73" s="378"/>
      <c r="S73" s="378"/>
      <c r="T73" s="378"/>
      <c r="U73" s="378"/>
      <c r="V73" s="378"/>
      <c r="W73" s="379"/>
      <c r="X73" s="376" t="s">
        <v>151</v>
      </c>
      <c r="Y73" s="376"/>
      <c r="Z73" s="376"/>
      <c r="AA73" s="376"/>
      <c r="AB73" s="376"/>
      <c r="AC73" s="376"/>
      <c r="AD73" s="377"/>
      <c r="AE73" s="378"/>
      <c r="AF73" s="378"/>
      <c r="AG73" s="378"/>
      <c r="AH73" s="378"/>
      <c r="AI73" s="378"/>
      <c r="AJ73" s="378"/>
      <c r="AK73" s="378"/>
      <c r="AL73" s="378"/>
      <c r="AM73" s="378"/>
      <c r="AN73" s="378"/>
      <c r="AO73" s="378"/>
      <c r="AP73" s="378"/>
      <c r="AQ73" s="378"/>
      <c r="AR73" s="378"/>
      <c r="AS73" s="378"/>
      <c r="AT73" s="378"/>
      <c r="AU73" s="378"/>
      <c r="AV73" s="378"/>
      <c r="AW73" s="378"/>
      <c r="AX73" s="378"/>
      <c r="AY73" s="379"/>
    </row>
    <row r="74" spans="1:52" x14ac:dyDescent="0.45">
      <c r="B74" s="376" t="s">
        <v>153</v>
      </c>
      <c r="C74" s="376"/>
      <c r="D74" s="376"/>
      <c r="E74" s="376"/>
      <c r="F74" s="376"/>
      <c r="G74" s="376"/>
      <c r="H74" s="377"/>
      <c r="I74" s="378"/>
      <c r="J74" s="378"/>
      <c r="K74" s="378"/>
      <c r="L74" s="378"/>
      <c r="M74" s="378"/>
      <c r="N74" s="378"/>
      <c r="O74" s="378"/>
      <c r="P74" s="378"/>
      <c r="Q74" s="378"/>
      <c r="R74" s="378"/>
      <c r="S74" s="378"/>
      <c r="T74" s="378"/>
      <c r="U74" s="378"/>
      <c r="V74" s="378"/>
      <c r="W74" s="378"/>
      <c r="X74" s="378"/>
      <c r="Y74" s="378"/>
      <c r="Z74" s="378"/>
      <c r="AA74" s="378"/>
      <c r="AB74" s="378"/>
      <c r="AC74" s="378"/>
      <c r="AD74" s="378"/>
      <c r="AE74" s="378"/>
      <c r="AF74" s="378"/>
      <c r="AG74" s="378"/>
      <c r="AH74" s="378"/>
      <c r="AI74" s="378"/>
      <c r="AJ74" s="378"/>
      <c r="AK74" s="378"/>
      <c r="AL74" s="378"/>
      <c r="AM74" s="378"/>
      <c r="AN74" s="378"/>
      <c r="AO74" s="378"/>
      <c r="AP74" s="378"/>
      <c r="AQ74" s="378"/>
      <c r="AR74" s="378"/>
      <c r="AS74" s="378"/>
      <c r="AT74" s="378"/>
      <c r="AU74" s="378"/>
      <c r="AV74" s="378"/>
      <c r="AW74" s="378"/>
      <c r="AX74" s="378"/>
      <c r="AY74" s="379"/>
    </row>
    <row r="75" spans="1:52" x14ac:dyDescent="0.45">
      <c r="B75" s="376" t="s">
        <v>155</v>
      </c>
      <c r="C75" s="376"/>
      <c r="D75" s="376"/>
      <c r="E75" s="376"/>
      <c r="F75" s="376"/>
      <c r="G75" s="376"/>
      <c r="H75" s="377"/>
      <c r="I75" s="378"/>
      <c r="J75" s="378"/>
      <c r="K75" s="378"/>
      <c r="L75" s="378"/>
      <c r="M75" s="378"/>
      <c r="N75" s="378"/>
      <c r="O75" s="378"/>
      <c r="P75" s="378"/>
      <c r="Q75" s="378"/>
      <c r="R75" s="378"/>
      <c r="S75" s="378"/>
      <c r="T75" s="378"/>
      <c r="U75" s="378"/>
      <c r="V75" s="378"/>
      <c r="W75" s="379"/>
      <c r="X75" s="376" t="s">
        <v>157</v>
      </c>
      <c r="Y75" s="376"/>
      <c r="Z75" s="376"/>
      <c r="AA75" s="376"/>
      <c r="AB75" s="376"/>
      <c r="AC75" s="376"/>
      <c r="AD75" s="377"/>
      <c r="AE75" s="378"/>
      <c r="AF75" s="378"/>
      <c r="AG75" s="378"/>
      <c r="AH75" s="378"/>
      <c r="AI75" s="378"/>
      <c r="AJ75" s="378"/>
      <c r="AK75" s="378"/>
      <c r="AL75" s="378"/>
      <c r="AM75" s="378"/>
      <c r="AN75" s="378"/>
      <c r="AO75" s="378"/>
      <c r="AP75" s="378"/>
      <c r="AQ75" s="378"/>
      <c r="AR75" s="378"/>
      <c r="AS75" s="378"/>
      <c r="AT75" s="378"/>
      <c r="AU75" s="378"/>
      <c r="AV75" s="378"/>
      <c r="AW75" s="378"/>
      <c r="AX75" s="378"/>
      <c r="AY75" s="379"/>
    </row>
    <row r="76" spans="1:52" x14ac:dyDescent="0.45">
      <c r="B76" s="376" t="s">
        <v>158</v>
      </c>
      <c r="C76" s="376"/>
      <c r="D76" s="376"/>
      <c r="E76" s="376"/>
      <c r="F76" s="376"/>
      <c r="G76" s="376"/>
      <c r="H76" s="377"/>
      <c r="I76" s="378"/>
      <c r="J76" s="378"/>
      <c r="K76" s="378"/>
      <c r="L76" s="378"/>
      <c r="M76" s="378"/>
      <c r="N76" s="378"/>
      <c r="O76" s="378"/>
      <c r="P76" s="378"/>
      <c r="Q76" s="378"/>
      <c r="R76" s="378"/>
      <c r="S76" s="378"/>
      <c r="T76" s="378"/>
      <c r="U76" s="378"/>
      <c r="V76" s="378"/>
      <c r="W76" s="379"/>
      <c r="X76" s="376" t="s">
        <v>160</v>
      </c>
      <c r="Y76" s="376"/>
      <c r="Z76" s="376"/>
      <c r="AA76" s="376"/>
      <c r="AB76" s="376"/>
      <c r="AC76" s="376"/>
      <c r="AD76" s="377"/>
      <c r="AE76" s="378"/>
      <c r="AF76" s="378"/>
      <c r="AG76" s="378"/>
      <c r="AH76" s="378"/>
      <c r="AI76" s="378"/>
      <c r="AJ76" s="378"/>
      <c r="AK76" s="378"/>
      <c r="AL76" s="378"/>
      <c r="AM76" s="378"/>
      <c r="AN76" s="378"/>
      <c r="AO76" s="378"/>
      <c r="AP76" s="378"/>
      <c r="AQ76" s="378"/>
      <c r="AR76" s="378"/>
      <c r="AS76" s="378"/>
      <c r="AT76" s="378"/>
      <c r="AU76" s="378"/>
      <c r="AV76" s="378"/>
      <c r="AW76" s="378"/>
      <c r="AX76" s="378"/>
      <c r="AY76" s="379"/>
    </row>
    <row r="77" spans="1:52" x14ac:dyDescent="0.45">
      <c r="B77" s="380" t="s">
        <v>162</v>
      </c>
      <c r="C77" s="380"/>
      <c r="D77" s="380"/>
      <c r="E77" s="380"/>
      <c r="F77" s="380"/>
      <c r="G77" s="380"/>
      <c r="H77" s="377"/>
      <c r="I77" s="378"/>
      <c r="J77" s="378"/>
      <c r="K77" s="378"/>
      <c r="L77" s="378"/>
      <c r="M77" s="378"/>
      <c r="N77" s="378"/>
      <c r="O77" s="378"/>
      <c r="P77" s="378"/>
      <c r="Q77" s="378"/>
      <c r="R77" s="378"/>
      <c r="S77" s="378"/>
      <c r="T77" s="378"/>
      <c r="U77" s="378"/>
      <c r="V77" s="378"/>
      <c r="W77" s="378"/>
      <c r="X77" s="378"/>
      <c r="Y77" s="378"/>
      <c r="Z77" s="378"/>
      <c r="AA77" s="378"/>
      <c r="AB77" s="378"/>
      <c r="AC77" s="378"/>
      <c r="AD77" s="378"/>
      <c r="AE77" s="378"/>
      <c r="AF77" s="378"/>
      <c r="AG77" s="378"/>
      <c r="AH77" s="378"/>
      <c r="AI77" s="378"/>
      <c r="AJ77" s="378"/>
      <c r="AK77" s="378"/>
      <c r="AL77" s="378"/>
      <c r="AM77" s="378"/>
      <c r="AN77" s="378"/>
      <c r="AO77" s="378"/>
      <c r="AP77" s="378"/>
      <c r="AQ77" s="378"/>
      <c r="AR77" s="378"/>
      <c r="AS77" s="378"/>
      <c r="AT77" s="378"/>
      <c r="AU77" s="378"/>
      <c r="AV77" s="378"/>
      <c r="AW77" s="378"/>
      <c r="AX77" s="378"/>
      <c r="AY77" s="379"/>
    </row>
    <row r="78" spans="1:52" ht="13.8" thickBot="1" x14ac:dyDescent="0.5">
      <c r="B78" s="384" t="s">
        <v>164</v>
      </c>
      <c r="C78" s="385"/>
      <c r="D78" s="385"/>
      <c r="E78" s="385"/>
      <c r="F78" s="385"/>
      <c r="G78" s="385"/>
      <c r="H78" s="385"/>
      <c r="I78" s="385"/>
      <c r="J78" s="385"/>
      <c r="K78" s="385"/>
      <c r="L78" s="385"/>
      <c r="M78" s="386"/>
      <c r="N78" s="387">
        <f>解約金計算ツール!K4</f>
        <v>0</v>
      </c>
      <c r="O78" s="388"/>
      <c r="P78" s="388"/>
      <c r="Q78" s="388"/>
      <c r="R78" s="389" t="s">
        <v>165</v>
      </c>
      <c r="S78" s="390"/>
      <c r="T78" s="390"/>
      <c r="U78" s="390"/>
      <c r="V78" s="390"/>
      <c r="W78" s="390"/>
      <c r="X78" s="390"/>
      <c r="Y78" s="390"/>
      <c r="Z78" s="390"/>
      <c r="AA78" s="390"/>
      <c r="AB78" s="390"/>
      <c r="AC78" s="390"/>
      <c r="AD78" s="390"/>
      <c r="AE78" s="390"/>
      <c r="AF78" s="390"/>
      <c r="AG78" s="390"/>
      <c r="AH78" s="390"/>
      <c r="AI78" s="390"/>
      <c r="AJ78" s="390"/>
      <c r="AK78" s="390"/>
      <c r="AL78" s="390"/>
      <c r="AM78" s="390"/>
      <c r="AN78" s="390"/>
      <c r="AO78" s="390"/>
      <c r="AP78" s="390"/>
      <c r="AQ78" s="390"/>
      <c r="AR78" s="390"/>
      <c r="AS78" s="390"/>
      <c r="AT78" s="390"/>
      <c r="AU78" s="390"/>
      <c r="AV78" s="390"/>
      <c r="AW78" s="390"/>
      <c r="AX78" s="390"/>
      <c r="AY78" s="391"/>
    </row>
    <row r="79" spans="1:52" s="78" customFormat="1" ht="14.4" x14ac:dyDescent="0.2">
      <c r="A79" s="451"/>
      <c r="B79" s="452" t="s">
        <v>173</v>
      </c>
      <c r="C79" s="453"/>
      <c r="D79" s="453"/>
      <c r="E79" s="453"/>
      <c r="F79" s="453"/>
      <c r="G79" s="453"/>
      <c r="H79" s="453"/>
      <c r="I79" s="453"/>
      <c r="J79" s="453"/>
      <c r="K79" s="453"/>
      <c r="L79" s="453"/>
      <c r="M79" s="453"/>
      <c r="N79" s="453"/>
      <c r="O79" s="453"/>
      <c r="P79" s="453"/>
      <c r="Q79" s="453"/>
      <c r="R79" s="453"/>
      <c r="S79" s="453"/>
      <c r="T79" s="453"/>
      <c r="U79" s="453"/>
      <c r="V79" s="453"/>
      <c r="W79" s="453"/>
      <c r="X79" s="453"/>
      <c r="Y79" s="453"/>
      <c r="Z79" s="453"/>
      <c r="AA79" s="453"/>
      <c r="AB79" s="453"/>
      <c r="AC79" s="453"/>
      <c r="AD79" s="453"/>
      <c r="AE79" s="453"/>
      <c r="AF79" s="453"/>
      <c r="AG79" s="453"/>
      <c r="AH79" s="453"/>
      <c r="AI79" s="453"/>
      <c r="AJ79" s="453"/>
      <c r="AK79" s="453"/>
      <c r="AL79" s="453"/>
      <c r="AM79" s="453"/>
      <c r="AN79" s="453"/>
      <c r="AO79" s="453"/>
      <c r="AP79" s="453"/>
      <c r="AQ79" s="453"/>
      <c r="AR79" s="453"/>
      <c r="AS79" s="453"/>
      <c r="AT79" s="453"/>
      <c r="AU79" s="453"/>
      <c r="AV79" s="453"/>
      <c r="AW79" s="453"/>
      <c r="AX79" s="453"/>
      <c r="AY79" s="453"/>
      <c r="AZ79" s="454"/>
    </row>
    <row r="80" spans="1:52" customFormat="1" ht="32.25" customHeight="1" x14ac:dyDescent="0.45">
      <c r="B80" s="455" t="s">
        <v>174</v>
      </c>
      <c r="C80" s="456"/>
      <c r="D80" s="456"/>
      <c r="E80" s="456"/>
      <c r="F80" s="456"/>
      <c r="G80" s="456"/>
      <c r="H80" s="456"/>
      <c r="I80" s="456"/>
      <c r="J80" s="456"/>
      <c r="K80" s="456"/>
      <c r="L80" s="456"/>
      <c r="M80" s="456"/>
      <c r="N80" s="456"/>
      <c r="O80" s="456"/>
      <c r="P80" s="456"/>
      <c r="Q80" s="456"/>
      <c r="R80" s="456"/>
      <c r="S80" s="456"/>
      <c r="T80" s="456"/>
      <c r="U80" s="456"/>
      <c r="V80" s="456"/>
      <c r="W80" s="456"/>
      <c r="X80" s="456"/>
      <c r="Y80" s="456"/>
      <c r="Z80" s="456"/>
      <c r="AA80" s="456"/>
      <c r="AB80" s="456"/>
      <c r="AC80" s="456"/>
      <c r="AD80" s="456"/>
      <c r="AE80" s="456"/>
      <c r="AF80" s="456"/>
      <c r="AG80" s="456"/>
      <c r="AH80" s="456"/>
      <c r="AI80" s="456"/>
      <c r="AJ80" s="456"/>
      <c r="AK80" s="456"/>
      <c r="AL80" s="456"/>
      <c r="AM80" s="456"/>
      <c r="AN80" s="456"/>
      <c r="AO80" s="456"/>
      <c r="AP80" s="456"/>
      <c r="AQ80" s="456"/>
      <c r="AR80" s="456"/>
      <c r="AS80" s="456"/>
      <c r="AT80" s="456"/>
      <c r="AU80" s="456"/>
      <c r="AV80" s="456"/>
      <c r="AW80" s="456"/>
      <c r="AX80" s="456"/>
      <c r="AY80" s="456"/>
      <c r="AZ80" s="457"/>
    </row>
    <row r="81" spans="2:52" customFormat="1" ht="18" x14ac:dyDescent="0.45">
      <c r="B81" s="458" t="s">
        <v>175</v>
      </c>
      <c r="C81" s="459"/>
      <c r="D81" s="459"/>
      <c r="E81" s="459"/>
      <c r="F81" s="459"/>
      <c r="G81" s="459"/>
      <c r="H81" s="459"/>
      <c r="I81" s="459"/>
      <c r="J81" s="459"/>
      <c r="K81" s="459"/>
      <c r="L81" s="459"/>
      <c r="M81" s="459"/>
      <c r="N81" s="459"/>
      <c r="O81" s="459"/>
      <c r="P81" s="459"/>
      <c r="Q81" s="459"/>
      <c r="R81" s="459"/>
      <c r="S81" s="459"/>
      <c r="T81" s="459"/>
      <c r="U81" s="459"/>
      <c r="V81" s="459"/>
      <c r="W81" s="459"/>
      <c r="X81" s="459"/>
      <c r="Y81" s="459"/>
      <c r="Z81" s="459"/>
      <c r="AA81" s="459"/>
      <c r="AB81" s="459"/>
      <c r="AC81" s="459"/>
      <c r="AD81" s="459"/>
      <c r="AE81" s="459"/>
      <c r="AF81" s="459"/>
      <c r="AG81" s="459"/>
      <c r="AH81" s="459"/>
      <c r="AI81" s="459"/>
      <c r="AJ81" s="459"/>
      <c r="AK81" s="459"/>
      <c r="AL81" s="459"/>
      <c r="AM81" s="459"/>
      <c r="AN81" s="459"/>
      <c r="AO81" s="459"/>
      <c r="AP81" s="459"/>
      <c r="AQ81" s="459"/>
      <c r="AR81" s="459"/>
      <c r="AS81" s="459"/>
      <c r="AT81" s="459"/>
      <c r="AU81" s="459"/>
      <c r="AV81" s="459"/>
      <c r="AW81" s="459"/>
      <c r="AX81" s="459"/>
      <c r="AY81" s="459"/>
      <c r="AZ81" s="460"/>
    </row>
    <row r="82" spans="2:52" customFormat="1" ht="49.5" customHeight="1" x14ac:dyDescent="0.45">
      <c r="B82" s="455" t="s">
        <v>176</v>
      </c>
      <c r="C82" s="456"/>
      <c r="D82" s="456"/>
      <c r="E82" s="456"/>
      <c r="F82" s="456"/>
      <c r="G82" s="456"/>
      <c r="H82" s="456"/>
      <c r="I82" s="456"/>
      <c r="J82" s="456"/>
      <c r="K82" s="456"/>
      <c r="L82" s="456"/>
      <c r="M82" s="456"/>
      <c r="N82" s="456"/>
      <c r="O82" s="456"/>
      <c r="P82" s="456"/>
      <c r="Q82" s="456"/>
      <c r="R82" s="456"/>
      <c r="S82" s="456"/>
      <c r="T82" s="456"/>
      <c r="U82" s="456"/>
      <c r="V82" s="456"/>
      <c r="W82" s="456"/>
      <c r="X82" s="456"/>
      <c r="Y82" s="456"/>
      <c r="Z82" s="456"/>
      <c r="AA82" s="456"/>
      <c r="AB82" s="456"/>
      <c r="AC82" s="456"/>
      <c r="AD82" s="456"/>
      <c r="AE82" s="456"/>
      <c r="AF82" s="456"/>
      <c r="AG82" s="456"/>
      <c r="AH82" s="456"/>
      <c r="AI82" s="456"/>
      <c r="AJ82" s="456"/>
      <c r="AK82" s="456"/>
      <c r="AL82" s="456"/>
      <c r="AM82" s="456"/>
      <c r="AN82" s="456"/>
      <c r="AO82" s="456"/>
      <c r="AP82" s="456"/>
      <c r="AQ82" s="456"/>
      <c r="AR82" s="456"/>
      <c r="AS82" s="456"/>
      <c r="AT82" s="456"/>
      <c r="AU82" s="456"/>
      <c r="AV82" s="456"/>
      <c r="AW82" s="456"/>
      <c r="AX82" s="456"/>
      <c r="AY82" s="456"/>
      <c r="AZ82" s="457"/>
    </row>
    <row r="83" spans="2:52" customFormat="1" ht="18" x14ac:dyDescent="0.45">
      <c r="B83" s="458" t="s">
        <v>177</v>
      </c>
      <c r="C83" s="459"/>
      <c r="D83" s="459"/>
      <c r="E83" s="459"/>
      <c r="F83" s="459"/>
      <c r="G83" s="459"/>
      <c r="H83" s="459"/>
      <c r="I83" s="459"/>
      <c r="J83" s="459"/>
      <c r="K83" s="459"/>
      <c r="L83" s="459"/>
      <c r="M83" s="459"/>
      <c r="N83" s="459"/>
      <c r="O83" s="459"/>
      <c r="P83" s="459"/>
      <c r="Q83" s="459"/>
      <c r="R83" s="459"/>
      <c r="S83" s="459"/>
      <c r="T83" s="459"/>
      <c r="U83" s="459"/>
      <c r="V83" s="459"/>
      <c r="W83" s="459"/>
      <c r="X83" s="459"/>
      <c r="Y83" s="459"/>
      <c r="Z83" s="459"/>
      <c r="AA83" s="459"/>
      <c r="AB83" s="459"/>
      <c r="AC83" s="459"/>
      <c r="AD83" s="459"/>
      <c r="AE83" s="459"/>
      <c r="AF83" s="459"/>
      <c r="AG83" s="459"/>
      <c r="AH83" s="459"/>
      <c r="AI83" s="459"/>
      <c r="AJ83" s="459"/>
      <c r="AK83" s="459"/>
      <c r="AL83" s="459"/>
      <c r="AM83" s="459"/>
      <c r="AN83" s="459"/>
      <c r="AO83" s="459"/>
      <c r="AP83" s="459"/>
      <c r="AQ83" s="459"/>
      <c r="AR83" s="459"/>
      <c r="AS83" s="459"/>
      <c r="AT83" s="459"/>
      <c r="AU83" s="459"/>
      <c r="AV83" s="459"/>
      <c r="AW83" s="459"/>
      <c r="AX83" s="459"/>
      <c r="AY83" s="459"/>
      <c r="AZ83" s="460"/>
    </row>
    <row r="84" spans="2:52" customFormat="1" ht="247.5" customHeight="1" x14ac:dyDescent="0.45">
      <c r="B84" s="455" t="s">
        <v>178</v>
      </c>
      <c r="C84" s="456"/>
      <c r="D84" s="456"/>
      <c r="E84" s="456"/>
      <c r="F84" s="456"/>
      <c r="G84" s="456"/>
      <c r="H84" s="456"/>
      <c r="I84" s="456"/>
      <c r="J84" s="456"/>
      <c r="K84" s="456"/>
      <c r="L84" s="456"/>
      <c r="M84" s="456"/>
      <c r="N84" s="456"/>
      <c r="O84" s="456"/>
      <c r="P84" s="456"/>
      <c r="Q84" s="456"/>
      <c r="R84" s="456"/>
      <c r="S84" s="456"/>
      <c r="T84" s="456"/>
      <c r="U84" s="456"/>
      <c r="V84" s="456"/>
      <c r="W84" s="456"/>
      <c r="X84" s="456"/>
      <c r="Y84" s="456"/>
      <c r="Z84" s="456"/>
      <c r="AA84" s="456"/>
      <c r="AB84" s="456"/>
      <c r="AC84" s="456"/>
      <c r="AD84" s="456"/>
      <c r="AE84" s="456"/>
      <c r="AF84" s="456"/>
      <c r="AG84" s="456"/>
      <c r="AH84" s="456"/>
      <c r="AI84" s="456"/>
      <c r="AJ84" s="456"/>
      <c r="AK84" s="456"/>
      <c r="AL84" s="456"/>
      <c r="AM84" s="456"/>
      <c r="AN84" s="456"/>
      <c r="AO84" s="456"/>
      <c r="AP84" s="456"/>
      <c r="AQ84" s="456"/>
      <c r="AR84" s="456"/>
      <c r="AS84" s="456"/>
      <c r="AT84" s="456"/>
      <c r="AU84" s="456"/>
      <c r="AV84" s="456"/>
      <c r="AW84" s="456"/>
      <c r="AX84" s="456"/>
      <c r="AY84" s="456"/>
      <c r="AZ84" s="457"/>
    </row>
    <row r="85" spans="2:52" customFormat="1" ht="18" x14ac:dyDescent="0.45">
      <c r="B85" s="458" t="s">
        <v>179</v>
      </c>
      <c r="C85" s="459"/>
      <c r="D85" s="459"/>
      <c r="E85" s="459"/>
      <c r="F85" s="459"/>
      <c r="G85" s="459"/>
      <c r="H85" s="459"/>
      <c r="I85" s="459"/>
      <c r="J85" s="459"/>
      <c r="K85" s="459"/>
      <c r="L85" s="459"/>
      <c r="M85" s="459"/>
      <c r="N85" s="459"/>
      <c r="O85" s="459"/>
      <c r="P85" s="459"/>
      <c r="Q85" s="459"/>
      <c r="R85" s="459"/>
      <c r="S85" s="459"/>
      <c r="T85" s="459"/>
      <c r="U85" s="459"/>
      <c r="V85" s="459"/>
      <c r="W85" s="459"/>
      <c r="X85" s="459"/>
      <c r="Y85" s="459"/>
      <c r="Z85" s="459"/>
      <c r="AA85" s="459"/>
      <c r="AB85" s="459"/>
      <c r="AC85" s="459"/>
      <c r="AD85" s="459"/>
      <c r="AE85" s="459"/>
      <c r="AF85" s="459"/>
      <c r="AG85" s="459"/>
      <c r="AH85" s="459"/>
      <c r="AI85" s="459"/>
      <c r="AJ85" s="459"/>
      <c r="AK85" s="459"/>
      <c r="AL85" s="459"/>
      <c r="AM85" s="459"/>
      <c r="AN85" s="459"/>
      <c r="AO85" s="459"/>
      <c r="AP85" s="459"/>
      <c r="AQ85" s="459"/>
      <c r="AR85" s="459"/>
      <c r="AS85" s="459"/>
      <c r="AT85" s="459"/>
      <c r="AU85" s="459"/>
      <c r="AV85" s="459"/>
      <c r="AW85" s="459"/>
      <c r="AX85" s="459"/>
      <c r="AY85" s="459"/>
      <c r="AZ85" s="460"/>
    </row>
    <row r="86" spans="2:52" customFormat="1" ht="88.5" customHeight="1" x14ac:dyDescent="0.45">
      <c r="B86" s="455" t="s">
        <v>180</v>
      </c>
      <c r="C86" s="456"/>
      <c r="D86" s="456"/>
      <c r="E86" s="456"/>
      <c r="F86" s="456"/>
      <c r="G86" s="456"/>
      <c r="H86" s="456"/>
      <c r="I86" s="456"/>
      <c r="J86" s="456"/>
      <c r="K86" s="456"/>
      <c r="L86" s="456"/>
      <c r="M86" s="456"/>
      <c r="N86" s="456"/>
      <c r="O86" s="456"/>
      <c r="P86" s="456"/>
      <c r="Q86" s="456"/>
      <c r="R86" s="456"/>
      <c r="S86" s="456"/>
      <c r="T86" s="456"/>
      <c r="U86" s="456"/>
      <c r="V86" s="456"/>
      <c r="W86" s="456"/>
      <c r="X86" s="456"/>
      <c r="Y86" s="456"/>
      <c r="Z86" s="456"/>
      <c r="AA86" s="456"/>
      <c r="AB86" s="456"/>
      <c r="AC86" s="456"/>
      <c r="AD86" s="456"/>
      <c r="AE86" s="456"/>
      <c r="AF86" s="456"/>
      <c r="AG86" s="456"/>
      <c r="AH86" s="456"/>
      <c r="AI86" s="456"/>
      <c r="AJ86" s="456"/>
      <c r="AK86" s="456"/>
      <c r="AL86" s="456"/>
      <c r="AM86" s="456"/>
      <c r="AN86" s="456"/>
      <c r="AO86" s="456"/>
      <c r="AP86" s="456"/>
      <c r="AQ86" s="456"/>
      <c r="AR86" s="456"/>
      <c r="AS86" s="456"/>
      <c r="AT86" s="456"/>
      <c r="AU86" s="456"/>
      <c r="AV86" s="456"/>
      <c r="AW86" s="456"/>
      <c r="AX86" s="456"/>
      <c r="AY86" s="456"/>
      <c r="AZ86" s="457"/>
    </row>
    <row r="87" spans="2:52" customFormat="1" ht="12" customHeight="1" x14ac:dyDescent="0.45">
      <c r="B87" s="458" t="s">
        <v>181</v>
      </c>
      <c r="C87" s="459"/>
      <c r="D87" s="459"/>
      <c r="E87" s="459"/>
      <c r="F87" s="459"/>
      <c r="G87" s="459"/>
      <c r="H87" s="459"/>
      <c r="I87" s="459"/>
      <c r="J87" s="459"/>
      <c r="K87" s="459"/>
      <c r="L87" s="459"/>
      <c r="M87" s="459"/>
      <c r="N87" s="459"/>
      <c r="O87" s="459"/>
      <c r="P87" s="459"/>
      <c r="Q87" s="459"/>
      <c r="R87" s="459"/>
      <c r="S87" s="459"/>
      <c r="T87" s="459"/>
      <c r="U87" s="459"/>
      <c r="V87" s="459"/>
      <c r="W87" s="459"/>
      <c r="X87" s="459"/>
      <c r="Y87" s="459"/>
      <c r="Z87" s="459"/>
      <c r="AA87" s="459"/>
      <c r="AB87" s="459"/>
      <c r="AC87" s="459"/>
      <c r="AD87" s="459"/>
      <c r="AE87" s="459"/>
      <c r="AF87" s="459"/>
      <c r="AG87" s="459"/>
      <c r="AH87" s="459"/>
      <c r="AI87" s="459"/>
      <c r="AJ87" s="459"/>
      <c r="AK87" s="459"/>
      <c r="AL87" s="459"/>
      <c r="AM87" s="459"/>
      <c r="AN87" s="459"/>
      <c r="AO87" s="459"/>
      <c r="AP87" s="459"/>
      <c r="AQ87" s="459"/>
      <c r="AR87" s="459"/>
      <c r="AS87" s="459"/>
      <c r="AT87" s="459"/>
      <c r="AU87" s="459"/>
      <c r="AV87" s="459"/>
      <c r="AW87" s="459"/>
      <c r="AX87" s="459"/>
      <c r="AY87" s="459"/>
      <c r="AZ87" s="460"/>
    </row>
    <row r="88" spans="2:52" customFormat="1" ht="339.75" customHeight="1" x14ac:dyDescent="0.45">
      <c r="B88" s="455" t="s">
        <v>182</v>
      </c>
      <c r="C88" s="456"/>
      <c r="D88" s="456"/>
      <c r="E88" s="456"/>
      <c r="F88" s="456"/>
      <c r="G88" s="456"/>
      <c r="H88" s="456"/>
      <c r="I88" s="456"/>
      <c r="J88" s="456"/>
      <c r="K88" s="456"/>
      <c r="L88" s="456"/>
      <c r="M88" s="456"/>
      <c r="N88" s="456"/>
      <c r="O88" s="456"/>
      <c r="P88" s="456"/>
      <c r="Q88" s="456"/>
      <c r="R88" s="456"/>
      <c r="S88" s="456"/>
      <c r="T88" s="456"/>
      <c r="U88" s="456"/>
      <c r="V88" s="456"/>
      <c r="W88" s="456"/>
      <c r="X88" s="456"/>
      <c r="Y88" s="456"/>
      <c r="Z88" s="456"/>
      <c r="AA88" s="456"/>
      <c r="AB88" s="456"/>
      <c r="AC88" s="456"/>
      <c r="AD88" s="456"/>
      <c r="AE88" s="456"/>
      <c r="AF88" s="456"/>
      <c r="AG88" s="456"/>
      <c r="AH88" s="456"/>
      <c r="AI88" s="456"/>
      <c r="AJ88" s="456"/>
      <c r="AK88" s="456"/>
      <c r="AL88" s="456"/>
      <c r="AM88" s="456"/>
      <c r="AN88" s="456"/>
      <c r="AO88" s="456"/>
      <c r="AP88" s="456"/>
      <c r="AQ88" s="456"/>
      <c r="AR88" s="456"/>
      <c r="AS88" s="456"/>
      <c r="AT88" s="456"/>
      <c r="AU88" s="456"/>
      <c r="AV88" s="456"/>
      <c r="AW88" s="456"/>
      <c r="AX88" s="456"/>
      <c r="AY88" s="456"/>
      <c r="AZ88" s="457"/>
    </row>
    <row r="89" spans="2:52" customFormat="1" ht="15" customHeight="1" x14ac:dyDescent="0.45">
      <c r="B89" s="458" t="s">
        <v>183</v>
      </c>
      <c r="C89" s="459"/>
      <c r="D89" s="459"/>
      <c r="E89" s="459"/>
      <c r="F89" s="459"/>
      <c r="G89" s="459"/>
      <c r="H89" s="459"/>
      <c r="I89" s="459"/>
      <c r="J89" s="459"/>
      <c r="K89" s="459"/>
      <c r="L89" s="459"/>
      <c r="M89" s="459"/>
      <c r="N89" s="459"/>
      <c r="O89" s="459"/>
      <c r="P89" s="459"/>
      <c r="Q89" s="459"/>
      <c r="R89" s="459"/>
      <c r="S89" s="459"/>
      <c r="T89" s="459"/>
      <c r="U89" s="459"/>
      <c r="V89" s="459"/>
      <c r="W89" s="459"/>
      <c r="X89" s="459"/>
      <c r="Y89" s="459"/>
      <c r="Z89" s="459"/>
      <c r="AA89" s="459"/>
      <c r="AB89" s="459"/>
      <c r="AC89" s="459"/>
      <c r="AD89" s="459"/>
      <c r="AE89" s="459"/>
      <c r="AF89" s="459"/>
      <c r="AG89" s="459"/>
      <c r="AH89" s="459"/>
      <c r="AI89" s="459"/>
      <c r="AJ89" s="459"/>
      <c r="AK89" s="459"/>
      <c r="AL89" s="459"/>
      <c r="AM89" s="459"/>
      <c r="AN89" s="459"/>
      <c r="AO89" s="459"/>
      <c r="AP89" s="459"/>
      <c r="AQ89" s="459"/>
      <c r="AR89" s="459"/>
      <c r="AS89" s="459"/>
      <c r="AT89" s="459"/>
      <c r="AU89" s="459"/>
      <c r="AV89" s="459"/>
      <c r="AW89" s="459"/>
      <c r="AX89" s="459"/>
      <c r="AY89" s="459"/>
      <c r="AZ89" s="460"/>
    </row>
    <row r="90" spans="2:52" customFormat="1" ht="80.25" customHeight="1" x14ac:dyDescent="0.45">
      <c r="B90" s="455" t="s">
        <v>184</v>
      </c>
      <c r="C90" s="456"/>
      <c r="D90" s="456"/>
      <c r="E90" s="456"/>
      <c r="F90" s="456"/>
      <c r="G90" s="456"/>
      <c r="H90" s="456"/>
      <c r="I90" s="456"/>
      <c r="J90" s="456"/>
      <c r="K90" s="456"/>
      <c r="L90" s="456"/>
      <c r="M90" s="456"/>
      <c r="N90" s="456"/>
      <c r="O90" s="456"/>
      <c r="P90" s="456"/>
      <c r="Q90" s="456"/>
      <c r="R90" s="456"/>
      <c r="S90" s="456"/>
      <c r="T90" s="456"/>
      <c r="U90" s="456"/>
      <c r="V90" s="456"/>
      <c r="W90" s="456"/>
      <c r="X90" s="456"/>
      <c r="Y90" s="456"/>
      <c r="Z90" s="456"/>
      <c r="AA90" s="456"/>
      <c r="AB90" s="456"/>
      <c r="AC90" s="456"/>
      <c r="AD90" s="456"/>
      <c r="AE90" s="456"/>
      <c r="AF90" s="456"/>
      <c r="AG90" s="456"/>
      <c r="AH90" s="456"/>
      <c r="AI90" s="456"/>
      <c r="AJ90" s="456"/>
      <c r="AK90" s="456"/>
      <c r="AL90" s="456"/>
      <c r="AM90" s="456"/>
      <c r="AN90" s="456"/>
      <c r="AO90" s="456"/>
      <c r="AP90" s="456"/>
      <c r="AQ90" s="456"/>
      <c r="AR90" s="456"/>
      <c r="AS90" s="456"/>
      <c r="AT90" s="456"/>
      <c r="AU90" s="456"/>
      <c r="AV90" s="456"/>
      <c r="AW90" s="456"/>
      <c r="AX90" s="456"/>
      <c r="AY90" s="456"/>
      <c r="AZ90" s="457"/>
    </row>
    <row r="91" spans="2:52" customFormat="1" ht="13.5" customHeight="1" x14ac:dyDescent="0.45">
      <c r="B91" s="455" t="s">
        <v>185</v>
      </c>
      <c r="C91" s="456"/>
      <c r="D91" s="456"/>
      <c r="E91" s="456"/>
      <c r="F91" s="456"/>
      <c r="G91" s="456"/>
      <c r="H91" s="456"/>
      <c r="I91" s="456"/>
      <c r="J91" s="456"/>
      <c r="K91" s="456"/>
      <c r="L91" s="456"/>
      <c r="M91" s="456"/>
      <c r="N91" s="456"/>
      <c r="O91" s="456"/>
      <c r="P91" s="456"/>
      <c r="Q91" s="456"/>
      <c r="R91" s="456"/>
      <c r="S91" s="456"/>
      <c r="T91" s="456"/>
      <c r="U91" s="456"/>
      <c r="V91" s="456"/>
      <c r="W91" s="456"/>
      <c r="X91" s="456"/>
      <c r="Y91" s="456"/>
      <c r="Z91" s="456"/>
      <c r="AA91" s="456"/>
      <c r="AB91" s="456"/>
      <c r="AC91" s="456"/>
      <c r="AD91" s="456"/>
      <c r="AE91" s="456"/>
      <c r="AF91" s="456"/>
      <c r="AG91" s="456"/>
      <c r="AH91" s="456"/>
      <c r="AI91" s="456"/>
      <c r="AJ91" s="456"/>
      <c r="AK91" s="456"/>
      <c r="AL91" s="456"/>
      <c r="AM91" s="456"/>
      <c r="AN91" s="456"/>
      <c r="AO91" s="456"/>
      <c r="AP91" s="456"/>
      <c r="AQ91" s="456"/>
      <c r="AR91" s="456"/>
      <c r="AS91" s="456"/>
      <c r="AT91" s="456"/>
      <c r="AU91" s="456"/>
      <c r="AV91" s="456"/>
      <c r="AW91" s="456"/>
      <c r="AX91" s="456"/>
      <c r="AY91" s="456"/>
      <c r="AZ91" s="457"/>
    </row>
    <row r="92" spans="2:52" customFormat="1" ht="51" customHeight="1" x14ac:dyDescent="0.45">
      <c r="B92" s="455" t="s">
        <v>186</v>
      </c>
      <c r="C92" s="456"/>
      <c r="D92" s="456"/>
      <c r="E92" s="456"/>
      <c r="F92" s="456"/>
      <c r="G92" s="456"/>
      <c r="H92" s="456"/>
      <c r="I92" s="456"/>
      <c r="J92" s="456"/>
      <c r="K92" s="456"/>
      <c r="L92" s="456"/>
      <c r="M92" s="456"/>
      <c r="N92" s="456"/>
      <c r="O92" s="456"/>
      <c r="P92" s="456"/>
      <c r="Q92" s="456"/>
      <c r="R92" s="456"/>
      <c r="S92" s="456"/>
      <c r="T92" s="456"/>
      <c r="U92" s="456"/>
      <c r="V92" s="456"/>
      <c r="W92" s="456"/>
      <c r="X92" s="456"/>
      <c r="Y92" s="456"/>
      <c r="Z92" s="456"/>
      <c r="AA92" s="456"/>
      <c r="AB92" s="456"/>
      <c r="AC92" s="456"/>
      <c r="AD92" s="456"/>
      <c r="AE92" s="456"/>
      <c r="AF92" s="456"/>
      <c r="AG92" s="456"/>
      <c r="AH92" s="456"/>
      <c r="AI92" s="456"/>
      <c r="AJ92" s="456"/>
      <c r="AK92" s="456"/>
      <c r="AL92" s="456"/>
      <c r="AM92" s="456"/>
      <c r="AN92" s="456"/>
      <c r="AO92" s="456"/>
      <c r="AP92" s="456"/>
      <c r="AQ92" s="456"/>
      <c r="AR92" s="456"/>
      <c r="AS92" s="456"/>
      <c r="AT92" s="456"/>
      <c r="AU92" s="456"/>
      <c r="AV92" s="456"/>
      <c r="AW92" s="456"/>
      <c r="AX92" s="456"/>
      <c r="AY92" s="456"/>
      <c r="AZ92" s="457"/>
    </row>
    <row r="93" spans="2:52" customFormat="1" ht="13.5" customHeight="1" x14ac:dyDescent="0.45">
      <c r="B93" s="455" t="s">
        <v>187</v>
      </c>
      <c r="C93" s="456"/>
      <c r="D93" s="456"/>
      <c r="E93" s="456"/>
      <c r="F93" s="456"/>
      <c r="G93" s="456"/>
      <c r="H93" s="456"/>
      <c r="I93" s="456"/>
      <c r="J93" s="456"/>
      <c r="K93" s="456"/>
      <c r="L93" s="456"/>
      <c r="M93" s="456"/>
      <c r="N93" s="456"/>
      <c r="O93" s="456"/>
      <c r="P93" s="456"/>
      <c r="Q93" s="456"/>
      <c r="R93" s="456"/>
      <c r="S93" s="456"/>
      <c r="T93" s="456"/>
      <c r="U93" s="456"/>
      <c r="V93" s="456"/>
      <c r="W93" s="456"/>
      <c r="X93" s="456"/>
      <c r="Y93" s="456"/>
      <c r="Z93" s="456"/>
      <c r="AA93" s="456"/>
      <c r="AB93" s="456"/>
      <c r="AC93" s="456"/>
      <c r="AD93" s="456"/>
      <c r="AE93" s="456"/>
      <c r="AF93" s="456"/>
      <c r="AG93" s="456"/>
      <c r="AH93" s="456"/>
      <c r="AI93" s="456"/>
      <c r="AJ93" s="456"/>
      <c r="AK93" s="456"/>
      <c r="AL93" s="456"/>
      <c r="AM93" s="456"/>
      <c r="AN93" s="456"/>
      <c r="AO93" s="456"/>
      <c r="AP93" s="456"/>
      <c r="AQ93" s="456"/>
      <c r="AR93" s="456"/>
      <c r="AS93" s="456"/>
      <c r="AT93" s="456"/>
      <c r="AU93" s="456"/>
      <c r="AV93" s="456"/>
      <c r="AW93" s="456"/>
      <c r="AX93" s="456"/>
      <c r="AY93" s="456"/>
      <c r="AZ93" s="457"/>
    </row>
    <row r="94" spans="2:52" customFormat="1" ht="51" customHeight="1" x14ac:dyDescent="0.45">
      <c r="B94" s="455" t="s">
        <v>188</v>
      </c>
      <c r="C94" s="456"/>
      <c r="D94" s="456"/>
      <c r="E94" s="456"/>
      <c r="F94" s="456"/>
      <c r="G94" s="456"/>
      <c r="H94" s="456"/>
      <c r="I94" s="456"/>
      <c r="J94" s="456"/>
      <c r="K94" s="456"/>
      <c r="L94" s="456"/>
      <c r="M94" s="456"/>
      <c r="N94" s="456"/>
      <c r="O94" s="456"/>
      <c r="P94" s="456"/>
      <c r="Q94" s="456"/>
      <c r="R94" s="456"/>
      <c r="S94" s="456"/>
      <c r="T94" s="456"/>
      <c r="U94" s="456"/>
      <c r="V94" s="456"/>
      <c r="W94" s="456"/>
      <c r="X94" s="456"/>
      <c r="Y94" s="456"/>
      <c r="Z94" s="456"/>
      <c r="AA94" s="456"/>
      <c r="AB94" s="456"/>
      <c r="AC94" s="456"/>
      <c r="AD94" s="456"/>
      <c r="AE94" s="456"/>
      <c r="AF94" s="456"/>
      <c r="AG94" s="456"/>
      <c r="AH94" s="456"/>
      <c r="AI94" s="456"/>
      <c r="AJ94" s="456"/>
      <c r="AK94" s="456"/>
      <c r="AL94" s="456"/>
      <c r="AM94" s="456"/>
      <c r="AN94" s="456"/>
      <c r="AO94" s="456"/>
      <c r="AP94" s="456"/>
      <c r="AQ94" s="456"/>
      <c r="AR94" s="456"/>
      <c r="AS94" s="456"/>
      <c r="AT94" s="456"/>
      <c r="AU94" s="456"/>
      <c r="AV94" s="456"/>
      <c r="AW94" s="456"/>
      <c r="AX94" s="456"/>
      <c r="AY94" s="456"/>
      <c r="AZ94" s="457"/>
    </row>
    <row r="95" spans="2:52" customFormat="1" ht="15.75" customHeight="1" x14ac:dyDescent="0.45">
      <c r="B95" s="455" t="s">
        <v>189</v>
      </c>
      <c r="C95" s="456"/>
      <c r="D95" s="456"/>
      <c r="E95" s="456"/>
      <c r="F95" s="456"/>
      <c r="G95" s="456"/>
      <c r="H95" s="456"/>
      <c r="I95" s="456"/>
      <c r="J95" s="456"/>
      <c r="K95" s="456"/>
      <c r="L95" s="456"/>
      <c r="M95" s="456"/>
      <c r="N95" s="456"/>
      <c r="O95" s="456"/>
      <c r="P95" s="456"/>
      <c r="Q95" s="456"/>
      <c r="R95" s="456"/>
      <c r="S95" s="456"/>
      <c r="T95" s="456"/>
      <c r="U95" s="456"/>
      <c r="V95" s="456"/>
      <c r="W95" s="456"/>
      <c r="X95" s="456"/>
      <c r="Y95" s="456"/>
      <c r="Z95" s="456"/>
      <c r="AA95" s="456"/>
      <c r="AB95" s="456"/>
      <c r="AC95" s="456"/>
      <c r="AD95" s="456"/>
      <c r="AE95" s="456"/>
      <c r="AF95" s="456"/>
      <c r="AG95" s="456"/>
      <c r="AH95" s="456"/>
      <c r="AI95" s="456"/>
      <c r="AJ95" s="456"/>
      <c r="AK95" s="456"/>
      <c r="AL95" s="456"/>
      <c r="AM95" s="456"/>
      <c r="AN95" s="456"/>
      <c r="AO95" s="456"/>
      <c r="AP95" s="456"/>
      <c r="AQ95" s="456"/>
      <c r="AR95" s="456"/>
      <c r="AS95" s="456"/>
      <c r="AT95" s="456"/>
      <c r="AU95" s="456"/>
      <c r="AV95" s="456"/>
      <c r="AW95" s="456"/>
      <c r="AX95" s="456"/>
      <c r="AY95" s="456"/>
      <c r="AZ95" s="457"/>
    </row>
    <row r="96" spans="2:52" customFormat="1" ht="153.75" customHeight="1" thickBot="1" x14ac:dyDescent="0.5">
      <c r="B96" s="461" t="s">
        <v>190</v>
      </c>
      <c r="C96" s="462"/>
      <c r="D96" s="462"/>
      <c r="E96" s="462"/>
      <c r="F96" s="462"/>
      <c r="G96" s="462"/>
      <c r="H96" s="462"/>
      <c r="I96" s="462"/>
      <c r="J96" s="462"/>
      <c r="K96" s="462"/>
      <c r="L96" s="462"/>
      <c r="M96" s="462"/>
      <c r="N96" s="462"/>
      <c r="O96" s="462"/>
      <c r="P96" s="462"/>
      <c r="Q96" s="462"/>
      <c r="R96" s="462"/>
      <c r="S96" s="462"/>
      <c r="T96" s="462"/>
      <c r="U96" s="462"/>
      <c r="V96" s="462"/>
      <c r="W96" s="462"/>
      <c r="X96" s="462"/>
      <c r="Y96" s="462"/>
      <c r="Z96" s="462"/>
      <c r="AA96" s="462"/>
      <c r="AB96" s="462"/>
      <c r="AC96" s="462"/>
      <c r="AD96" s="462"/>
      <c r="AE96" s="462"/>
      <c r="AF96" s="462"/>
      <c r="AG96" s="462"/>
      <c r="AH96" s="462"/>
      <c r="AI96" s="462"/>
      <c r="AJ96" s="462"/>
      <c r="AK96" s="462"/>
      <c r="AL96" s="462"/>
      <c r="AM96" s="462"/>
      <c r="AN96" s="462"/>
      <c r="AO96" s="462"/>
      <c r="AP96" s="462"/>
      <c r="AQ96" s="462"/>
      <c r="AR96" s="462"/>
      <c r="AS96" s="462"/>
      <c r="AT96" s="462"/>
      <c r="AU96" s="462"/>
      <c r="AV96" s="462"/>
      <c r="AW96" s="462"/>
      <c r="AX96" s="462"/>
      <c r="AY96" s="462"/>
      <c r="AZ96" s="463"/>
    </row>
    <row r="97" spans="1:52" customFormat="1" ht="7.5" customHeight="1" thickBot="1" x14ac:dyDescent="0.5">
      <c r="B97" s="464"/>
      <c r="C97" s="465"/>
      <c r="D97" s="465"/>
      <c r="E97" s="465"/>
      <c r="F97" s="465"/>
      <c r="G97" s="465"/>
      <c r="H97" s="465"/>
      <c r="I97" s="465"/>
      <c r="J97" s="465"/>
      <c r="K97" s="465"/>
      <c r="L97" s="465"/>
      <c r="M97" s="465"/>
      <c r="N97" s="465"/>
      <c r="O97" s="465"/>
      <c r="P97" s="465"/>
      <c r="Q97" s="465"/>
      <c r="R97" s="465"/>
      <c r="S97" s="465"/>
      <c r="T97" s="465"/>
      <c r="U97" s="465"/>
      <c r="V97" s="465"/>
      <c r="W97" s="465"/>
      <c r="X97" s="465"/>
      <c r="Y97" s="465"/>
      <c r="Z97" s="465"/>
      <c r="AA97" s="466"/>
      <c r="AB97" s="465"/>
      <c r="AC97" s="465"/>
      <c r="AD97" s="465"/>
      <c r="AE97" s="465"/>
      <c r="AF97" s="465"/>
      <c r="AG97" s="465"/>
      <c r="AH97" s="465"/>
      <c r="AI97" s="465"/>
      <c r="AJ97" s="465"/>
      <c r="AK97" s="465"/>
      <c r="AL97" s="465"/>
      <c r="AM97" s="465"/>
      <c r="AN97" s="465"/>
      <c r="AO97" s="465"/>
      <c r="AP97" s="465"/>
      <c r="AQ97" s="465"/>
      <c r="AR97" s="465"/>
      <c r="AS97" s="465"/>
      <c r="AT97" s="465"/>
      <c r="AU97" s="465"/>
      <c r="AV97" s="465"/>
      <c r="AW97" s="465"/>
      <c r="AX97" s="465"/>
      <c r="AY97" s="465"/>
      <c r="AZ97" s="467"/>
    </row>
    <row r="98" spans="1:52" s="78" customFormat="1" ht="14.4" x14ac:dyDescent="0.2">
      <c r="A98" s="451"/>
      <c r="B98" s="468" t="s">
        <v>191</v>
      </c>
      <c r="C98" s="469"/>
      <c r="D98" s="469"/>
      <c r="E98" s="469"/>
      <c r="F98" s="469"/>
      <c r="G98" s="469"/>
      <c r="H98" s="469"/>
      <c r="I98" s="469"/>
      <c r="J98" s="469"/>
      <c r="K98" s="469"/>
      <c r="L98" s="469"/>
      <c r="M98" s="469"/>
      <c r="N98" s="469"/>
      <c r="O98" s="469"/>
      <c r="P98" s="469"/>
      <c r="Q98" s="469"/>
      <c r="R98" s="469"/>
      <c r="S98" s="469"/>
      <c r="T98" s="469"/>
      <c r="U98" s="469"/>
      <c r="V98" s="469"/>
      <c r="W98" s="469"/>
      <c r="X98" s="469"/>
      <c r="Y98" s="469"/>
      <c r="Z98" s="469"/>
      <c r="AA98" s="469"/>
      <c r="AB98" s="469"/>
      <c r="AC98" s="469"/>
      <c r="AD98" s="469"/>
      <c r="AE98" s="469"/>
      <c r="AF98" s="469"/>
      <c r="AG98" s="469"/>
      <c r="AH98" s="469"/>
      <c r="AI98" s="469"/>
      <c r="AJ98" s="469"/>
      <c r="AK98" s="469"/>
      <c r="AL98" s="469"/>
      <c r="AM98" s="469"/>
      <c r="AN98" s="469"/>
      <c r="AO98" s="469"/>
      <c r="AP98" s="469"/>
      <c r="AQ98" s="469"/>
      <c r="AR98" s="469"/>
      <c r="AS98" s="469"/>
      <c r="AT98" s="469"/>
      <c r="AU98" s="469"/>
      <c r="AV98" s="469"/>
      <c r="AW98" s="469"/>
      <c r="AX98" s="469"/>
      <c r="AY98" s="469"/>
      <c r="AZ98" s="470"/>
    </row>
    <row r="99" spans="1:52" customFormat="1" ht="288" customHeight="1" thickBot="1" x14ac:dyDescent="0.5">
      <c r="B99" s="461" t="s">
        <v>192</v>
      </c>
      <c r="C99" s="462"/>
      <c r="D99" s="462"/>
      <c r="E99" s="462"/>
      <c r="F99" s="462"/>
      <c r="G99" s="462"/>
      <c r="H99" s="462"/>
      <c r="I99" s="462"/>
      <c r="J99" s="462"/>
      <c r="K99" s="462"/>
      <c r="L99" s="462"/>
      <c r="M99" s="462"/>
      <c r="N99" s="462"/>
      <c r="O99" s="462"/>
      <c r="P99" s="462"/>
      <c r="Q99" s="462"/>
      <c r="R99" s="462"/>
      <c r="S99" s="462"/>
      <c r="T99" s="462"/>
      <c r="U99" s="462"/>
      <c r="V99" s="462"/>
      <c r="W99" s="462"/>
      <c r="X99" s="462"/>
      <c r="Y99" s="462"/>
      <c r="Z99" s="462"/>
      <c r="AA99" s="462"/>
      <c r="AB99" s="462"/>
      <c r="AC99" s="462"/>
      <c r="AD99" s="462"/>
      <c r="AE99" s="462"/>
      <c r="AF99" s="462"/>
      <c r="AG99" s="462"/>
      <c r="AH99" s="462"/>
      <c r="AI99" s="462"/>
      <c r="AJ99" s="462"/>
      <c r="AK99" s="462"/>
      <c r="AL99" s="462"/>
      <c r="AM99" s="462"/>
      <c r="AN99" s="462"/>
      <c r="AO99" s="462"/>
      <c r="AP99" s="462"/>
      <c r="AQ99" s="462"/>
      <c r="AR99" s="462"/>
      <c r="AS99" s="462"/>
      <c r="AT99" s="462"/>
      <c r="AU99" s="462"/>
      <c r="AV99" s="462"/>
      <c r="AW99" s="462"/>
      <c r="AX99" s="462"/>
      <c r="AY99" s="462"/>
      <c r="AZ99" s="463"/>
    </row>
    <row r="100" spans="1:52" customFormat="1" ht="5.25" customHeight="1" x14ac:dyDescent="0.45">
      <c r="B100" s="464"/>
      <c r="C100" s="465"/>
      <c r="D100" s="465"/>
      <c r="E100" s="465"/>
      <c r="F100" s="465"/>
      <c r="G100" s="465"/>
      <c r="H100" s="465"/>
      <c r="I100" s="465"/>
      <c r="J100" s="465"/>
      <c r="K100" s="465"/>
      <c r="L100" s="465"/>
      <c r="M100" s="465"/>
      <c r="N100" s="465"/>
      <c r="O100" s="465"/>
      <c r="P100" s="465"/>
      <c r="Q100" s="465"/>
      <c r="R100" s="465"/>
      <c r="S100" s="465"/>
      <c r="T100" s="465"/>
      <c r="U100" s="465"/>
      <c r="V100" s="465"/>
      <c r="W100" s="465"/>
      <c r="X100" s="465"/>
      <c r="Y100" s="465"/>
      <c r="Z100" s="465"/>
      <c r="AA100" s="465"/>
      <c r="AB100" s="465"/>
      <c r="AC100" s="465"/>
      <c r="AD100" s="465"/>
      <c r="AE100" s="465"/>
      <c r="AF100" s="465"/>
      <c r="AG100" s="465"/>
      <c r="AH100" s="465"/>
      <c r="AI100" s="465"/>
      <c r="AJ100" s="465"/>
      <c r="AK100" s="465"/>
      <c r="AL100" s="465"/>
      <c r="AM100" s="465"/>
      <c r="AN100" s="465"/>
      <c r="AO100" s="465"/>
      <c r="AP100" s="465"/>
      <c r="AQ100" s="465"/>
      <c r="AR100" s="465"/>
      <c r="AS100" s="465"/>
      <c r="AT100" s="465"/>
      <c r="AU100" s="465"/>
      <c r="AV100" s="465"/>
      <c r="AW100" s="465"/>
      <c r="AX100" s="465"/>
      <c r="AY100" s="465"/>
      <c r="AZ100" s="467"/>
    </row>
    <row r="101" spans="1:52" s="471" customFormat="1" ht="5.25" customHeight="1" thickBot="1" x14ac:dyDescent="0.5">
      <c r="B101" s="472"/>
      <c r="C101" s="473"/>
      <c r="D101" s="473"/>
      <c r="E101" s="473"/>
      <c r="F101" s="473"/>
      <c r="G101" s="473"/>
      <c r="H101" s="473"/>
      <c r="I101" s="473"/>
      <c r="J101" s="473"/>
      <c r="K101" s="473"/>
      <c r="L101" s="473"/>
      <c r="M101" s="473"/>
      <c r="N101" s="473"/>
      <c r="O101" s="473"/>
      <c r="P101" s="473"/>
      <c r="Q101" s="473"/>
      <c r="R101" s="473"/>
      <c r="S101" s="473"/>
      <c r="T101" s="473"/>
      <c r="U101" s="473"/>
      <c r="V101" s="473"/>
      <c r="W101" s="473"/>
      <c r="X101" s="473"/>
      <c r="Y101" s="473"/>
      <c r="Z101" s="473"/>
      <c r="AA101" s="473"/>
      <c r="AB101" s="473"/>
      <c r="AC101" s="473"/>
      <c r="AD101" s="473"/>
      <c r="AE101" s="473"/>
      <c r="AF101" s="473"/>
      <c r="AG101" s="473"/>
      <c r="AH101" s="473"/>
      <c r="AI101" s="473"/>
      <c r="AJ101" s="473"/>
      <c r="AK101" s="473"/>
      <c r="AL101" s="473"/>
      <c r="AM101" s="473"/>
      <c r="AN101" s="473"/>
      <c r="AO101" s="473"/>
      <c r="AP101" s="473"/>
      <c r="AQ101" s="473"/>
      <c r="AR101" s="473"/>
      <c r="AS101" s="473"/>
      <c r="AT101" s="473"/>
      <c r="AU101" s="473"/>
      <c r="AV101" s="473"/>
      <c r="AW101" s="473"/>
      <c r="AX101" s="473"/>
      <c r="AY101" s="473"/>
      <c r="AZ101" s="474"/>
    </row>
    <row r="102" spans="1:52" s="78" customFormat="1" ht="14.4" x14ac:dyDescent="0.2">
      <c r="A102" s="451"/>
      <c r="B102" s="468" t="s">
        <v>193</v>
      </c>
      <c r="C102" s="469"/>
      <c r="D102" s="469"/>
      <c r="E102" s="469"/>
      <c r="F102" s="469"/>
      <c r="G102" s="469"/>
      <c r="H102" s="469"/>
      <c r="I102" s="469"/>
      <c r="J102" s="469"/>
      <c r="K102" s="469"/>
      <c r="L102" s="469"/>
      <c r="M102" s="469"/>
      <c r="N102" s="469"/>
      <c r="O102" s="469"/>
      <c r="P102" s="469"/>
      <c r="Q102" s="469"/>
      <c r="R102" s="469"/>
      <c r="S102" s="469"/>
      <c r="T102" s="469"/>
      <c r="U102" s="469"/>
      <c r="V102" s="469"/>
      <c r="W102" s="469"/>
      <c r="X102" s="469"/>
      <c r="Y102" s="469"/>
      <c r="Z102" s="469"/>
      <c r="AA102" s="469"/>
      <c r="AB102" s="469"/>
      <c r="AC102" s="469"/>
      <c r="AD102" s="469"/>
      <c r="AE102" s="469"/>
      <c r="AF102" s="469"/>
      <c r="AG102" s="469"/>
      <c r="AH102" s="469"/>
      <c r="AI102" s="469"/>
      <c r="AJ102" s="469"/>
      <c r="AK102" s="469"/>
      <c r="AL102" s="469"/>
      <c r="AM102" s="469"/>
      <c r="AN102" s="469"/>
      <c r="AO102" s="469"/>
      <c r="AP102" s="469"/>
      <c r="AQ102" s="469"/>
      <c r="AR102" s="469"/>
      <c r="AS102" s="469"/>
      <c r="AT102" s="469"/>
      <c r="AU102" s="469"/>
      <c r="AV102" s="469"/>
      <c r="AW102" s="469"/>
      <c r="AX102" s="469"/>
      <c r="AY102" s="469"/>
      <c r="AZ102" s="470"/>
    </row>
    <row r="103" spans="1:52" customFormat="1" ht="124.5" customHeight="1" x14ac:dyDescent="0.45">
      <c r="B103" s="455" t="s">
        <v>194</v>
      </c>
      <c r="C103" s="456"/>
      <c r="D103" s="456"/>
      <c r="E103" s="456"/>
      <c r="F103" s="456"/>
      <c r="G103" s="456"/>
      <c r="H103" s="456"/>
      <c r="I103" s="456"/>
      <c r="J103" s="456"/>
      <c r="K103" s="456"/>
      <c r="L103" s="456"/>
      <c r="M103" s="456"/>
      <c r="N103" s="456"/>
      <c r="O103" s="456"/>
      <c r="P103" s="456"/>
      <c r="Q103" s="456"/>
      <c r="R103" s="456"/>
      <c r="S103" s="456"/>
      <c r="T103" s="456"/>
      <c r="U103" s="456"/>
      <c r="V103" s="456"/>
      <c r="W103" s="456"/>
      <c r="X103" s="456"/>
      <c r="Y103" s="456"/>
      <c r="Z103" s="456"/>
      <c r="AA103" s="456"/>
      <c r="AB103" s="456"/>
      <c r="AC103" s="456"/>
      <c r="AD103" s="456"/>
      <c r="AE103" s="456"/>
      <c r="AF103" s="456"/>
      <c r="AG103" s="456"/>
      <c r="AH103" s="456"/>
      <c r="AI103" s="456"/>
      <c r="AJ103" s="456"/>
      <c r="AK103" s="456"/>
      <c r="AL103" s="456"/>
      <c r="AM103" s="456"/>
      <c r="AN103" s="456"/>
      <c r="AO103" s="456"/>
      <c r="AP103" s="456"/>
      <c r="AQ103" s="456"/>
      <c r="AR103" s="456"/>
      <c r="AS103" s="456"/>
      <c r="AT103" s="456"/>
      <c r="AU103" s="456"/>
      <c r="AV103" s="456"/>
      <c r="AW103" s="456"/>
      <c r="AX103" s="456"/>
      <c r="AY103" s="456"/>
      <c r="AZ103" s="457"/>
    </row>
    <row r="104" spans="1:52" customFormat="1" ht="13.5" customHeight="1" x14ac:dyDescent="0.45">
      <c r="B104" s="455" t="s">
        <v>195</v>
      </c>
      <c r="C104" s="456"/>
      <c r="D104" s="456"/>
      <c r="E104" s="456"/>
      <c r="F104" s="456"/>
      <c r="G104" s="456"/>
      <c r="H104" s="456"/>
      <c r="I104" s="456"/>
      <c r="J104" s="456"/>
      <c r="K104" s="456"/>
      <c r="L104" s="456"/>
      <c r="M104" s="456"/>
      <c r="N104" s="456"/>
      <c r="O104" s="456"/>
      <c r="P104" s="456"/>
      <c r="Q104" s="456"/>
      <c r="R104" s="456"/>
      <c r="S104" s="456"/>
      <c r="T104" s="456"/>
      <c r="U104" s="456"/>
      <c r="V104" s="456"/>
      <c r="W104" s="456"/>
      <c r="X104" s="456"/>
      <c r="Y104" s="456"/>
      <c r="Z104" s="456"/>
      <c r="AA104" s="456"/>
      <c r="AB104" s="456"/>
      <c r="AC104" s="456"/>
      <c r="AD104" s="456"/>
      <c r="AE104" s="456"/>
      <c r="AF104" s="456"/>
      <c r="AG104" s="456"/>
      <c r="AH104" s="456"/>
      <c r="AI104" s="456"/>
      <c r="AJ104" s="456"/>
      <c r="AK104" s="456"/>
      <c r="AL104" s="456"/>
      <c r="AM104" s="456"/>
      <c r="AN104" s="456"/>
      <c r="AO104" s="456"/>
      <c r="AP104" s="456"/>
      <c r="AQ104" s="456"/>
      <c r="AR104" s="456"/>
      <c r="AS104" s="456"/>
      <c r="AT104" s="456"/>
      <c r="AU104" s="456"/>
      <c r="AV104" s="456"/>
      <c r="AW104" s="456"/>
      <c r="AX104" s="456"/>
      <c r="AY104" s="456"/>
      <c r="AZ104" s="457"/>
    </row>
    <row r="105" spans="1:52" customFormat="1" ht="78.75" customHeight="1" x14ac:dyDescent="0.45">
      <c r="B105" s="455" t="s">
        <v>196</v>
      </c>
      <c r="C105" s="456"/>
      <c r="D105" s="456"/>
      <c r="E105" s="456"/>
      <c r="F105" s="456"/>
      <c r="G105" s="456"/>
      <c r="H105" s="456"/>
      <c r="I105" s="456"/>
      <c r="J105" s="456"/>
      <c r="K105" s="456"/>
      <c r="L105" s="456"/>
      <c r="M105" s="456"/>
      <c r="N105" s="456"/>
      <c r="O105" s="456"/>
      <c r="P105" s="456"/>
      <c r="Q105" s="456"/>
      <c r="R105" s="456"/>
      <c r="S105" s="456"/>
      <c r="T105" s="456"/>
      <c r="U105" s="456"/>
      <c r="V105" s="456"/>
      <c r="W105" s="456"/>
      <c r="X105" s="456"/>
      <c r="Y105" s="456"/>
      <c r="Z105" s="456"/>
      <c r="AA105" s="456"/>
      <c r="AB105" s="456"/>
      <c r="AC105" s="456"/>
      <c r="AD105" s="456"/>
      <c r="AE105" s="456"/>
      <c r="AF105" s="456"/>
      <c r="AG105" s="456"/>
      <c r="AH105" s="456"/>
      <c r="AI105" s="456"/>
      <c r="AJ105" s="456"/>
      <c r="AK105" s="456"/>
      <c r="AL105" s="456"/>
      <c r="AM105" s="456"/>
      <c r="AN105" s="456"/>
      <c r="AO105" s="456"/>
      <c r="AP105" s="456"/>
      <c r="AQ105" s="456"/>
      <c r="AR105" s="456"/>
      <c r="AS105" s="456"/>
      <c r="AT105" s="456"/>
      <c r="AU105" s="456"/>
      <c r="AV105" s="456"/>
      <c r="AW105" s="456"/>
      <c r="AX105" s="456"/>
      <c r="AY105" s="456"/>
      <c r="AZ105" s="457"/>
    </row>
    <row r="106" spans="1:52" customFormat="1" ht="14.25" customHeight="1" x14ac:dyDescent="0.45">
      <c r="B106" s="455" t="s">
        <v>197</v>
      </c>
      <c r="C106" s="456"/>
      <c r="D106" s="456"/>
      <c r="E106" s="456"/>
      <c r="F106" s="456"/>
      <c r="G106" s="456"/>
      <c r="H106" s="456"/>
      <c r="I106" s="456"/>
      <c r="J106" s="456"/>
      <c r="K106" s="456"/>
      <c r="L106" s="456"/>
      <c r="M106" s="456"/>
      <c r="N106" s="456"/>
      <c r="O106" s="456"/>
      <c r="P106" s="456"/>
      <c r="Q106" s="456"/>
      <c r="R106" s="456"/>
      <c r="S106" s="456"/>
      <c r="T106" s="456"/>
      <c r="U106" s="456"/>
      <c r="V106" s="456"/>
      <c r="W106" s="456"/>
      <c r="X106" s="456"/>
      <c r="Y106" s="456"/>
      <c r="Z106" s="456"/>
      <c r="AA106" s="456"/>
      <c r="AB106" s="456"/>
      <c r="AC106" s="456"/>
      <c r="AD106" s="456"/>
      <c r="AE106" s="456"/>
      <c r="AF106" s="456"/>
      <c r="AG106" s="456"/>
      <c r="AH106" s="456"/>
      <c r="AI106" s="456"/>
      <c r="AJ106" s="456"/>
      <c r="AK106" s="456"/>
      <c r="AL106" s="456"/>
      <c r="AM106" s="456"/>
      <c r="AN106" s="456"/>
      <c r="AO106" s="456"/>
      <c r="AP106" s="456"/>
      <c r="AQ106" s="456"/>
      <c r="AR106" s="456"/>
      <c r="AS106" s="456"/>
      <c r="AT106" s="456"/>
      <c r="AU106" s="456"/>
      <c r="AV106" s="456"/>
      <c r="AW106" s="456"/>
      <c r="AX106" s="456"/>
      <c r="AY106" s="456"/>
      <c r="AZ106" s="457"/>
    </row>
    <row r="107" spans="1:52" customFormat="1" ht="142.5" customHeight="1" x14ac:dyDescent="0.45">
      <c r="B107" s="475" t="s">
        <v>198</v>
      </c>
      <c r="C107" s="476"/>
      <c r="D107" s="476"/>
      <c r="E107" s="476"/>
      <c r="F107" s="476"/>
      <c r="G107" s="476"/>
      <c r="H107" s="476"/>
      <c r="I107" s="476"/>
      <c r="J107" s="476"/>
      <c r="K107" s="476"/>
      <c r="L107" s="476"/>
      <c r="M107" s="476"/>
      <c r="N107" s="476"/>
      <c r="O107" s="476"/>
      <c r="P107" s="476"/>
      <c r="Q107" s="476"/>
      <c r="R107" s="476"/>
      <c r="S107" s="476"/>
      <c r="T107" s="476"/>
      <c r="U107" s="476"/>
      <c r="V107" s="476"/>
      <c r="W107" s="476"/>
      <c r="X107" s="476"/>
      <c r="Y107" s="476"/>
      <c r="Z107" s="476"/>
      <c r="AA107" s="476"/>
      <c r="AB107" s="476"/>
      <c r="AC107" s="476"/>
      <c r="AD107" s="476"/>
      <c r="AE107" s="476"/>
      <c r="AF107" s="476"/>
      <c r="AG107" s="476"/>
      <c r="AH107" s="476"/>
      <c r="AI107" s="476"/>
      <c r="AJ107" s="476"/>
      <c r="AK107" s="476"/>
      <c r="AL107" s="476"/>
      <c r="AM107" s="476"/>
      <c r="AN107" s="476"/>
      <c r="AO107" s="476"/>
      <c r="AP107" s="476"/>
      <c r="AQ107" s="476"/>
      <c r="AR107" s="476"/>
      <c r="AS107" s="476"/>
      <c r="AT107" s="476"/>
      <c r="AU107" s="476"/>
      <c r="AV107" s="476"/>
      <c r="AW107" s="476"/>
      <c r="AX107" s="476"/>
      <c r="AY107" s="476"/>
      <c r="AZ107" s="477"/>
    </row>
    <row r="108" spans="1:52" customFormat="1" ht="14.25" customHeight="1" x14ac:dyDescent="0.45">
      <c r="B108" s="455" t="s">
        <v>199</v>
      </c>
      <c r="C108" s="456"/>
      <c r="D108" s="456"/>
      <c r="E108" s="456"/>
      <c r="F108" s="456"/>
      <c r="G108" s="456"/>
      <c r="H108" s="456"/>
      <c r="I108" s="456"/>
      <c r="J108" s="456"/>
      <c r="K108" s="456"/>
      <c r="L108" s="456"/>
      <c r="M108" s="456"/>
      <c r="N108" s="456"/>
      <c r="O108" s="456"/>
      <c r="P108" s="456"/>
      <c r="Q108" s="456"/>
      <c r="R108" s="456"/>
      <c r="S108" s="456"/>
      <c r="T108" s="456"/>
      <c r="U108" s="456"/>
      <c r="V108" s="456"/>
      <c r="W108" s="456"/>
      <c r="X108" s="456"/>
      <c r="Y108" s="456"/>
      <c r="Z108" s="456"/>
      <c r="AA108" s="456"/>
      <c r="AB108" s="456"/>
      <c r="AC108" s="456"/>
      <c r="AD108" s="456"/>
      <c r="AE108" s="456"/>
      <c r="AF108" s="456"/>
      <c r="AG108" s="456"/>
      <c r="AH108" s="456"/>
      <c r="AI108" s="456"/>
      <c r="AJ108" s="456"/>
      <c r="AK108" s="456"/>
      <c r="AL108" s="456"/>
      <c r="AM108" s="456"/>
      <c r="AN108" s="456"/>
      <c r="AO108" s="456"/>
      <c r="AP108" s="456"/>
      <c r="AQ108" s="456"/>
      <c r="AR108" s="456"/>
      <c r="AS108" s="456"/>
      <c r="AT108" s="456"/>
      <c r="AU108" s="456"/>
      <c r="AV108" s="456"/>
      <c r="AW108" s="456"/>
      <c r="AX108" s="456"/>
      <c r="AY108" s="456"/>
      <c r="AZ108" s="457"/>
    </row>
    <row r="109" spans="1:52" customFormat="1" ht="120" customHeight="1" x14ac:dyDescent="0.45">
      <c r="B109" s="455" t="s">
        <v>200</v>
      </c>
      <c r="C109" s="456"/>
      <c r="D109" s="456"/>
      <c r="E109" s="456"/>
      <c r="F109" s="456"/>
      <c r="G109" s="456"/>
      <c r="H109" s="456"/>
      <c r="I109" s="456"/>
      <c r="J109" s="456"/>
      <c r="K109" s="456"/>
      <c r="L109" s="456"/>
      <c r="M109" s="456"/>
      <c r="N109" s="456"/>
      <c r="O109" s="456"/>
      <c r="P109" s="456"/>
      <c r="Q109" s="456"/>
      <c r="R109" s="456"/>
      <c r="S109" s="456"/>
      <c r="T109" s="456"/>
      <c r="U109" s="456"/>
      <c r="V109" s="456"/>
      <c r="W109" s="456"/>
      <c r="X109" s="456"/>
      <c r="Y109" s="456"/>
      <c r="Z109" s="456"/>
      <c r="AA109" s="456"/>
      <c r="AB109" s="456"/>
      <c r="AC109" s="456"/>
      <c r="AD109" s="456"/>
      <c r="AE109" s="456"/>
      <c r="AF109" s="456"/>
      <c r="AG109" s="456"/>
      <c r="AH109" s="456"/>
      <c r="AI109" s="456"/>
      <c r="AJ109" s="456"/>
      <c r="AK109" s="456"/>
      <c r="AL109" s="456"/>
      <c r="AM109" s="456"/>
      <c r="AN109" s="456"/>
      <c r="AO109" s="456"/>
      <c r="AP109" s="456"/>
      <c r="AQ109" s="456"/>
      <c r="AR109" s="456"/>
      <c r="AS109" s="456"/>
      <c r="AT109" s="456"/>
      <c r="AU109" s="456"/>
      <c r="AV109" s="456"/>
      <c r="AW109" s="456"/>
      <c r="AX109" s="456"/>
      <c r="AY109" s="456"/>
      <c r="AZ109" s="457"/>
    </row>
    <row r="110" spans="1:52" customFormat="1" ht="14.25" customHeight="1" x14ac:dyDescent="0.45">
      <c r="B110" s="455" t="s">
        <v>201</v>
      </c>
      <c r="C110" s="456"/>
      <c r="D110" s="456"/>
      <c r="E110" s="456"/>
      <c r="F110" s="456"/>
      <c r="G110" s="456"/>
      <c r="H110" s="456"/>
      <c r="I110" s="456"/>
      <c r="J110" s="456"/>
      <c r="K110" s="456"/>
      <c r="L110" s="456"/>
      <c r="M110" s="456"/>
      <c r="N110" s="456"/>
      <c r="O110" s="456"/>
      <c r="P110" s="456"/>
      <c r="Q110" s="456"/>
      <c r="R110" s="456"/>
      <c r="S110" s="456"/>
      <c r="T110" s="456"/>
      <c r="U110" s="456"/>
      <c r="V110" s="456"/>
      <c r="W110" s="456"/>
      <c r="X110" s="456"/>
      <c r="Y110" s="456"/>
      <c r="Z110" s="456"/>
      <c r="AA110" s="456"/>
      <c r="AB110" s="456"/>
      <c r="AC110" s="456"/>
      <c r="AD110" s="456"/>
      <c r="AE110" s="456"/>
      <c r="AF110" s="456"/>
      <c r="AG110" s="456"/>
      <c r="AH110" s="456"/>
      <c r="AI110" s="456"/>
      <c r="AJ110" s="456"/>
      <c r="AK110" s="456"/>
      <c r="AL110" s="456"/>
      <c r="AM110" s="456"/>
      <c r="AN110" s="456"/>
      <c r="AO110" s="456"/>
      <c r="AP110" s="456"/>
      <c r="AQ110" s="456"/>
      <c r="AR110" s="456"/>
      <c r="AS110" s="456"/>
      <c r="AT110" s="456"/>
      <c r="AU110" s="456"/>
      <c r="AV110" s="456"/>
      <c r="AW110" s="456"/>
      <c r="AX110" s="456"/>
      <c r="AY110" s="456"/>
      <c r="AZ110" s="457"/>
    </row>
    <row r="111" spans="1:52" customFormat="1" ht="23.25" customHeight="1" x14ac:dyDescent="0.45">
      <c r="B111" s="455" t="s">
        <v>202</v>
      </c>
      <c r="C111" s="456"/>
      <c r="D111" s="456"/>
      <c r="E111" s="456"/>
      <c r="F111" s="456"/>
      <c r="G111" s="456"/>
      <c r="H111" s="456"/>
      <c r="I111" s="456"/>
      <c r="J111" s="456"/>
      <c r="K111" s="456"/>
      <c r="L111" s="456"/>
      <c r="M111" s="456"/>
      <c r="N111" s="456"/>
      <c r="O111" s="456"/>
      <c r="P111" s="456"/>
      <c r="Q111" s="456"/>
      <c r="R111" s="456"/>
      <c r="S111" s="456"/>
      <c r="T111" s="456"/>
      <c r="U111" s="456"/>
      <c r="V111" s="456"/>
      <c r="W111" s="456"/>
      <c r="X111" s="456"/>
      <c r="Y111" s="456"/>
      <c r="Z111" s="456"/>
      <c r="AA111" s="456"/>
      <c r="AB111" s="456"/>
      <c r="AC111" s="456"/>
      <c r="AD111" s="456"/>
      <c r="AE111" s="456"/>
      <c r="AF111" s="456"/>
      <c r="AG111" s="456"/>
      <c r="AH111" s="456"/>
      <c r="AI111" s="456"/>
      <c r="AJ111" s="456"/>
      <c r="AK111" s="456"/>
      <c r="AL111" s="456"/>
      <c r="AM111" s="456"/>
      <c r="AN111" s="456"/>
      <c r="AO111" s="456"/>
      <c r="AP111" s="456"/>
      <c r="AQ111" s="456"/>
      <c r="AR111" s="456"/>
      <c r="AS111" s="456"/>
      <c r="AT111" s="456"/>
      <c r="AU111" s="456"/>
      <c r="AV111" s="456"/>
      <c r="AW111" s="456"/>
      <c r="AX111" s="456"/>
      <c r="AY111" s="456"/>
      <c r="AZ111" s="457"/>
    </row>
    <row r="112" spans="1:52" customFormat="1" ht="17.25" customHeight="1" x14ac:dyDescent="0.45">
      <c r="B112" s="455" t="s">
        <v>203</v>
      </c>
      <c r="C112" s="456"/>
      <c r="D112" s="456"/>
      <c r="E112" s="456"/>
      <c r="F112" s="456"/>
      <c r="G112" s="456"/>
      <c r="H112" s="456"/>
      <c r="I112" s="456"/>
      <c r="J112" s="456"/>
      <c r="K112" s="456"/>
      <c r="L112" s="456"/>
      <c r="M112" s="456"/>
      <c r="N112" s="456"/>
      <c r="O112" s="456"/>
      <c r="P112" s="456"/>
      <c r="Q112" s="456"/>
      <c r="R112" s="456"/>
      <c r="S112" s="456"/>
      <c r="T112" s="456"/>
      <c r="U112" s="456"/>
      <c r="V112" s="456"/>
      <c r="W112" s="456"/>
      <c r="X112" s="456"/>
      <c r="Y112" s="456"/>
      <c r="Z112" s="456"/>
      <c r="AA112" s="456"/>
      <c r="AB112" s="456"/>
      <c r="AC112" s="456"/>
      <c r="AD112" s="456"/>
      <c r="AE112" s="456"/>
      <c r="AF112" s="456"/>
      <c r="AG112" s="456"/>
      <c r="AH112" s="456"/>
      <c r="AI112" s="456"/>
      <c r="AJ112" s="456"/>
      <c r="AK112" s="456"/>
      <c r="AL112" s="456"/>
      <c r="AM112" s="456"/>
      <c r="AN112" s="456"/>
      <c r="AO112" s="456"/>
      <c r="AP112" s="456"/>
      <c r="AQ112" s="456"/>
      <c r="AR112" s="456"/>
      <c r="AS112" s="456"/>
      <c r="AT112" s="456"/>
      <c r="AU112" s="456"/>
      <c r="AV112" s="456"/>
      <c r="AW112" s="456"/>
      <c r="AX112" s="456"/>
      <c r="AY112" s="456"/>
      <c r="AZ112" s="457"/>
    </row>
    <row r="113" spans="2:52" customFormat="1" ht="336.75" customHeight="1" x14ac:dyDescent="0.45">
      <c r="B113" s="475" t="s">
        <v>204</v>
      </c>
      <c r="C113" s="476"/>
      <c r="D113" s="476"/>
      <c r="E113" s="476"/>
      <c r="F113" s="476"/>
      <c r="G113" s="476"/>
      <c r="H113" s="476"/>
      <c r="I113" s="476"/>
      <c r="J113" s="476"/>
      <c r="K113" s="476"/>
      <c r="L113" s="476"/>
      <c r="M113" s="476"/>
      <c r="N113" s="476"/>
      <c r="O113" s="476"/>
      <c r="P113" s="476"/>
      <c r="Q113" s="476"/>
      <c r="R113" s="476"/>
      <c r="S113" s="476"/>
      <c r="T113" s="476"/>
      <c r="U113" s="476"/>
      <c r="V113" s="476"/>
      <c r="W113" s="476"/>
      <c r="X113" s="476"/>
      <c r="Y113" s="476"/>
      <c r="Z113" s="476"/>
      <c r="AA113" s="476"/>
      <c r="AB113" s="476"/>
      <c r="AC113" s="476"/>
      <c r="AD113" s="476"/>
      <c r="AE113" s="476"/>
      <c r="AF113" s="476"/>
      <c r="AG113" s="476"/>
      <c r="AH113" s="476"/>
      <c r="AI113" s="476"/>
      <c r="AJ113" s="476"/>
      <c r="AK113" s="476"/>
      <c r="AL113" s="476"/>
      <c r="AM113" s="476"/>
      <c r="AN113" s="476"/>
      <c r="AO113" s="476"/>
      <c r="AP113" s="476"/>
      <c r="AQ113" s="476"/>
      <c r="AR113" s="476"/>
      <c r="AS113" s="476"/>
      <c r="AT113" s="476"/>
      <c r="AU113" s="476"/>
      <c r="AV113" s="476"/>
      <c r="AW113" s="476"/>
      <c r="AX113" s="476"/>
      <c r="AY113" s="476"/>
      <c r="AZ113" s="477"/>
    </row>
    <row r="114" spans="2:52" customFormat="1" ht="14.25" customHeight="1" x14ac:dyDescent="0.45">
      <c r="B114" s="455" t="s">
        <v>205</v>
      </c>
      <c r="C114" s="456"/>
      <c r="D114" s="456"/>
      <c r="E114" s="456"/>
      <c r="F114" s="456"/>
      <c r="G114" s="456"/>
      <c r="H114" s="456"/>
      <c r="I114" s="456"/>
      <c r="J114" s="456"/>
      <c r="K114" s="456"/>
      <c r="L114" s="456"/>
      <c r="M114" s="456"/>
      <c r="N114" s="456"/>
      <c r="O114" s="456"/>
      <c r="P114" s="456"/>
      <c r="Q114" s="456"/>
      <c r="R114" s="456"/>
      <c r="S114" s="456"/>
      <c r="T114" s="456"/>
      <c r="U114" s="456"/>
      <c r="V114" s="456"/>
      <c r="W114" s="456"/>
      <c r="X114" s="456"/>
      <c r="Y114" s="456"/>
      <c r="Z114" s="456"/>
      <c r="AA114" s="456"/>
      <c r="AB114" s="456"/>
      <c r="AC114" s="456"/>
      <c r="AD114" s="456"/>
      <c r="AE114" s="456"/>
      <c r="AF114" s="456"/>
      <c r="AG114" s="456"/>
      <c r="AH114" s="456"/>
      <c r="AI114" s="456"/>
      <c r="AJ114" s="456"/>
      <c r="AK114" s="456"/>
      <c r="AL114" s="456"/>
      <c r="AM114" s="456"/>
      <c r="AN114" s="456"/>
      <c r="AO114" s="456"/>
      <c r="AP114" s="456"/>
      <c r="AQ114" s="456"/>
      <c r="AR114" s="456"/>
      <c r="AS114" s="456"/>
      <c r="AT114" s="456"/>
      <c r="AU114" s="456"/>
      <c r="AV114" s="456"/>
      <c r="AW114" s="456"/>
      <c r="AX114" s="456"/>
      <c r="AY114" s="456"/>
      <c r="AZ114" s="457"/>
    </row>
    <row r="115" spans="2:52" customFormat="1" ht="46.5" customHeight="1" x14ac:dyDescent="0.45">
      <c r="B115" s="455" t="s">
        <v>206</v>
      </c>
      <c r="C115" s="456"/>
      <c r="D115" s="456"/>
      <c r="E115" s="456"/>
      <c r="F115" s="456"/>
      <c r="G115" s="456"/>
      <c r="H115" s="456"/>
      <c r="I115" s="456"/>
      <c r="J115" s="456"/>
      <c r="K115" s="456"/>
      <c r="L115" s="456"/>
      <c r="M115" s="456"/>
      <c r="N115" s="456"/>
      <c r="O115" s="456"/>
      <c r="P115" s="456"/>
      <c r="Q115" s="456"/>
      <c r="R115" s="456"/>
      <c r="S115" s="456"/>
      <c r="T115" s="456"/>
      <c r="U115" s="456"/>
      <c r="V115" s="456"/>
      <c r="W115" s="456"/>
      <c r="X115" s="456"/>
      <c r="Y115" s="456"/>
      <c r="Z115" s="456"/>
      <c r="AA115" s="456"/>
      <c r="AB115" s="456"/>
      <c r="AC115" s="456"/>
      <c r="AD115" s="456"/>
      <c r="AE115" s="456"/>
      <c r="AF115" s="456"/>
      <c r="AG115" s="456"/>
      <c r="AH115" s="456"/>
      <c r="AI115" s="456"/>
      <c r="AJ115" s="456"/>
      <c r="AK115" s="456"/>
      <c r="AL115" s="456"/>
      <c r="AM115" s="456"/>
      <c r="AN115" s="456"/>
      <c r="AO115" s="456"/>
      <c r="AP115" s="456"/>
      <c r="AQ115" s="456"/>
      <c r="AR115" s="456"/>
      <c r="AS115" s="456"/>
      <c r="AT115" s="456"/>
      <c r="AU115" s="456"/>
      <c r="AV115" s="456"/>
      <c r="AW115" s="456"/>
      <c r="AX115" s="456"/>
      <c r="AY115" s="456"/>
      <c r="AZ115" s="457"/>
    </row>
    <row r="116" spans="2:52" customFormat="1" ht="14.25" customHeight="1" x14ac:dyDescent="0.45">
      <c r="B116" s="455" t="s">
        <v>207</v>
      </c>
      <c r="C116" s="456"/>
      <c r="D116" s="456"/>
      <c r="E116" s="456"/>
      <c r="F116" s="456"/>
      <c r="G116" s="456"/>
      <c r="H116" s="456"/>
      <c r="I116" s="456"/>
      <c r="J116" s="456"/>
      <c r="K116" s="456"/>
      <c r="L116" s="456"/>
      <c r="M116" s="456"/>
      <c r="N116" s="456"/>
      <c r="O116" s="456"/>
      <c r="P116" s="456"/>
      <c r="Q116" s="456"/>
      <c r="R116" s="456"/>
      <c r="S116" s="456"/>
      <c r="T116" s="456"/>
      <c r="U116" s="456"/>
      <c r="V116" s="456"/>
      <c r="W116" s="456"/>
      <c r="X116" s="456"/>
      <c r="Y116" s="456"/>
      <c r="Z116" s="456"/>
      <c r="AA116" s="456"/>
      <c r="AB116" s="456"/>
      <c r="AC116" s="456"/>
      <c r="AD116" s="456"/>
      <c r="AE116" s="456"/>
      <c r="AF116" s="456"/>
      <c r="AG116" s="456"/>
      <c r="AH116" s="456"/>
      <c r="AI116" s="456"/>
      <c r="AJ116" s="456"/>
      <c r="AK116" s="456"/>
      <c r="AL116" s="456"/>
      <c r="AM116" s="456"/>
      <c r="AN116" s="456"/>
      <c r="AO116" s="456"/>
      <c r="AP116" s="456"/>
      <c r="AQ116" s="456"/>
      <c r="AR116" s="456"/>
      <c r="AS116" s="456"/>
      <c r="AT116" s="456"/>
      <c r="AU116" s="456"/>
      <c r="AV116" s="456"/>
      <c r="AW116" s="456"/>
      <c r="AX116" s="456"/>
      <c r="AY116" s="456"/>
      <c r="AZ116" s="457"/>
    </row>
    <row r="117" spans="2:52" customFormat="1" ht="207" customHeight="1" x14ac:dyDescent="0.45">
      <c r="B117" s="455" t="s">
        <v>208</v>
      </c>
      <c r="C117" s="456"/>
      <c r="D117" s="456"/>
      <c r="E117" s="456"/>
      <c r="F117" s="456"/>
      <c r="G117" s="456"/>
      <c r="H117" s="456"/>
      <c r="I117" s="456"/>
      <c r="J117" s="456"/>
      <c r="K117" s="456"/>
      <c r="L117" s="456"/>
      <c r="M117" s="456"/>
      <c r="N117" s="456"/>
      <c r="O117" s="456"/>
      <c r="P117" s="456"/>
      <c r="Q117" s="456"/>
      <c r="R117" s="456"/>
      <c r="S117" s="456"/>
      <c r="T117" s="456"/>
      <c r="U117" s="456"/>
      <c r="V117" s="456"/>
      <c r="W117" s="456"/>
      <c r="X117" s="456"/>
      <c r="Y117" s="456"/>
      <c r="Z117" s="456"/>
      <c r="AA117" s="456"/>
      <c r="AB117" s="456"/>
      <c r="AC117" s="456"/>
      <c r="AD117" s="456"/>
      <c r="AE117" s="456"/>
      <c r="AF117" s="456"/>
      <c r="AG117" s="456"/>
      <c r="AH117" s="456"/>
      <c r="AI117" s="456"/>
      <c r="AJ117" s="456"/>
      <c r="AK117" s="456"/>
      <c r="AL117" s="456"/>
      <c r="AM117" s="456"/>
      <c r="AN117" s="456"/>
      <c r="AO117" s="456"/>
      <c r="AP117" s="456"/>
      <c r="AQ117" s="456"/>
      <c r="AR117" s="456"/>
      <c r="AS117" s="456"/>
      <c r="AT117" s="456"/>
      <c r="AU117" s="456"/>
      <c r="AV117" s="456"/>
      <c r="AW117" s="456"/>
      <c r="AX117" s="456"/>
      <c r="AY117" s="456"/>
      <c r="AZ117" s="457"/>
    </row>
    <row r="118" spans="2:52" customFormat="1" ht="14.25" customHeight="1" x14ac:dyDescent="0.45">
      <c r="B118" s="455" t="s">
        <v>209</v>
      </c>
      <c r="C118" s="456"/>
      <c r="D118" s="456"/>
      <c r="E118" s="456"/>
      <c r="F118" s="456"/>
      <c r="G118" s="456"/>
      <c r="H118" s="456"/>
      <c r="I118" s="456"/>
      <c r="J118" s="456"/>
      <c r="K118" s="456"/>
      <c r="L118" s="456"/>
      <c r="M118" s="456"/>
      <c r="N118" s="456"/>
      <c r="O118" s="456"/>
      <c r="P118" s="456"/>
      <c r="Q118" s="456"/>
      <c r="R118" s="456"/>
      <c r="S118" s="456"/>
      <c r="T118" s="456"/>
      <c r="U118" s="456"/>
      <c r="V118" s="456"/>
      <c r="W118" s="456"/>
      <c r="X118" s="456"/>
      <c r="Y118" s="456"/>
      <c r="Z118" s="456"/>
      <c r="AA118" s="456"/>
      <c r="AB118" s="456"/>
      <c r="AC118" s="456"/>
      <c r="AD118" s="456"/>
      <c r="AE118" s="456"/>
      <c r="AF118" s="456"/>
      <c r="AG118" s="456"/>
      <c r="AH118" s="456"/>
      <c r="AI118" s="456"/>
      <c r="AJ118" s="456"/>
      <c r="AK118" s="456"/>
      <c r="AL118" s="456"/>
      <c r="AM118" s="456"/>
      <c r="AN118" s="456"/>
      <c r="AO118" s="456"/>
      <c r="AP118" s="456"/>
      <c r="AQ118" s="456"/>
      <c r="AR118" s="456"/>
      <c r="AS118" s="456"/>
      <c r="AT118" s="456"/>
      <c r="AU118" s="456"/>
      <c r="AV118" s="456"/>
      <c r="AW118" s="456"/>
      <c r="AX118" s="456"/>
      <c r="AY118" s="456"/>
      <c r="AZ118" s="457"/>
    </row>
    <row r="119" spans="2:52" customFormat="1" ht="333" customHeight="1" thickBot="1" x14ac:dyDescent="0.5">
      <c r="B119" s="461" t="s">
        <v>210</v>
      </c>
      <c r="C119" s="462"/>
      <c r="D119" s="462"/>
      <c r="E119" s="462"/>
      <c r="F119" s="462"/>
      <c r="G119" s="462"/>
      <c r="H119" s="462"/>
      <c r="I119" s="462"/>
      <c r="J119" s="462"/>
      <c r="K119" s="462"/>
      <c r="L119" s="462"/>
      <c r="M119" s="462"/>
      <c r="N119" s="462"/>
      <c r="O119" s="462"/>
      <c r="P119" s="462"/>
      <c r="Q119" s="462"/>
      <c r="R119" s="462"/>
      <c r="S119" s="462"/>
      <c r="T119" s="462"/>
      <c r="U119" s="462"/>
      <c r="V119" s="462"/>
      <c r="W119" s="462"/>
      <c r="X119" s="462"/>
      <c r="Y119" s="462"/>
      <c r="Z119" s="462"/>
      <c r="AA119" s="462"/>
      <c r="AB119" s="462"/>
      <c r="AC119" s="462"/>
      <c r="AD119" s="462"/>
      <c r="AE119" s="462"/>
      <c r="AF119" s="462"/>
      <c r="AG119" s="462"/>
      <c r="AH119" s="462"/>
      <c r="AI119" s="462"/>
      <c r="AJ119" s="462"/>
      <c r="AK119" s="462"/>
      <c r="AL119" s="462"/>
      <c r="AM119" s="462"/>
      <c r="AN119" s="462"/>
      <c r="AO119" s="462"/>
      <c r="AP119" s="462"/>
      <c r="AQ119" s="462"/>
      <c r="AR119" s="462"/>
      <c r="AS119" s="462"/>
      <c r="AT119" s="462"/>
      <c r="AU119" s="462"/>
      <c r="AV119" s="462"/>
      <c r="AW119" s="462"/>
      <c r="AX119" s="462"/>
      <c r="AY119" s="462"/>
      <c r="AZ119" s="463"/>
    </row>
  </sheetData>
  <sheetProtection algorithmName="SHA-512" hashValue="3oJ2e95yhG86TBnqRgZ4gzovxDYv8pcDPE/hHv5nMEtvqCC2J6MOV79So52G630fiSqq5ta2SHVHNmDtzWjgbg==" saltValue="tcOLMBUxs9pe43yMEY4GNA==" spinCount="100000" sheet="1" objects="1" scenarios="1"/>
  <mergeCells count="313">
    <mergeCell ref="B114:AZ114"/>
    <mergeCell ref="B115:AZ115"/>
    <mergeCell ref="B116:AZ116"/>
    <mergeCell ref="B117:AZ117"/>
    <mergeCell ref="B118:AZ118"/>
    <mergeCell ref="B119:AZ119"/>
    <mergeCell ref="B108:AZ108"/>
    <mergeCell ref="B109:AZ109"/>
    <mergeCell ref="B110:AZ110"/>
    <mergeCell ref="B111:AZ111"/>
    <mergeCell ref="B112:AZ112"/>
    <mergeCell ref="B113:AZ113"/>
    <mergeCell ref="B102:AZ102"/>
    <mergeCell ref="B103:AZ103"/>
    <mergeCell ref="B104:AZ104"/>
    <mergeCell ref="B105:AZ105"/>
    <mergeCell ref="B106:AZ106"/>
    <mergeCell ref="B107:AZ107"/>
    <mergeCell ref="B93:AZ93"/>
    <mergeCell ref="B94:AZ94"/>
    <mergeCell ref="B95:AZ95"/>
    <mergeCell ref="B96:AZ96"/>
    <mergeCell ref="B98:AZ98"/>
    <mergeCell ref="B99:AZ99"/>
    <mergeCell ref="B87:AZ87"/>
    <mergeCell ref="B88:AZ88"/>
    <mergeCell ref="B89:AZ89"/>
    <mergeCell ref="B90:AZ90"/>
    <mergeCell ref="B91:AZ91"/>
    <mergeCell ref="B92:AZ92"/>
    <mergeCell ref="B81:AZ81"/>
    <mergeCell ref="B82:AZ82"/>
    <mergeCell ref="B83:AZ83"/>
    <mergeCell ref="B84:AZ84"/>
    <mergeCell ref="B85:AZ85"/>
    <mergeCell ref="B86:AZ86"/>
    <mergeCell ref="B77:G77"/>
    <mergeCell ref="H77:AY77"/>
    <mergeCell ref="B78:M78"/>
    <mergeCell ref="N78:Q78"/>
    <mergeCell ref="B79:AZ79"/>
    <mergeCell ref="B80:AZ80"/>
    <mergeCell ref="B75:G75"/>
    <mergeCell ref="H75:W75"/>
    <mergeCell ref="X75:AC75"/>
    <mergeCell ref="AD75:AY75"/>
    <mergeCell ref="B76:G76"/>
    <mergeCell ref="H76:W76"/>
    <mergeCell ref="X76:AC76"/>
    <mergeCell ref="AD76:AY76"/>
    <mergeCell ref="B73:G73"/>
    <mergeCell ref="H73:W73"/>
    <mergeCell ref="X73:AC73"/>
    <mergeCell ref="AD73:AY73"/>
    <mergeCell ref="B74:G74"/>
    <mergeCell ref="H74:AY74"/>
    <mergeCell ref="B69:G69"/>
    <mergeCell ref="H69:AY69"/>
    <mergeCell ref="B72:G72"/>
    <mergeCell ref="H72:W72"/>
    <mergeCell ref="X72:AC72"/>
    <mergeCell ref="AD72:AY72"/>
    <mergeCell ref="B66:G66"/>
    <mergeCell ref="H66:I66"/>
    <mergeCell ref="J66:T66"/>
    <mergeCell ref="V66:W66"/>
    <mergeCell ref="X66:AC66"/>
    <mergeCell ref="AD66:AY66"/>
    <mergeCell ref="B65:G65"/>
    <mergeCell ref="H65:I65"/>
    <mergeCell ref="J65:T65"/>
    <mergeCell ref="V65:W65"/>
    <mergeCell ref="X65:AC65"/>
    <mergeCell ref="AD65:AY65"/>
    <mergeCell ref="J63:M63"/>
    <mergeCell ref="O63:R63"/>
    <mergeCell ref="T63:W63"/>
    <mergeCell ref="B64:G64"/>
    <mergeCell ref="H64:I64"/>
    <mergeCell ref="J64:M64"/>
    <mergeCell ref="O64:R64"/>
    <mergeCell ref="T64:W64"/>
    <mergeCell ref="AR61:AS61"/>
    <mergeCell ref="AT61:AY61"/>
    <mergeCell ref="B62:G62"/>
    <mergeCell ref="H62:I62"/>
    <mergeCell ref="J62:M62"/>
    <mergeCell ref="O62:R62"/>
    <mergeCell ref="T62:W62"/>
    <mergeCell ref="Y62:AY64"/>
    <mergeCell ref="B63:G63"/>
    <mergeCell ref="H63:I63"/>
    <mergeCell ref="B59:G59"/>
    <mergeCell ref="H59:AY59"/>
    <mergeCell ref="B60:AY60"/>
    <mergeCell ref="B61:G61"/>
    <mergeCell ref="H61:I61"/>
    <mergeCell ref="J61:T61"/>
    <mergeCell ref="V61:W61"/>
    <mergeCell ref="X61:AC61"/>
    <mergeCell ref="AD61:AE61"/>
    <mergeCell ref="AF61:AP61"/>
    <mergeCell ref="DE57:DH57"/>
    <mergeCell ref="DJ57:DN57"/>
    <mergeCell ref="P58:Y58"/>
    <mergeCell ref="AK58:AT58"/>
    <mergeCell ref="BD58:BI58"/>
    <mergeCell ref="BK58:BP58"/>
    <mergeCell ref="BR58:BW58"/>
    <mergeCell ref="CG58:CP58"/>
    <mergeCell ref="DB58:DK58"/>
    <mergeCell ref="AN57:AQ57"/>
    <mergeCell ref="AS57:AW57"/>
    <mergeCell ref="CF57:CH57"/>
    <mergeCell ref="CJ57:CM57"/>
    <mergeCell ref="CO57:CS57"/>
    <mergeCell ref="DA57:DC57"/>
    <mergeCell ref="H56:M58"/>
    <mergeCell ref="AC56:AH58"/>
    <mergeCell ref="AX56:AY58"/>
    <mergeCell ref="BY56:CD58"/>
    <mergeCell ref="CT56:CY58"/>
    <mergeCell ref="DO56:DP58"/>
    <mergeCell ref="O57:Q57"/>
    <mergeCell ref="S57:V57"/>
    <mergeCell ref="X57:AB57"/>
    <mergeCell ref="AJ57:AL57"/>
    <mergeCell ref="CE53:CS55"/>
    <mergeCell ref="CT53:CY55"/>
    <mergeCell ref="CZ53:DB53"/>
    <mergeCell ref="DC53:DP53"/>
    <mergeCell ref="AI54:AY55"/>
    <mergeCell ref="CZ54:DP55"/>
    <mergeCell ref="H53:M55"/>
    <mergeCell ref="N53:AB55"/>
    <mergeCell ref="AC53:AH55"/>
    <mergeCell ref="AI53:AK53"/>
    <mergeCell ref="AL53:AY53"/>
    <mergeCell ref="BY53:CD55"/>
    <mergeCell ref="Q52:S52"/>
    <mergeCell ref="T52:AY52"/>
    <mergeCell ref="BY52:BZ52"/>
    <mergeCell ref="CA52:CG52"/>
    <mergeCell ref="CH52:CJ52"/>
    <mergeCell ref="CK52:DP52"/>
    <mergeCell ref="BY50:CA51"/>
    <mergeCell ref="CB50:CG51"/>
    <mergeCell ref="CH50:CJ51"/>
    <mergeCell ref="CK50:CR51"/>
    <mergeCell ref="CS50:CU51"/>
    <mergeCell ref="CV50:DP51"/>
    <mergeCell ref="BZ49:CB49"/>
    <mergeCell ref="CD49:CG49"/>
    <mergeCell ref="CH49:CJ49"/>
    <mergeCell ref="CK49:DP49"/>
    <mergeCell ref="H50:J51"/>
    <mergeCell ref="K50:P51"/>
    <mergeCell ref="Q50:S51"/>
    <mergeCell ref="T50:AA51"/>
    <mergeCell ref="AB50:AD51"/>
    <mergeCell ref="AE50:AY51"/>
    <mergeCell ref="B48:G58"/>
    <mergeCell ref="H48:J48"/>
    <mergeCell ref="K48:X48"/>
    <mergeCell ref="Y48:AY48"/>
    <mergeCell ref="I49:K49"/>
    <mergeCell ref="M49:P49"/>
    <mergeCell ref="Q49:S49"/>
    <mergeCell ref="T49:AY49"/>
    <mergeCell ref="H52:I52"/>
    <mergeCell ref="J52:P52"/>
    <mergeCell ref="CH46:CJ46"/>
    <mergeCell ref="CK46:DP46"/>
    <mergeCell ref="H47:I47"/>
    <mergeCell ref="J47:P47"/>
    <mergeCell ref="Q47:S47"/>
    <mergeCell ref="T47:AY47"/>
    <mergeCell ref="CK43:DP43"/>
    <mergeCell ref="I44:P44"/>
    <mergeCell ref="Q44:S44"/>
    <mergeCell ref="T44:AY44"/>
    <mergeCell ref="BY44:CA45"/>
    <mergeCell ref="CB44:CG45"/>
    <mergeCell ref="CH44:CJ45"/>
    <mergeCell ref="CK44:DP45"/>
    <mergeCell ref="H45:J46"/>
    <mergeCell ref="K45:P46"/>
    <mergeCell ref="B43:G47"/>
    <mergeCell ref="H43:J43"/>
    <mergeCell ref="K43:X43"/>
    <mergeCell ref="Y43:AY43"/>
    <mergeCell ref="BZ43:CG43"/>
    <mergeCell ref="CH43:CJ43"/>
    <mergeCell ref="Q45:S46"/>
    <mergeCell ref="T45:AY46"/>
    <mergeCell ref="BY46:BZ46"/>
    <mergeCell ref="CA46:CG46"/>
    <mergeCell ref="BR41:BW41"/>
    <mergeCell ref="B42:G42"/>
    <mergeCell ref="H42:I42"/>
    <mergeCell ref="J42:M42"/>
    <mergeCell ref="O42:R42"/>
    <mergeCell ref="T42:W42"/>
    <mergeCell ref="BD42:BI42"/>
    <mergeCell ref="BK42:BP42"/>
    <mergeCell ref="BR42:BW42"/>
    <mergeCell ref="BD40:BI40"/>
    <mergeCell ref="BK40:BP40"/>
    <mergeCell ref="BR40:BW40"/>
    <mergeCell ref="B41:G41"/>
    <mergeCell ref="H41:I41"/>
    <mergeCell ref="J41:M41"/>
    <mergeCell ref="O41:R41"/>
    <mergeCell ref="T41:W41"/>
    <mergeCell ref="BD41:BI41"/>
    <mergeCell ref="BK41:BP41"/>
    <mergeCell ref="B40:G40"/>
    <mergeCell ref="H40:I40"/>
    <mergeCell ref="J40:M40"/>
    <mergeCell ref="O40:R40"/>
    <mergeCell ref="T40:W40"/>
    <mergeCell ref="Y40:AY42"/>
    <mergeCell ref="B37:G37"/>
    <mergeCell ref="H37:L37"/>
    <mergeCell ref="M37:AD37"/>
    <mergeCell ref="B38:G39"/>
    <mergeCell ref="H38:K39"/>
    <mergeCell ref="L38:U39"/>
    <mergeCell ref="V38:V39"/>
    <mergeCell ref="W38:X39"/>
    <mergeCell ref="Y38:AC39"/>
    <mergeCell ref="R31:V31"/>
    <mergeCell ref="C33:G33"/>
    <mergeCell ref="H33:Z33"/>
    <mergeCell ref="AB33:AY33"/>
    <mergeCell ref="B34:AY34"/>
    <mergeCell ref="B36:G36"/>
    <mergeCell ref="AE36:AI36"/>
    <mergeCell ref="AJ36:AY36"/>
    <mergeCell ref="AC25:AY26"/>
    <mergeCell ref="C27:G29"/>
    <mergeCell ref="W27:AY32"/>
    <mergeCell ref="I28:K28"/>
    <mergeCell ref="M28:P28"/>
    <mergeCell ref="R28:V28"/>
    <mergeCell ref="J29:S29"/>
    <mergeCell ref="C30:G32"/>
    <mergeCell ref="I31:K31"/>
    <mergeCell ref="M31:P31"/>
    <mergeCell ref="AC21:AY22"/>
    <mergeCell ref="B23:G23"/>
    <mergeCell ref="H23:L23"/>
    <mergeCell ref="W23:AY23"/>
    <mergeCell ref="B24:B33"/>
    <mergeCell ref="C24:G26"/>
    <mergeCell ref="H24:V26"/>
    <mergeCell ref="W24:AB26"/>
    <mergeCell ref="AC24:AE24"/>
    <mergeCell ref="AF24:AY24"/>
    <mergeCell ref="T17:AY18"/>
    <mergeCell ref="H19:I19"/>
    <mergeCell ref="J19:P19"/>
    <mergeCell ref="Q19:S19"/>
    <mergeCell ref="T19:AY19"/>
    <mergeCell ref="B20:G22"/>
    <mergeCell ref="H20:V22"/>
    <mergeCell ref="W20:AB22"/>
    <mergeCell ref="AC20:AE20"/>
    <mergeCell ref="AF20:AY20"/>
    <mergeCell ref="B15:G19"/>
    <mergeCell ref="H15:J15"/>
    <mergeCell ref="K15:X15"/>
    <mergeCell ref="Y15:AY15"/>
    <mergeCell ref="I16:P16"/>
    <mergeCell ref="Q16:S16"/>
    <mergeCell ref="T16:AY16"/>
    <mergeCell ref="H17:J18"/>
    <mergeCell ref="K17:P18"/>
    <mergeCell ref="Q17:S18"/>
    <mergeCell ref="BK13:BP13"/>
    <mergeCell ref="H14:I14"/>
    <mergeCell ref="J14:P14"/>
    <mergeCell ref="Q14:S14"/>
    <mergeCell ref="T14:AY14"/>
    <mergeCell ref="BK14:BP14"/>
    <mergeCell ref="B11:G14"/>
    <mergeCell ref="I11:P11"/>
    <mergeCell ref="Q11:S11"/>
    <mergeCell ref="T11:AY11"/>
    <mergeCell ref="H12:J13"/>
    <mergeCell ref="K12:P13"/>
    <mergeCell ref="Q12:S13"/>
    <mergeCell ref="T12:AY13"/>
    <mergeCell ref="AJ7:AN7"/>
    <mergeCell ref="AO7:AY7"/>
    <mergeCell ref="BD7:BI7"/>
    <mergeCell ref="BK7:BP7"/>
    <mergeCell ref="B8:G10"/>
    <mergeCell ref="H8:J8"/>
    <mergeCell ref="K8:AT8"/>
    <mergeCell ref="AU8:AY10"/>
    <mergeCell ref="H9:AT10"/>
    <mergeCell ref="BK10:BP10"/>
    <mergeCell ref="B1:AY4"/>
    <mergeCell ref="B5:H5"/>
    <mergeCell ref="I5:X5"/>
    <mergeCell ref="Y5:AE5"/>
    <mergeCell ref="AF5:AR5"/>
    <mergeCell ref="B7:G7"/>
    <mergeCell ref="H7:I7"/>
    <mergeCell ref="J7:M7"/>
    <mergeCell ref="O7:R7"/>
    <mergeCell ref="T7:W7"/>
  </mergeCells>
  <phoneticPr fontId="3"/>
  <conditionalFormatting sqref="H47">
    <cfRule type="expression" priority="52">
      <formula>$H$40="□"</formula>
    </cfRule>
    <cfRule type="expression" dxfId="80" priority="53">
      <formula>$H$40="■"</formula>
    </cfRule>
  </conditionalFormatting>
  <conditionalFormatting sqref="H44:AY44 H47:AY47">
    <cfRule type="expression" priority="54">
      <formula>$H$43="□"</formula>
    </cfRule>
    <cfRule type="expression" dxfId="79" priority="55">
      <formula>$H$43="■"</formula>
    </cfRule>
  </conditionalFormatting>
  <conditionalFormatting sqref="H44:AY47">
    <cfRule type="expression" dxfId="78" priority="51">
      <formula>$H$43="■"</formula>
    </cfRule>
  </conditionalFormatting>
  <conditionalFormatting sqref="B65 AD65 B62:AY64 B61:H61 J61:AY61 B38:H38 B39:G39 L38 V38:W38 Y38 B43:AY47 B60:AY60 B40:X42 C67:AY67 B68:AY69 AD38:AY39">
    <cfRule type="expression" dxfId="77" priority="50">
      <formula>#REF!="■"</formula>
    </cfRule>
  </conditionalFormatting>
  <conditionalFormatting sqref="B43:G47">
    <cfRule type="expression" dxfId="76" priority="49">
      <formula>$H$43="■"</formula>
    </cfRule>
  </conditionalFormatting>
  <conditionalFormatting sqref="X65:AC65">
    <cfRule type="expression" dxfId="75" priority="48">
      <formula>#REF!="■"</formula>
    </cfRule>
  </conditionalFormatting>
  <conditionalFormatting sqref="H65">
    <cfRule type="expression" dxfId="74" priority="47">
      <formula>#REF!="■"</formula>
    </cfRule>
  </conditionalFormatting>
  <conditionalFormatting sqref="V65:W65">
    <cfRule type="expression" dxfId="73" priority="46">
      <formula>#REF!="■"</formula>
    </cfRule>
  </conditionalFormatting>
  <conditionalFormatting sqref="U65">
    <cfRule type="expression" dxfId="72" priority="45">
      <formula>#REF!="■"</formula>
    </cfRule>
  </conditionalFormatting>
  <conditionalFormatting sqref="H19">
    <cfRule type="expression" priority="43">
      <formula>$H$40="□"</formula>
    </cfRule>
    <cfRule type="expression" dxfId="71" priority="44">
      <formula>$H$40="■"</formula>
    </cfRule>
  </conditionalFormatting>
  <conditionalFormatting sqref="B15:AY19">
    <cfRule type="expression" dxfId="70" priority="42">
      <formula>#REF!="■"</formula>
    </cfRule>
  </conditionalFormatting>
  <conditionalFormatting sqref="X66:AC66">
    <cfRule type="expression" dxfId="69" priority="41">
      <formula>#REF!="■"</formula>
    </cfRule>
  </conditionalFormatting>
  <conditionalFormatting sqref="V66:W66">
    <cfRule type="expression" dxfId="68" priority="40">
      <formula>#REF!="■"</formula>
    </cfRule>
  </conditionalFormatting>
  <conditionalFormatting sqref="U66">
    <cfRule type="expression" dxfId="67" priority="39">
      <formula>#REF!="■"</formula>
    </cfRule>
  </conditionalFormatting>
  <conditionalFormatting sqref="H23">
    <cfRule type="expression" priority="37">
      <formula>$H$40="□"</formula>
    </cfRule>
    <cfRule type="expression" dxfId="66" priority="38">
      <formula>$H$40="■"</formula>
    </cfRule>
  </conditionalFormatting>
  <conditionalFormatting sqref="B23 H23 M23:W23">
    <cfRule type="expression" dxfId="65" priority="36">
      <formula>#REF!="■"</formula>
    </cfRule>
  </conditionalFormatting>
  <conditionalFormatting sqref="B66">
    <cfRule type="expression" dxfId="64" priority="35">
      <formula>#REF!="■"</formula>
    </cfRule>
  </conditionalFormatting>
  <conditionalFormatting sqref="H66">
    <cfRule type="expression" dxfId="63" priority="34">
      <formula>#REF!="■"</formula>
    </cfRule>
  </conditionalFormatting>
  <conditionalFormatting sqref="H52">
    <cfRule type="expression" priority="31">
      <formula>$H$35="□"</formula>
    </cfRule>
    <cfRule type="expression" dxfId="62" priority="32">
      <formula>$H$35="■"</formula>
    </cfRule>
  </conditionalFormatting>
  <conditionalFormatting sqref="H52:AY52 H50:P51 B48 H48:AY48 H49 Q49:AY49">
    <cfRule type="expression" dxfId="61" priority="30">
      <formula>$M$31="■"</formula>
    </cfRule>
  </conditionalFormatting>
  <conditionalFormatting sqref="H49 B48 H52:AY52 Q49:AY49">
    <cfRule type="expression" priority="33">
      <formula>$H$43="□"</formula>
    </cfRule>
  </conditionalFormatting>
  <conditionalFormatting sqref="B48:AY58">
    <cfRule type="expression" dxfId="60" priority="29">
      <formula>$M$31="■"</formula>
    </cfRule>
  </conditionalFormatting>
  <conditionalFormatting sqref="B15 H19:AY19 M23:W23 H16:AY16 H23">
    <cfRule type="expression" priority="56">
      <formula>#REF!="□"</formula>
    </cfRule>
  </conditionalFormatting>
  <conditionalFormatting sqref="M23:W23 B23 H16:AY19 B15:G19 H23">
    <cfRule type="expression" dxfId="59" priority="57">
      <formula>#REF!="■"</formula>
    </cfRule>
  </conditionalFormatting>
  <conditionalFormatting sqref="BY46">
    <cfRule type="expression" priority="25">
      <formula>$H$40="□"</formula>
    </cfRule>
    <cfRule type="expression" dxfId="58" priority="26">
      <formula>$H$40="■"</formula>
    </cfRule>
  </conditionalFormatting>
  <conditionalFormatting sqref="BY43:DP46">
    <cfRule type="expression" dxfId="57" priority="24">
      <formula>#REF!="■"</formula>
    </cfRule>
  </conditionalFormatting>
  <conditionalFormatting sqref="BY46:DP46 BY43:DP43">
    <cfRule type="expression" priority="27">
      <formula>#REF!="□"</formula>
    </cfRule>
  </conditionalFormatting>
  <conditionalFormatting sqref="BY43:DP46">
    <cfRule type="expression" dxfId="56" priority="28">
      <formula>#REF!="■"</formula>
    </cfRule>
  </conditionalFormatting>
  <conditionalFormatting sqref="BY59:DP59">
    <cfRule type="expression" dxfId="55" priority="22">
      <formula>$M$31="■"</formula>
    </cfRule>
  </conditionalFormatting>
  <conditionalFormatting sqref="BY59:DP59">
    <cfRule type="expression" dxfId="54" priority="23">
      <formula>$H$43="■"</formula>
    </cfRule>
  </conditionalFormatting>
  <conditionalFormatting sqref="Y40:AY42">
    <cfRule type="expression" dxfId="53" priority="21">
      <formula>#REF!="■"</formula>
    </cfRule>
  </conditionalFormatting>
  <conditionalFormatting sqref="B48:G58 H49:AY58">
    <cfRule type="expression" dxfId="52" priority="20">
      <formula>$H$48="■"</formula>
    </cfRule>
  </conditionalFormatting>
  <conditionalFormatting sqref="B59">
    <cfRule type="expression" dxfId="51" priority="19">
      <formula>#REF!="■"</formula>
    </cfRule>
  </conditionalFormatting>
  <conditionalFormatting sqref="H59:I59">
    <cfRule type="expression" dxfId="50" priority="18">
      <formula>$H$48="■"</formula>
    </cfRule>
  </conditionalFormatting>
  <conditionalFormatting sqref="B22:AB22 B20:AF20 B21:AC21">
    <cfRule type="expression" dxfId="49" priority="17">
      <formula>$M$28="■"</formula>
    </cfRule>
  </conditionalFormatting>
  <conditionalFormatting sqref="B22:AB22 B20:AF20 B21:AC21">
    <cfRule type="expression" dxfId="48" priority="16">
      <formula>$H$45="■"</formula>
    </cfRule>
  </conditionalFormatting>
  <conditionalFormatting sqref="AD66">
    <cfRule type="expression" dxfId="47" priority="15">
      <formula>#REF!="■"</formula>
    </cfRule>
  </conditionalFormatting>
  <conditionalFormatting sqref="BY49:DP52 CE56:DP58 BY53:CD55">
    <cfRule type="expression" dxfId="46" priority="7">
      <formula>$M$31="■"</formula>
    </cfRule>
  </conditionalFormatting>
  <conditionalFormatting sqref="BY52">
    <cfRule type="expression" priority="11">
      <formula>$H$35="□"</formula>
    </cfRule>
    <cfRule type="expression" dxfId="45" priority="12">
      <formula>$H$35="■"</formula>
    </cfRule>
  </conditionalFormatting>
  <conditionalFormatting sqref="BY52:DP52 BY50:CG51 BY49 CH49:DP49">
    <cfRule type="expression" dxfId="44" priority="10">
      <formula>$M$31="■"</formula>
    </cfRule>
  </conditionalFormatting>
  <conditionalFormatting sqref="BY49 BY52:DP52 CH49:DP49">
    <cfRule type="expression" priority="14">
      <formula>$H$43="□"</formula>
    </cfRule>
  </conditionalFormatting>
  <conditionalFormatting sqref="BY49 BY52:DP52 BY50:CG51 CH49:DP49">
    <cfRule type="expression" dxfId="43" priority="13">
      <formula>$H$43="■"</formula>
    </cfRule>
  </conditionalFormatting>
  <conditionalFormatting sqref="BZ49:CG49 CH50:DP51 CE56:DP58">
    <cfRule type="expression" dxfId="42" priority="9">
      <formula>$H$43="■"</formula>
    </cfRule>
  </conditionalFormatting>
  <conditionalFormatting sqref="BY53:CD55">
    <cfRule type="expression" dxfId="41" priority="8">
      <formula>$H$43="■"</formula>
    </cfRule>
  </conditionalFormatting>
  <conditionalFormatting sqref="BY56:CD58">
    <cfRule type="expression" dxfId="40" priority="5">
      <formula>$M$31="■"</formula>
    </cfRule>
  </conditionalFormatting>
  <conditionalFormatting sqref="BY56:CD58">
    <cfRule type="expression" dxfId="39" priority="6">
      <formula>$H$43="■"</formula>
    </cfRule>
  </conditionalFormatting>
  <conditionalFormatting sqref="B67">
    <cfRule type="expression" dxfId="38" priority="4">
      <formula>#REF!="■"</formula>
    </cfRule>
  </conditionalFormatting>
  <dataValidations count="20">
    <dataValidation imeMode="disabled" allowBlank="1" sqref="L49 CC49" xr:uid="{47652391-38FD-4F3C-9F79-CE5C2BA06BFB}"/>
    <dataValidation type="whole" imeMode="disabled" allowBlank="1" sqref="I49:K49 BZ49:CB49" xr:uid="{B9F164B4-C459-4A97-A6D0-6DEC9DA60127}">
      <formula1>0</formula1>
      <formula2>999</formula2>
    </dataValidation>
    <dataValidation type="whole" imeMode="disabled" allowBlank="1" sqref="M49:P49 CD49:CG49" xr:uid="{226E31CB-8679-4D9F-959D-E0E42088091B}">
      <formula1>0</formula1>
      <formula2>9999</formula2>
    </dataValidation>
    <dataValidation imeMode="fullKatakana" allowBlank="1" showInputMessage="1" showErrorMessage="1" sqref="AL53:AY53 AF20 DC53:DP53" xr:uid="{ECA9E1E9-50E4-4B67-A288-5509A3EB224F}"/>
    <dataValidation imeMode="hiragana" allowBlank="1" showInputMessage="1" promptTitle="市区町村入力" prompt="市区町村を全角で入力してください。_x000a_(注)市区町村名について以下の情報のみ入力願います。_x000a_・東京都２３区の場合『○○区』_x000a_・政令指定都市の場合『○○市◆◆区』_x000a_・上記以外の場合『○○市』_x000a_郡の場合『○○郡◆◆町』または『○○郡◆◆村』" sqref="T50:AA51 CK50:CR51" xr:uid="{F205994C-5B5E-431F-B244-3290BC64FAC3}"/>
    <dataValidation showDropDown="1" showErrorMessage="1" errorTitle="都道府県名入力" error="右側▼を押して、リストより選択してください。" promptTitle="都道府県名入力" prompt="右側▼を押して、リストより選択してください。" sqref="CB50:CG51" xr:uid="{F3F88660-DF44-4675-9EFC-92B8F5973072}"/>
    <dataValidation type="list" allowBlank="1" showInputMessage="1" showErrorMessage="1" sqref="H14:H15 X36 H43 BY52 H38 BY46 AD61 H19 H65:H66 H61 T36 I36 P36 L36 H47:H48 H52" xr:uid="{32256518-66BD-4A1E-8528-CF180B8D57A6}">
      <formula1>"□,■"</formula1>
    </dataValidation>
    <dataValidation type="textLength" imeMode="disabled" allowBlank="1" showInputMessage="1" showErrorMessage="1" error="数字を入力してください。" sqref="R28:V28 M31:P31 I31:K31 R31:V31 I28:K28 M28:P28 X57:AB57 O57:Q57 S57:V57 AS57:AW57 AJ57:AL57 AN57:AQ57 CO57:CS57 CF57:CH57 CJ57:CM57 DJ57:DN57 DA57:DC57 DE57:DH57" xr:uid="{81FC8F6E-6A39-470D-BF2C-8999060D1BBE}">
      <formula1>0</formula1>
      <formula2>99999</formula2>
    </dataValidation>
    <dataValidation type="whole" allowBlank="1" showInputMessage="1" showErrorMessage="1" errorTitle="入力エラー" error="7桁の番号を入力してください。_x000a_（&quot;-&quot; は不要）" promptTitle="郵便番号入力" prompt="7桁の番号を入力してください。_x000a_（&quot;-&quot; は不要）" sqref="I44:P44 I11:P11 I16:P16 BZ43:CG43" xr:uid="{2741067E-AB2B-4771-A76F-757927FC9154}">
      <formula1>0</formula1>
      <formula2>9999999</formula2>
    </dataValidation>
    <dataValidation imeMode="fullKatakana" allowBlank="1" showInputMessage="1" showErrorMessage="1" errorTitle="入力エラー" error="カタカナを入力してください" sqref="CK49:DP49 T44:AY44 AF24:AY24 T11:AY11 T16:AY16 CK43:DP43 T49:AY49 K8 AU8" xr:uid="{01A548E5-FAD4-41F6-95E0-3F399168B217}"/>
    <dataValidation type="custom" imeMode="disabled" allowBlank="1" showInputMessage="1" showErrorMessage="1" errorTitle="入力エラー" error="半角英数字にて入力してください。" sqref="H33:Z33" xr:uid="{4A2371B9-90FD-41D8-A8CD-5504DC4E42D5}">
      <formula1>LEN($H$33)=LENB($H$33)</formula1>
    </dataValidation>
    <dataValidation type="whole" imeMode="disabled" allowBlank="1" showErrorMessage="1" errorTitle="入力エラー" error="西暦を半角数字で入力してください" promptTitle="AP配送希望日の入力について" prompt="申込受領日の翌日から起算し、4営業日以降で記載してください。_x000a__x000a_※北海道、九州へのAP配送は、＋1営業日必要です。_x000a_※全県の諸島部への配送は、＋3営業日必要です。_x000a_※AP配送日は、申込日から最大3ヶ月先まで指定可能です。_x000a_※土日祝は指定できません。" sqref="J7:M7 J40:M42 J62:M64" xr:uid="{8EDA791F-9441-41FA-A521-B2C989EBC984}">
      <formula1>2000</formula1>
      <formula2>2100</formula2>
    </dataValidation>
    <dataValidation type="whole" imeMode="disabled" allowBlank="1" showErrorMessage="1" errorTitle="入力エラー" error="1～12 の半角数字を入力してください" promptTitle="AP配送希望日の入力について" prompt="申込受領日の翌日から起算し、4営業日以降で記載してください。_x000a__x000a_※北海道、九州へのAP配送は、＋1営業日必要です。_x000a_※全県の諸島部への配送は、＋3営業日必要です。_x000a_※AP配送日は、申込日から最大3ヶ月先まで指定可能です。_x000a_※土日祝は指定できません。" sqref="O40:R42 O7:R7 O62:R64" xr:uid="{ECA46A94-481D-4708-AA63-37E9936F6642}">
      <formula1>1</formula1>
      <formula2>12</formula2>
    </dataValidation>
    <dataValidation type="custom" imeMode="disabled" allowBlank="1" showErrorMessage="1" errorTitle="入力エラー" error="POE送付希望日は、申込受領日の翌日から起算し、4営業日以降で記載してください。_x000a_　　　　　※北海道、九州へのPOE配送は、＋1営業日必要です。_x000a_　　　　　※全県の諸島部への配送は、＋3営業日必要です。_x000a_　　　　　※POE配送日は、申込日から最大3ヶ月先まで指定可能です。_x000a_　　　　　※土日祝は指定できません。" sqref="T62:W62" xr:uid="{05B091BB-C611-471F-B730-2A0AA6B561B5}">
      <formula1>BJ58="○"</formula1>
    </dataValidation>
    <dataValidation imeMode="disabled" allowBlank="1" showErrorMessage="1" errorTitle="入力エラー" error="POE廃止・減少希望日は、POE送付希望日の翌々営業日以降で記載してください。" sqref="T64:W64" xr:uid="{306CE0F8-C23A-43D6-923F-F7DDF684C784}"/>
    <dataValidation imeMode="disabled" allowBlank="1" showErrorMessage="1" errorTitle="入力エラー" error="POE開通希望日は、POE送付希望日の翌々営業日以降で記載してください。" sqref="T63:W63" xr:uid="{9143518B-6024-40A7-B066-A3A7A2BA81DD}"/>
    <dataValidation type="whole" imeMode="disabled" allowBlank="1" showErrorMessage="1" errorTitle="入力エラー" error="1～31 の半角数字を入力してください" promptTitle="AP配送希望日の入力について" prompt="申込受領日の翌日から起算し、4営業日以降で記載してください。_x000a__x000a_※北海道、九州へのAP配送は、＋1営業日必要です。_x000a_※全県の諸島部への配送は、＋3営業日必要です。_x000a_※AP配送日は、申込日から最大3ヶ月先まで指定可能です。_x000a_※土日祝は指定できません。" sqref="T7:W7 T40:W42" xr:uid="{98C093F3-0EBF-43C0-9FDF-29F002DD6A32}">
      <formula1>1</formula1>
      <formula2>31</formula2>
    </dataValidation>
    <dataValidation imeMode="disabled" allowBlank="1" showInputMessage="1" showErrorMessage="1" sqref="AJ36:AY36 M37:AD37" xr:uid="{D563A1C0-7DD1-4553-A429-9D2718FCDCB1}"/>
    <dataValidation type="custom" imeMode="disabled" allowBlank="1" showInputMessage="1" showErrorMessage="1" sqref="AB33:AY33" xr:uid="{E1621AA8-E879-41E5-956A-CD3F24CEB40B}">
      <formula1>LEN($AB$33)=LENB($AB$33)</formula1>
    </dataValidation>
    <dataValidation imeMode="hiragana" allowBlank="1" showInputMessage="1" promptTitle="市区町村番地入力" prompt="市区町村・番地を全角で入力してください。" sqref="T12:AY13 T45:AY46 T17:AY18 CK44:DP45" xr:uid="{9C86B3BA-1C37-4437-9ABF-1A10B3DCB18D}"/>
  </dataValidations>
  <pageMargins left="0.23622047244094491" right="0.23622047244094491" top="0.74803149606299213" bottom="0.74803149606299213" header="0.31496062992125984" footer="0.31496062992125984"/>
  <pageSetup paperSize="9" scale="53" fitToHeight="3" orientation="portrait" r:id="rId1"/>
  <rowBreaks count="3" manualBreakCount="3">
    <brk id="78" max="51" man="1"/>
    <brk id="97" max="51" man="1"/>
    <brk id="115" max="51" man="1"/>
  </rowBreak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D9927CEC-BABF-4C75-9B7A-123BDD8790DB}">
            <xm:f>本紙!$S$9="移転・契約情報変更・設定変更申込"</xm:f>
            <x14:dxf>
              <fill>
                <patternFill>
                  <bgColor theme="1" tint="0.499984740745262"/>
                </patternFill>
              </fill>
            </x14:dxf>
          </x14:cfRule>
          <x14:cfRule type="expression" priority="2" id="{CF116B4B-7952-490B-A491-EFA6699B9AFF}">
            <xm:f>本紙!$S$9="新規・追加・減少・廃止申込(月額支払い型)"</xm:f>
            <x14:dxf>
              <fill>
                <patternFill>
                  <bgColor theme="1" tint="0.499984740745262"/>
                </patternFill>
              </fill>
            </x14:dxf>
          </x14:cfRule>
          <x14:cfRule type="expression" priority="3" id="{C9B0B9DE-FD17-4A0B-97BD-02B82BFEA368}">
            <xm:f>本紙!$S$9="■選択して下さい■"</xm:f>
            <x14:dxf>
              <fill>
                <patternFill>
                  <bgColor theme="1" tint="0.499984740745262"/>
                </patternFill>
              </fill>
            </x14:dxf>
          </x14:cfRule>
          <xm:sqref>A1:AZ119</xm:sqref>
        </x14:conditionalFormatting>
      </x14:conditionalFormattings>
    </ext>
    <ext xmlns:x14="http://schemas.microsoft.com/office/spreadsheetml/2009/9/main" uri="{CCE6A557-97BC-4b89-ADB6-D9C93CAAB3DF}">
      <x14:dataValidations xmlns:xm="http://schemas.microsoft.com/office/excel/2006/main" count="1">
        <x14:dataValidation type="custom" allowBlank="1" showInputMessage="1" showErrorMessage="1" errorTitle="注文内容相違" error="背景がグレーの場合は使用できません。_x000a_本紙の注文内容をご確認ください。_x000a_複数の異なる注文を依頼する場合は_x000a_ファイルを新たに使用してください。" xr:uid="{2C72281E-F24E-48EF-B837-9A35DA7D8A4C}">
          <x14:formula1>
            <xm:f>本紙!$S$9="新規・追加・減少・廃止申込（補助金対応型）"</xm:f>
          </x14:formula1>
          <xm:sqref>M23:V23 H9:AT10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E09D1-15B6-44DD-B3BD-C08597145B72}">
  <sheetPr>
    <pageSetUpPr fitToPage="1"/>
  </sheetPr>
  <dimension ref="A1:BC72"/>
  <sheetViews>
    <sheetView view="pageBreakPreview" zoomScale="85" zoomScaleNormal="70" zoomScaleSheetLayoutView="85" workbookViewId="0">
      <selection activeCell="S12" sqref="S12:AX14"/>
    </sheetView>
  </sheetViews>
  <sheetFormatPr defaultColWidth="2.19921875" defaultRowHeight="13.2" x14ac:dyDescent="0.45"/>
  <cols>
    <col min="1" max="16384" width="2.19921875" style="481"/>
  </cols>
  <sheetData>
    <row r="1" spans="1:55" s="24" customFormat="1" ht="6.75" customHeight="1" x14ac:dyDescent="0.45">
      <c r="A1" s="362"/>
      <c r="B1" s="478" t="s">
        <v>211</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362"/>
      <c r="BA1" s="362"/>
      <c r="BB1" s="362"/>
      <c r="BC1" s="362"/>
    </row>
    <row r="2" spans="1:55" s="24" customFormat="1" ht="6.75" customHeight="1" x14ac:dyDescent="0.45">
      <c r="A2" s="36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362"/>
      <c r="BA2" s="362"/>
      <c r="BB2" s="362"/>
      <c r="BC2" s="362"/>
    </row>
    <row r="3" spans="1:55" s="24" customFormat="1" ht="6.75" customHeight="1" x14ac:dyDescent="0.45">
      <c r="A3" s="36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362"/>
      <c r="BA3" s="362"/>
      <c r="BB3" s="362"/>
      <c r="BC3" s="362"/>
    </row>
    <row r="4" spans="1:55" s="24" customFormat="1" ht="19.5" customHeight="1" x14ac:dyDescent="0.45">
      <c r="A4" s="36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362"/>
      <c r="BA4" s="362"/>
      <c r="BB4" s="362"/>
      <c r="BC4" s="362"/>
    </row>
    <row r="5" spans="1:55" x14ac:dyDescent="0.45">
      <c r="A5" s="479"/>
      <c r="B5" s="479"/>
      <c r="C5" s="479"/>
      <c r="D5" s="479"/>
      <c r="E5" s="479"/>
      <c r="F5" s="479"/>
      <c r="G5" s="479"/>
      <c r="H5" s="479"/>
      <c r="I5" s="479"/>
      <c r="J5" s="479"/>
      <c r="K5" s="479"/>
      <c r="L5" s="479"/>
      <c r="M5" s="479"/>
      <c r="N5" s="479"/>
      <c r="O5" s="479"/>
      <c r="P5" s="479"/>
      <c r="Q5" s="479"/>
      <c r="R5" s="479"/>
      <c r="S5" s="479"/>
      <c r="T5" s="479"/>
      <c r="U5" s="479"/>
      <c r="V5" s="479"/>
      <c r="W5" s="479"/>
      <c r="X5" s="479"/>
      <c r="Y5" s="479"/>
      <c r="Z5" s="479"/>
      <c r="AA5" s="479"/>
      <c r="AB5" s="479"/>
      <c r="AC5" s="479"/>
      <c r="AD5" s="479"/>
      <c r="AE5" s="479"/>
      <c r="AF5" s="479"/>
      <c r="AG5" s="479"/>
      <c r="AH5" s="479"/>
      <c r="AI5" s="479"/>
      <c r="AJ5" s="479"/>
      <c r="AK5" s="479"/>
      <c r="AL5" s="479"/>
      <c r="AM5" s="479"/>
      <c r="AN5" s="479"/>
      <c r="AO5" s="480"/>
      <c r="AP5" s="479"/>
      <c r="AQ5" s="480"/>
      <c r="AR5" s="362"/>
      <c r="AS5" s="362"/>
      <c r="AT5" s="362"/>
      <c r="AU5" s="479"/>
      <c r="AV5" s="479"/>
      <c r="AW5" s="479"/>
      <c r="AX5" s="479"/>
      <c r="AY5" s="479"/>
      <c r="AZ5" s="479"/>
      <c r="BA5" s="479"/>
      <c r="BB5" s="479"/>
      <c r="BC5" s="479"/>
    </row>
    <row r="6" spans="1:55" ht="13.5" customHeight="1" x14ac:dyDescent="0.45">
      <c r="A6" s="479"/>
      <c r="B6" s="482" t="s">
        <v>212</v>
      </c>
      <c r="C6" s="483"/>
      <c r="D6" s="483"/>
      <c r="E6" s="483"/>
      <c r="F6" s="483"/>
      <c r="G6" s="483"/>
      <c r="H6" s="483"/>
      <c r="I6" s="483"/>
      <c r="J6" s="483"/>
      <c r="K6" s="483"/>
      <c r="L6" s="483"/>
      <c r="M6" s="483"/>
      <c r="N6" s="483"/>
      <c r="O6" s="483"/>
      <c r="P6" s="483"/>
      <c r="Q6" s="483"/>
      <c r="R6" s="483"/>
      <c r="S6" s="483"/>
      <c r="T6" s="483"/>
      <c r="U6" s="483"/>
      <c r="V6" s="483"/>
      <c r="W6" s="483"/>
      <c r="X6" s="483"/>
      <c r="Y6" s="483"/>
      <c r="Z6" s="483"/>
      <c r="AA6" s="483"/>
      <c r="AB6" s="483"/>
      <c r="AC6" s="483"/>
      <c r="AD6" s="483"/>
      <c r="AE6" s="483"/>
      <c r="AF6" s="483"/>
      <c r="AG6" s="483"/>
      <c r="AH6" s="483"/>
      <c r="AI6" s="483"/>
      <c r="AJ6" s="483"/>
      <c r="AK6" s="483"/>
      <c r="AL6" s="483"/>
      <c r="AM6" s="483"/>
      <c r="AN6" s="483"/>
      <c r="AO6" s="483"/>
      <c r="AP6" s="483"/>
      <c r="AQ6" s="483"/>
      <c r="AR6" s="483"/>
      <c r="AS6" s="483"/>
      <c r="AT6" s="483"/>
      <c r="AU6" s="483"/>
      <c r="AV6" s="483"/>
      <c r="AW6" s="483"/>
      <c r="AX6" s="483"/>
      <c r="AY6" s="484"/>
      <c r="AZ6" s="479"/>
      <c r="BA6" s="479"/>
      <c r="BB6" s="479"/>
      <c r="BC6" s="479"/>
    </row>
    <row r="7" spans="1:55" x14ac:dyDescent="0.45">
      <c r="A7" s="479"/>
      <c r="B7" s="485"/>
      <c r="C7" s="478"/>
      <c r="D7" s="478"/>
      <c r="E7" s="478"/>
      <c r="F7" s="478"/>
      <c r="G7" s="478"/>
      <c r="H7" s="478"/>
      <c r="I7" s="478"/>
      <c r="J7" s="478"/>
      <c r="K7" s="478"/>
      <c r="L7" s="478"/>
      <c r="M7" s="478"/>
      <c r="N7" s="478"/>
      <c r="O7" s="478"/>
      <c r="P7" s="478"/>
      <c r="Q7" s="478"/>
      <c r="R7" s="478"/>
      <c r="S7" s="478"/>
      <c r="T7" s="478"/>
      <c r="U7" s="478"/>
      <c r="V7" s="478"/>
      <c r="W7" s="478"/>
      <c r="X7" s="478"/>
      <c r="Y7" s="478"/>
      <c r="Z7" s="478"/>
      <c r="AA7" s="478"/>
      <c r="AB7" s="478"/>
      <c r="AC7" s="478"/>
      <c r="AD7" s="478"/>
      <c r="AE7" s="478"/>
      <c r="AF7" s="478"/>
      <c r="AG7" s="478"/>
      <c r="AH7" s="478"/>
      <c r="AI7" s="478"/>
      <c r="AJ7" s="478"/>
      <c r="AK7" s="478"/>
      <c r="AL7" s="478"/>
      <c r="AM7" s="478"/>
      <c r="AN7" s="478"/>
      <c r="AO7" s="478"/>
      <c r="AP7" s="478"/>
      <c r="AQ7" s="478"/>
      <c r="AR7" s="478"/>
      <c r="AS7" s="478"/>
      <c r="AT7" s="478"/>
      <c r="AU7" s="478"/>
      <c r="AV7" s="478"/>
      <c r="AW7" s="478"/>
      <c r="AX7" s="478"/>
      <c r="AY7" s="486"/>
      <c r="AZ7" s="479"/>
      <c r="BA7" s="479"/>
      <c r="BB7" s="479"/>
      <c r="BC7" s="479"/>
    </row>
    <row r="8" spans="1:55" ht="12.75" customHeight="1" x14ac:dyDescent="0.45">
      <c r="A8" s="479"/>
      <c r="B8" s="487" t="s">
        <v>213</v>
      </c>
      <c r="C8" s="488"/>
      <c r="D8" s="488"/>
      <c r="E8" s="488"/>
      <c r="F8" s="488"/>
      <c r="G8" s="488"/>
      <c r="H8" s="488"/>
      <c r="I8" s="488"/>
      <c r="J8" s="488"/>
      <c r="K8" s="488"/>
      <c r="L8" s="488"/>
      <c r="M8" s="488"/>
      <c r="N8" s="488"/>
      <c r="O8" s="488"/>
      <c r="P8" s="488"/>
      <c r="Q8" s="488"/>
      <c r="R8" s="488"/>
      <c r="S8" s="488"/>
      <c r="T8" s="488"/>
      <c r="U8" s="488"/>
      <c r="V8" s="488"/>
      <c r="W8" s="488"/>
      <c r="X8" s="488"/>
      <c r="Y8" s="488"/>
      <c r="Z8" s="488"/>
      <c r="AA8" s="488"/>
      <c r="AB8" s="488"/>
      <c r="AC8" s="488"/>
      <c r="AD8" s="488"/>
      <c r="AE8" s="488"/>
      <c r="AF8" s="488"/>
      <c r="AG8" s="488"/>
      <c r="AH8" s="488"/>
      <c r="AI8" s="488"/>
      <c r="AJ8" s="488"/>
      <c r="AK8" s="488"/>
      <c r="AL8" s="488"/>
      <c r="AM8" s="488"/>
      <c r="AN8" s="488"/>
      <c r="AO8" s="488"/>
      <c r="AP8" s="488"/>
      <c r="AQ8" s="488"/>
      <c r="AR8" s="488"/>
      <c r="AS8" s="488"/>
      <c r="AT8" s="488"/>
      <c r="AU8" s="488"/>
      <c r="AV8" s="488"/>
      <c r="AW8" s="488"/>
      <c r="AX8" s="488"/>
      <c r="AY8" s="489"/>
      <c r="AZ8" s="479"/>
      <c r="BA8" s="479"/>
      <c r="BB8" s="479"/>
      <c r="BC8" s="479"/>
    </row>
    <row r="9" spans="1:55" ht="14.25" customHeight="1" x14ac:dyDescent="0.45">
      <c r="A9" s="479"/>
      <c r="B9" s="362"/>
      <c r="C9" s="362"/>
      <c r="D9" s="362"/>
      <c r="E9" s="362"/>
      <c r="F9" s="362"/>
      <c r="G9" s="362"/>
      <c r="H9" s="362"/>
      <c r="I9" s="362"/>
      <c r="J9" s="362"/>
      <c r="K9" s="362"/>
      <c r="L9" s="362"/>
      <c r="M9" s="362"/>
      <c r="N9" s="362"/>
      <c r="O9" s="490"/>
      <c r="P9" s="490"/>
      <c r="Q9" s="491"/>
      <c r="R9" s="491"/>
      <c r="S9" s="491"/>
      <c r="T9" s="491"/>
      <c r="U9" s="491"/>
      <c r="V9" s="491"/>
      <c r="W9" s="491"/>
      <c r="X9" s="491"/>
      <c r="Y9" s="491"/>
      <c r="Z9" s="491"/>
      <c r="AA9" s="491"/>
      <c r="AB9" s="491"/>
      <c r="AC9" s="491"/>
      <c r="AD9" s="491"/>
      <c r="AE9" s="491"/>
      <c r="AF9" s="491"/>
      <c r="AG9" s="491"/>
      <c r="AH9" s="491"/>
      <c r="AI9" s="491"/>
      <c r="AJ9" s="491"/>
      <c r="AK9" s="491"/>
      <c r="AL9" s="491"/>
      <c r="AM9" s="491"/>
      <c r="AN9" s="491"/>
      <c r="AO9" s="491"/>
      <c r="AP9" s="491"/>
      <c r="AQ9" s="491"/>
      <c r="AR9" s="491"/>
      <c r="AS9" s="491"/>
      <c r="AT9" s="491"/>
      <c r="AU9" s="491"/>
      <c r="AV9" s="491"/>
      <c r="AW9" s="491"/>
      <c r="AX9" s="491"/>
      <c r="AY9" s="491"/>
      <c r="AZ9" s="479"/>
      <c r="BA9" s="479"/>
      <c r="BB9" s="479"/>
      <c r="BC9" s="479"/>
    </row>
    <row r="10" spans="1:55" s="24" customFormat="1" ht="6.75" customHeight="1" x14ac:dyDescent="0.45">
      <c r="A10" s="362"/>
      <c r="B10" s="492" t="s">
        <v>214</v>
      </c>
      <c r="C10" s="493"/>
      <c r="D10" s="493"/>
      <c r="E10" s="493"/>
      <c r="F10" s="493"/>
      <c r="G10" s="493"/>
      <c r="H10" s="493"/>
      <c r="I10" s="493"/>
      <c r="J10" s="493"/>
      <c r="K10" s="493"/>
      <c r="L10" s="493"/>
      <c r="M10" s="493"/>
      <c r="N10" s="493"/>
      <c r="O10" s="493"/>
      <c r="P10" s="493"/>
      <c r="Q10" s="493"/>
      <c r="R10" s="493"/>
      <c r="S10" s="493"/>
      <c r="T10" s="493"/>
      <c r="U10" s="493"/>
      <c r="V10" s="493"/>
      <c r="W10" s="493"/>
      <c r="X10" s="493"/>
      <c r="Y10" s="493"/>
      <c r="Z10" s="493"/>
      <c r="AA10" s="493"/>
      <c r="AB10" s="493"/>
      <c r="AC10" s="493"/>
      <c r="AD10" s="493"/>
      <c r="AE10" s="493"/>
      <c r="AF10" s="493"/>
      <c r="AG10" s="493"/>
      <c r="AH10" s="493"/>
      <c r="AI10" s="493"/>
      <c r="AJ10" s="493"/>
      <c r="AK10" s="493"/>
      <c r="AL10" s="493"/>
      <c r="AM10" s="493"/>
      <c r="AN10" s="493"/>
      <c r="AO10" s="493"/>
      <c r="AP10" s="493"/>
      <c r="AQ10" s="493"/>
      <c r="AR10" s="493"/>
      <c r="AS10" s="493"/>
      <c r="AT10" s="493"/>
      <c r="AU10" s="493"/>
      <c r="AV10" s="493"/>
      <c r="AW10" s="493"/>
      <c r="AX10" s="493"/>
      <c r="AY10" s="494"/>
      <c r="AZ10" s="362"/>
      <c r="BA10" s="362"/>
      <c r="BB10" s="362"/>
      <c r="BC10" s="362"/>
    </row>
    <row r="11" spans="1:55" s="24" customFormat="1" ht="6.75" customHeight="1" x14ac:dyDescent="0.45">
      <c r="A11" s="362"/>
      <c r="B11" s="495"/>
      <c r="C11" s="496"/>
      <c r="D11" s="496"/>
      <c r="E11" s="496"/>
      <c r="F11" s="496"/>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496"/>
      <c r="AE11" s="496"/>
      <c r="AF11" s="496"/>
      <c r="AG11" s="496"/>
      <c r="AH11" s="496"/>
      <c r="AI11" s="496"/>
      <c r="AJ11" s="496"/>
      <c r="AK11" s="496"/>
      <c r="AL11" s="496"/>
      <c r="AM11" s="496"/>
      <c r="AN11" s="496"/>
      <c r="AO11" s="496"/>
      <c r="AP11" s="496"/>
      <c r="AQ11" s="496"/>
      <c r="AR11" s="496"/>
      <c r="AS11" s="496"/>
      <c r="AT11" s="496"/>
      <c r="AU11" s="496"/>
      <c r="AV11" s="496"/>
      <c r="AW11" s="496"/>
      <c r="AX11" s="496"/>
      <c r="AY11" s="497"/>
      <c r="AZ11" s="362"/>
      <c r="BA11" s="362"/>
      <c r="BB11" s="362"/>
      <c r="BC11" s="362"/>
    </row>
    <row r="12" spans="1:55" s="24" customFormat="1" ht="6.75" customHeight="1" x14ac:dyDescent="0.45">
      <c r="A12" s="362"/>
      <c r="B12" s="495"/>
      <c r="C12" s="496"/>
      <c r="D12" s="496"/>
      <c r="E12" s="496"/>
      <c r="F12" s="496"/>
      <c r="G12" s="496"/>
      <c r="H12" s="496"/>
      <c r="I12" s="496"/>
      <c r="J12" s="496"/>
      <c r="K12" s="496"/>
      <c r="L12" s="496"/>
      <c r="M12" s="496"/>
      <c r="N12" s="496"/>
      <c r="O12" s="496"/>
      <c r="P12" s="496"/>
      <c r="Q12" s="496"/>
      <c r="R12" s="496"/>
      <c r="S12" s="496"/>
      <c r="T12" s="496"/>
      <c r="U12" s="496"/>
      <c r="V12" s="496"/>
      <c r="W12" s="496"/>
      <c r="X12" s="496"/>
      <c r="Y12" s="496"/>
      <c r="Z12" s="496"/>
      <c r="AA12" s="496"/>
      <c r="AB12" s="496"/>
      <c r="AC12" s="496"/>
      <c r="AD12" s="496"/>
      <c r="AE12" s="496"/>
      <c r="AF12" s="496"/>
      <c r="AG12" s="496"/>
      <c r="AH12" s="496"/>
      <c r="AI12" s="496"/>
      <c r="AJ12" s="496"/>
      <c r="AK12" s="496"/>
      <c r="AL12" s="496"/>
      <c r="AM12" s="496"/>
      <c r="AN12" s="496"/>
      <c r="AO12" s="496"/>
      <c r="AP12" s="496"/>
      <c r="AQ12" s="496"/>
      <c r="AR12" s="496"/>
      <c r="AS12" s="496"/>
      <c r="AT12" s="496"/>
      <c r="AU12" s="496"/>
      <c r="AV12" s="496"/>
      <c r="AW12" s="496"/>
      <c r="AX12" s="496"/>
      <c r="AY12" s="497"/>
      <c r="AZ12" s="362"/>
      <c r="BA12" s="362"/>
      <c r="BB12" s="362"/>
      <c r="BC12" s="362"/>
    </row>
    <row r="13" spans="1:55" s="24" customFormat="1" ht="6.75" customHeight="1" x14ac:dyDescent="0.45">
      <c r="A13" s="362"/>
      <c r="B13" s="498"/>
      <c r="C13" s="499"/>
      <c r="D13" s="499"/>
      <c r="E13" s="499"/>
      <c r="F13" s="499"/>
      <c r="G13" s="499"/>
      <c r="H13" s="499"/>
      <c r="I13" s="499"/>
      <c r="J13" s="499"/>
      <c r="K13" s="499"/>
      <c r="L13" s="499"/>
      <c r="M13" s="499"/>
      <c r="N13" s="499"/>
      <c r="O13" s="499"/>
      <c r="P13" s="499"/>
      <c r="Q13" s="499"/>
      <c r="R13" s="499"/>
      <c r="S13" s="499"/>
      <c r="T13" s="499"/>
      <c r="U13" s="499"/>
      <c r="V13" s="499"/>
      <c r="W13" s="499"/>
      <c r="X13" s="499"/>
      <c r="Y13" s="499"/>
      <c r="Z13" s="499"/>
      <c r="AA13" s="499"/>
      <c r="AB13" s="499"/>
      <c r="AC13" s="499"/>
      <c r="AD13" s="499"/>
      <c r="AE13" s="499"/>
      <c r="AF13" s="499"/>
      <c r="AG13" s="499"/>
      <c r="AH13" s="499"/>
      <c r="AI13" s="499"/>
      <c r="AJ13" s="499"/>
      <c r="AK13" s="499"/>
      <c r="AL13" s="499"/>
      <c r="AM13" s="499"/>
      <c r="AN13" s="499"/>
      <c r="AO13" s="499"/>
      <c r="AP13" s="499"/>
      <c r="AQ13" s="499"/>
      <c r="AR13" s="499"/>
      <c r="AS13" s="499"/>
      <c r="AT13" s="499"/>
      <c r="AU13" s="499"/>
      <c r="AV13" s="499"/>
      <c r="AW13" s="499"/>
      <c r="AX13" s="499"/>
      <c r="AY13" s="500"/>
      <c r="AZ13" s="362"/>
      <c r="BA13" s="362"/>
      <c r="BB13" s="362"/>
      <c r="BC13" s="362"/>
    </row>
    <row r="14" spans="1:55" s="24" customFormat="1" ht="16.2" x14ac:dyDescent="0.45">
      <c r="A14" s="362"/>
      <c r="B14" s="501"/>
      <c r="C14" s="366" t="s">
        <v>215</v>
      </c>
      <c r="D14" s="364"/>
      <c r="E14" s="364"/>
      <c r="F14" s="364"/>
      <c r="G14" s="364"/>
      <c r="H14" s="364"/>
      <c r="I14" s="364"/>
      <c r="J14" s="364"/>
      <c r="K14" s="364"/>
      <c r="L14" s="364" t="s">
        <v>89</v>
      </c>
      <c r="M14" s="366" t="s">
        <v>216</v>
      </c>
      <c r="N14" s="364"/>
      <c r="O14" s="364"/>
      <c r="P14" s="364"/>
      <c r="Q14" s="364"/>
      <c r="R14" s="364"/>
      <c r="S14" s="364"/>
      <c r="T14" s="364"/>
      <c r="U14" s="364"/>
      <c r="V14" s="364"/>
      <c r="W14" s="364"/>
      <c r="X14" s="364"/>
      <c r="Y14" s="364"/>
      <c r="Z14" s="364"/>
      <c r="AA14" s="364"/>
      <c r="AB14" s="364"/>
      <c r="AC14" s="364"/>
      <c r="AD14" s="364"/>
      <c r="AE14" s="364"/>
      <c r="AF14" s="364"/>
      <c r="AG14" s="364"/>
      <c r="AH14" s="364"/>
      <c r="AI14" s="364"/>
      <c r="AJ14" s="364"/>
      <c r="AK14" s="364"/>
      <c r="AL14" s="364"/>
      <c r="AM14" s="364"/>
      <c r="AN14" s="364"/>
      <c r="AO14" s="364"/>
      <c r="AP14" s="364"/>
      <c r="AQ14" s="364"/>
      <c r="AR14" s="364"/>
      <c r="AS14" s="501"/>
      <c r="AT14" s="501"/>
      <c r="AU14" s="501"/>
      <c r="AV14" s="501"/>
      <c r="AW14" s="501"/>
      <c r="AX14" s="501"/>
      <c r="AY14" s="501"/>
      <c r="AZ14" s="362"/>
      <c r="BA14" s="362"/>
      <c r="BB14" s="362"/>
      <c r="BC14" s="362"/>
    </row>
    <row r="15" spans="1:55" s="24" customFormat="1" ht="16.2" x14ac:dyDescent="0.45">
      <c r="A15" s="362"/>
      <c r="B15" s="501"/>
      <c r="C15" s="366"/>
      <c r="D15" s="366"/>
      <c r="E15" s="366"/>
      <c r="F15" s="366"/>
      <c r="G15" s="366"/>
      <c r="H15" s="366"/>
      <c r="I15" s="366"/>
      <c r="J15" s="366"/>
      <c r="K15" s="366"/>
      <c r="L15" s="366"/>
      <c r="M15" s="366" t="s">
        <v>217</v>
      </c>
      <c r="N15" s="366"/>
      <c r="O15" s="366"/>
      <c r="P15" s="366"/>
      <c r="Q15" s="366"/>
      <c r="R15" s="366"/>
      <c r="S15" s="366"/>
      <c r="T15" s="366"/>
      <c r="U15" s="366"/>
      <c r="V15" s="366"/>
      <c r="W15" s="366"/>
      <c r="X15" s="366"/>
      <c r="Y15" s="366"/>
      <c r="Z15" s="366"/>
      <c r="AA15" s="366"/>
      <c r="AB15" s="366"/>
      <c r="AC15" s="366"/>
      <c r="AD15" s="366"/>
      <c r="AE15" s="366"/>
      <c r="AF15" s="366"/>
      <c r="AG15" s="366"/>
      <c r="AH15" s="366"/>
      <c r="AI15" s="366"/>
      <c r="AJ15" s="366"/>
      <c r="AK15" s="366"/>
      <c r="AL15" s="364"/>
      <c r="AM15" s="364"/>
      <c r="AN15" s="364"/>
      <c r="AO15" s="364"/>
      <c r="AP15" s="364"/>
      <c r="AQ15" s="364"/>
      <c r="AR15" s="364"/>
      <c r="AS15" s="501"/>
      <c r="AT15" s="501"/>
      <c r="AU15" s="501"/>
      <c r="AV15" s="501"/>
      <c r="AW15" s="501"/>
      <c r="AX15" s="501"/>
      <c r="AY15" s="501"/>
      <c r="AZ15" s="362"/>
      <c r="BA15" s="362"/>
      <c r="BB15" s="362"/>
      <c r="BC15" s="362"/>
    </row>
    <row r="16" spans="1:55" ht="16.2" x14ac:dyDescent="0.45">
      <c r="A16" s="479"/>
      <c r="B16" s="501"/>
      <c r="C16" s="366" t="s">
        <v>218</v>
      </c>
      <c r="D16" s="364"/>
      <c r="E16" s="364"/>
      <c r="F16" s="364"/>
      <c r="G16" s="364"/>
      <c r="H16" s="364"/>
      <c r="I16" s="364"/>
      <c r="J16" s="364"/>
      <c r="K16" s="364"/>
      <c r="L16" s="364" t="s">
        <v>89</v>
      </c>
      <c r="M16" s="366" t="s">
        <v>219</v>
      </c>
      <c r="N16" s="364"/>
      <c r="O16" s="364"/>
      <c r="P16" s="364"/>
      <c r="Q16" s="364"/>
      <c r="R16" s="364"/>
      <c r="S16" s="364"/>
      <c r="T16" s="364"/>
      <c r="U16" s="364"/>
      <c r="V16" s="364"/>
      <c r="W16" s="364"/>
      <c r="X16" s="364"/>
      <c r="Y16" s="364"/>
      <c r="Z16" s="364"/>
      <c r="AA16" s="364"/>
      <c r="AB16" s="364"/>
      <c r="AC16" s="364"/>
      <c r="AD16" s="364"/>
      <c r="AE16" s="364"/>
      <c r="AF16" s="364"/>
      <c r="AG16" s="364"/>
      <c r="AH16" s="364"/>
      <c r="AI16" s="364"/>
      <c r="AJ16" s="364"/>
      <c r="AK16" s="364"/>
      <c r="AL16" s="364"/>
      <c r="AM16" s="364"/>
      <c r="AN16" s="364"/>
      <c r="AO16" s="364"/>
      <c r="AP16" s="364"/>
      <c r="AQ16" s="364"/>
      <c r="AR16" s="364"/>
      <c r="AS16" s="501"/>
      <c r="AT16" s="501"/>
      <c r="AU16" s="501"/>
      <c r="AV16" s="501"/>
      <c r="AW16" s="501"/>
      <c r="AX16" s="501"/>
      <c r="AY16" s="501"/>
      <c r="AZ16" s="479"/>
      <c r="BA16" s="479"/>
      <c r="BB16" s="479"/>
      <c r="BC16" s="479"/>
    </row>
    <row r="17" spans="1:55" ht="18" customHeight="1" x14ac:dyDescent="0.45">
      <c r="A17" s="479"/>
      <c r="B17" s="501"/>
      <c r="C17" s="366"/>
      <c r="D17" s="364"/>
      <c r="E17" s="364"/>
      <c r="F17" s="364"/>
      <c r="G17" s="364"/>
      <c r="H17" s="364"/>
      <c r="I17" s="364"/>
      <c r="J17" s="364"/>
      <c r="K17" s="364"/>
      <c r="L17" s="364"/>
      <c r="M17" s="366"/>
      <c r="N17" s="364"/>
      <c r="O17" s="364"/>
      <c r="P17" s="364"/>
      <c r="Q17" s="364"/>
      <c r="R17" s="364"/>
      <c r="S17" s="364"/>
      <c r="T17" s="364"/>
      <c r="U17" s="364"/>
      <c r="V17" s="364"/>
      <c r="W17" s="364"/>
      <c r="X17" s="364"/>
      <c r="Y17" s="364"/>
      <c r="Z17" s="364"/>
      <c r="AA17" s="364"/>
      <c r="AB17" s="364"/>
      <c r="AC17" s="364"/>
      <c r="AD17" s="364"/>
      <c r="AE17" s="364"/>
      <c r="AF17" s="364"/>
      <c r="AG17" s="364"/>
      <c r="AH17" s="364"/>
      <c r="AI17" s="364"/>
      <c r="AJ17" s="364"/>
      <c r="AK17" s="364"/>
      <c r="AL17" s="364"/>
      <c r="AM17" s="364"/>
      <c r="AN17" s="364"/>
      <c r="AO17" s="364"/>
      <c r="AP17" s="364"/>
      <c r="AQ17" s="364"/>
      <c r="AR17" s="364"/>
      <c r="AS17" s="501"/>
      <c r="AT17" s="501"/>
      <c r="AU17" s="501"/>
      <c r="AV17" s="501"/>
      <c r="AW17" s="501"/>
      <c r="AX17" s="501"/>
      <c r="AY17" s="501"/>
      <c r="AZ17" s="479"/>
      <c r="BA17" s="479"/>
      <c r="BB17" s="479"/>
      <c r="BC17" s="479"/>
    </row>
    <row r="18" spans="1:55" ht="16.2" x14ac:dyDescent="0.45">
      <c r="A18" s="479"/>
      <c r="B18" s="502" t="s">
        <v>220</v>
      </c>
      <c r="C18" s="503"/>
      <c r="D18" s="503"/>
      <c r="E18" s="503"/>
      <c r="F18" s="503"/>
      <c r="G18" s="504"/>
      <c r="H18" s="505"/>
      <c r="I18" s="505"/>
      <c r="J18" s="505"/>
      <c r="K18" s="505"/>
      <c r="L18" s="505"/>
      <c r="M18" s="506"/>
      <c r="N18" s="505"/>
      <c r="O18" s="501"/>
      <c r="P18" s="501"/>
      <c r="Q18" s="501"/>
      <c r="R18" s="501"/>
      <c r="S18" s="501"/>
      <c r="T18" s="501"/>
      <c r="U18" s="501"/>
      <c r="V18" s="501"/>
      <c r="W18" s="501"/>
      <c r="X18" s="501"/>
      <c r="Y18" s="501"/>
      <c r="Z18" s="501"/>
      <c r="AA18" s="501"/>
      <c r="AB18" s="501"/>
      <c r="AC18" s="501"/>
      <c r="AD18" s="501"/>
      <c r="AE18" s="501"/>
      <c r="AF18" s="501"/>
      <c r="AG18" s="501"/>
      <c r="AH18" s="501"/>
      <c r="AI18" s="501"/>
      <c r="AJ18" s="501"/>
      <c r="AK18" s="501"/>
      <c r="AL18" s="501"/>
      <c r="AM18" s="501"/>
      <c r="AN18" s="501"/>
      <c r="AO18" s="501"/>
      <c r="AP18" s="501"/>
      <c r="AQ18" s="501"/>
      <c r="AR18" s="501"/>
      <c r="AS18" s="501"/>
      <c r="AT18" s="501"/>
      <c r="AU18" s="501"/>
      <c r="AV18" s="501"/>
      <c r="AW18" s="501"/>
      <c r="AX18" s="501"/>
      <c r="AY18" s="501"/>
      <c r="AZ18" s="479"/>
      <c r="BA18" s="479"/>
      <c r="BB18" s="479"/>
      <c r="BC18" s="479"/>
    </row>
    <row r="19" spans="1:55" s="24" customFormat="1" ht="13.5" customHeight="1" x14ac:dyDescent="0.45">
      <c r="A19" s="362"/>
      <c r="B19" s="507"/>
      <c r="C19" s="508"/>
      <c r="D19" s="508"/>
      <c r="E19" s="508"/>
      <c r="F19" s="509" t="s">
        <v>29</v>
      </c>
      <c r="G19" s="510"/>
      <c r="H19" s="511" t="s">
        <v>221</v>
      </c>
      <c r="I19" s="511"/>
      <c r="J19" s="511"/>
      <c r="K19" s="511"/>
      <c r="L19" s="511"/>
      <c r="M19" s="511"/>
      <c r="N19" s="511"/>
      <c r="O19" s="511"/>
      <c r="P19" s="511"/>
      <c r="Q19" s="511"/>
      <c r="R19" s="511"/>
      <c r="S19" s="511"/>
      <c r="T19" s="511"/>
      <c r="U19" s="511"/>
      <c r="V19" s="511"/>
      <c r="W19" s="511"/>
      <c r="X19" s="511"/>
      <c r="Y19" s="511"/>
      <c r="Z19" s="511"/>
      <c r="AA19" s="511"/>
      <c r="AB19" s="511"/>
      <c r="AC19" s="511"/>
      <c r="AD19" s="511"/>
      <c r="AE19" s="511"/>
      <c r="AF19" s="511"/>
      <c r="AG19" s="511"/>
      <c r="AH19" s="511"/>
      <c r="AI19" s="511"/>
      <c r="AJ19" s="511"/>
      <c r="AK19" s="511"/>
      <c r="AL19" s="511"/>
      <c r="AM19" s="511"/>
      <c r="AN19" s="511"/>
      <c r="AO19" s="511"/>
      <c r="AP19" s="511"/>
      <c r="AQ19" s="511"/>
      <c r="AR19" s="511"/>
      <c r="AS19" s="511"/>
      <c r="AT19" s="511"/>
      <c r="AU19" s="511"/>
      <c r="AV19" s="511"/>
      <c r="AW19" s="511"/>
      <c r="AX19" s="511"/>
      <c r="AY19" s="512"/>
      <c r="AZ19" s="362"/>
      <c r="BA19" s="362"/>
      <c r="BB19" s="362"/>
      <c r="BC19" s="362"/>
    </row>
    <row r="20" spans="1:55" s="24" customFormat="1" ht="28.5" customHeight="1" x14ac:dyDescent="0.45">
      <c r="A20" s="362"/>
      <c r="B20" s="513" t="s">
        <v>222</v>
      </c>
      <c r="C20" s="514"/>
      <c r="D20" s="514"/>
      <c r="E20" s="514"/>
      <c r="F20" s="514"/>
      <c r="G20" s="515"/>
      <c r="H20" s="516" t="s">
        <v>223</v>
      </c>
      <c r="I20" s="516"/>
      <c r="J20" s="516"/>
      <c r="K20" s="516"/>
      <c r="L20" s="516"/>
      <c r="M20" s="516"/>
      <c r="N20" s="516"/>
      <c r="O20" s="516"/>
      <c r="P20" s="516"/>
      <c r="Q20" s="516"/>
      <c r="R20" s="516"/>
      <c r="S20" s="516"/>
      <c r="T20" s="516"/>
      <c r="U20" s="516"/>
      <c r="V20" s="516"/>
      <c r="W20" s="516"/>
      <c r="X20" s="516"/>
      <c r="Y20" s="516"/>
      <c r="Z20" s="516"/>
      <c r="AA20" s="516"/>
      <c r="AB20" s="516"/>
      <c r="AC20" s="516"/>
      <c r="AD20" s="516"/>
      <c r="AE20" s="516"/>
      <c r="AF20" s="516"/>
      <c r="AG20" s="516"/>
      <c r="AH20" s="516"/>
      <c r="AI20" s="516"/>
      <c r="AJ20" s="516"/>
      <c r="AK20" s="516"/>
      <c r="AL20" s="516"/>
      <c r="AM20" s="516"/>
      <c r="AN20" s="516"/>
      <c r="AO20" s="516"/>
      <c r="AP20" s="516"/>
      <c r="AQ20" s="516"/>
      <c r="AR20" s="516"/>
      <c r="AS20" s="516"/>
      <c r="AT20" s="516"/>
      <c r="AU20" s="516"/>
      <c r="AV20" s="516"/>
      <c r="AW20" s="516"/>
      <c r="AX20" s="516"/>
      <c r="AY20" s="517"/>
      <c r="AZ20" s="362"/>
      <c r="BA20" s="362"/>
      <c r="BB20" s="362"/>
      <c r="BC20" s="362"/>
    </row>
    <row r="21" spans="1:55" s="24" customFormat="1" ht="24.75" customHeight="1" x14ac:dyDescent="0.45">
      <c r="A21" s="362"/>
      <c r="B21" s="518"/>
      <c r="C21" s="519"/>
      <c r="D21" s="519"/>
      <c r="E21" s="519"/>
      <c r="F21" s="519"/>
      <c r="G21" s="520"/>
      <c r="H21" s="521" t="s">
        <v>224</v>
      </c>
      <c r="I21" s="522"/>
      <c r="J21" s="522"/>
      <c r="K21" s="522"/>
      <c r="L21" s="522"/>
      <c r="M21" s="522"/>
      <c r="N21" s="522"/>
      <c r="O21" s="522"/>
      <c r="P21" s="522"/>
      <c r="Q21" s="522"/>
      <c r="R21" s="522"/>
      <c r="S21" s="522"/>
      <c r="T21" s="522"/>
      <c r="U21" s="522"/>
      <c r="V21" s="522"/>
      <c r="W21" s="522"/>
      <c r="X21" s="522"/>
      <c r="Y21" s="522"/>
      <c r="Z21" s="522"/>
      <c r="AA21" s="522"/>
      <c r="AB21" s="522"/>
      <c r="AC21" s="522"/>
      <c r="AD21" s="522"/>
      <c r="AE21" s="522"/>
      <c r="AF21" s="522"/>
      <c r="AG21" s="522"/>
      <c r="AH21" s="522"/>
      <c r="AI21" s="522"/>
      <c r="AJ21" s="522"/>
      <c r="AK21" s="522"/>
      <c r="AL21" s="522"/>
      <c r="AM21" s="522"/>
      <c r="AN21" s="522"/>
      <c r="AO21" s="522"/>
      <c r="AP21" s="522"/>
      <c r="AQ21" s="522"/>
      <c r="AR21" s="522"/>
      <c r="AS21" s="522"/>
      <c r="AT21" s="522"/>
      <c r="AU21" s="522"/>
      <c r="AV21" s="522"/>
      <c r="AW21" s="522"/>
      <c r="AX21" s="522"/>
      <c r="AY21" s="523"/>
      <c r="AZ21" s="362"/>
      <c r="BA21" s="362"/>
      <c r="BB21" s="362"/>
      <c r="BC21" s="362"/>
    </row>
    <row r="22" spans="1:55" ht="13.5" customHeight="1" x14ac:dyDescent="0.45">
      <c r="A22" s="479"/>
      <c r="B22" s="507"/>
      <c r="C22" s="508"/>
      <c r="D22" s="508"/>
      <c r="E22" s="508"/>
      <c r="F22" s="509" t="s">
        <v>29</v>
      </c>
      <c r="G22" s="510"/>
      <c r="H22" s="511" t="s">
        <v>225</v>
      </c>
      <c r="I22" s="511"/>
      <c r="J22" s="511"/>
      <c r="K22" s="511"/>
      <c r="L22" s="511"/>
      <c r="M22" s="511"/>
      <c r="N22" s="511"/>
      <c r="O22" s="511"/>
      <c r="P22" s="511"/>
      <c r="Q22" s="511"/>
      <c r="R22" s="511"/>
      <c r="S22" s="511"/>
      <c r="T22" s="511"/>
      <c r="U22" s="511"/>
      <c r="V22" s="511"/>
      <c r="W22" s="511"/>
      <c r="X22" s="511"/>
      <c r="Y22" s="511"/>
      <c r="Z22" s="511"/>
      <c r="AA22" s="511"/>
      <c r="AB22" s="511"/>
      <c r="AC22" s="511"/>
      <c r="AD22" s="511"/>
      <c r="AE22" s="511"/>
      <c r="AF22" s="511"/>
      <c r="AG22" s="511"/>
      <c r="AH22" s="511"/>
      <c r="AI22" s="511"/>
      <c r="AJ22" s="511"/>
      <c r="AK22" s="511"/>
      <c r="AL22" s="511"/>
      <c r="AM22" s="511"/>
      <c r="AN22" s="511"/>
      <c r="AO22" s="511"/>
      <c r="AP22" s="511"/>
      <c r="AQ22" s="511"/>
      <c r="AR22" s="511"/>
      <c r="AS22" s="511"/>
      <c r="AT22" s="511"/>
      <c r="AU22" s="511"/>
      <c r="AV22" s="511"/>
      <c r="AW22" s="511"/>
      <c r="AX22" s="511"/>
      <c r="AY22" s="512"/>
      <c r="AZ22" s="479"/>
      <c r="BA22" s="479"/>
      <c r="BB22" s="479"/>
      <c r="BC22" s="479"/>
    </row>
    <row r="23" spans="1:55" ht="28.5" customHeight="1" x14ac:dyDescent="0.45">
      <c r="A23" s="479"/>
      <c r="B23" s="513" t="s">
        <v>226</v>
      </c>
      <c r="C23" s="514"/>
      <c r="D23" s="514"/>
      <c r="E23" s="514"/>
      <c r="F23" s="514"/>
      <c r="G23" s="515"/>
      <c r="H23" s="524" t="s">
        <v>227</v>
      </c>
      <c r="I23" s="524"/>
      <c r="J23" s="524"/>
      <c r="K23" s="524"/>
      <c r="L23" s="524"/>
      <c r="M23" s="524"/>
      <c r="N23" s="524"/>
      <c r="O23" s="524"/>
      <c r="P23" s="524"/>
      <c r="Q23" s="524"/>
      <c r="R23" s="524"/>
      <c r="S23" s="524"/>
      <c r="T23" s="524"/>
      <c r="U23" s="524"/>
      <c r="V23" s="524"/>
      <c r="W23" s="524"/>
      <c r="X23" s="524"/>
      <c r="Y23" s="524"/>
      <c r="Z23" s="524"/>
      <c r="AA23" s="524"/>
      <c r="AB23" s="524"/>
      <c r="AC23" s="524"/>
      <c r="AD23" s="524"/>
      <c r="AE23" s="524"/>
      <c r="AF23" s="524"/>
      <c r="AG23" s="524"/>
      <c r="AH23" s="524"/>
      <c r="AI23" s="524"/>
      <c r="AJ23" s="524"/>
      <c r="AK23" s="524"/>
      <c r="AL23" s="524"/>
      <c r="AM23" s="524"/>
      <c r="AN23" s="524"/>
      <c r="AO23" s="524"/>
      <c r="AP23" s="524"/>
      <c r="AQ23" s="524"/>
      <c r="AR23" s="524"/>
      <c r="AS23" s="524"/>
      <c r="AT23" s="524"/>
      <c r="AU23" s="524"/>
      <c r="AV23" s="524"/>
      <c r="AW23" s="524"/>
      <c r="AX23" s="524"/>
      <c r="AY23" s="525"/>
      <c r="AZ23" s="479"/>
      <c r="BA23" s="479"/>
      <c r="BB23" s="479"/>
      <c r="BC23" s="479"/>
    </row>
    <row r="24" spans="1:55" ht="25.5" customHeight="1" x14ac:dyDescent="0.45">
      <c r="A24" s="479"/>
      <c r="B24" s="518"/>
      <c r="C24" s="519"/>
      <c r="D24" s="519"/>
      <c r="E24" s="519"/>
      <c r="F24" s="519"/>
      <c r="G24" s="520"/>
      <c r="H24" s="521" t="s">
        <v>228</v>
      </c>
      <c r="I24" s="522"/>
      <c r="J24" s="522"/>
      <c r="K24" s="522"/>
      <c r="L24" s="522"/>
      <c r="M24" s="522"/>
      <c r="N24" s="522"/>
      <c r="O24" s="522"/>
      <c r="P24" s="522"/>
      <c r="Q24" s="522"/>
      <c r="R24" s="522"/>
      <c r="S24" s="522"/>
      <c r="T24" s="522"/>
      <c r="U24" s="522"/>
      <c r="V24" s="522"/>
      <c r="W24" s="522"/>
      <c r="X24" s="522"/>
      <c r="Y24" s="522"/>
      <c r="Z24" s="522"/>
      <c r="AA24" s="522"/>
      <c r="AB24" s="522"/>
      <c r="AC24" s="522"/>
      <c r="AD24" s="522"/>
      <c r="AE24" s="522"/>
      <c r="AF24" s="522"/>
      <c r="AG24" s="522"/>
      <c r="AH24" s="522"/>
      <c r="AI24" s="522"/>
      <c r="AJ24" s="522"/>
      <c r="AK24" s="522"/>
      <c r="AL24" s="522"/>
      <c r="AM24" s="522"/>
      <c r="AN24" s="522"/>
      <c r="AO24" s="522"/>
      <c r="AP24" s="522"/>
      <c r="AQ24" s="522"/>
      <c r="AR24" s="522"/>
      <c r="AS24" s="522"/>
      <c r="AT24" s="522"/>
      <c r="AU24" s="522"/>
      <c r="AV24" s="522"/>
      <c r="AW24" s="522"/>
      <c r="AX24" s="522"/>
      <c r="AY24" s="523"/>
      <c r="AZ24" s="479"/>
      <c r="BA24" s="479"/>
      <c r="BB24" s="479"/>
      <c r="BC24" s="479"/>
    </row>
    <row r="25" spans="1:55" x14ac:dyDescent="0.45">
      <c r="A25" s="479"/>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479"/>
      <c r="BA25" s="479"/>
      <c r="BB25" s="479"/>
      <c r="BC25" s="479"/>
    </row>
    <row r="26" spans="1:55" ht="16.2" x14ac:dyDescent="0.45">
      <c r="A26" s="479"/>
      <c r="B26" s="502" t="s">
        <v>229</v>
      </c>
      <c r="C26" s="503"/>
      <c r="D26" s="503"/>
      <c r="E26" s="503"/>
      <c r="F26" s="503"/>
      <c r="G26" s="504"/>
      <c r="H26" s="505"/>
      <c r="I26" s="505"/>
      <c r="J26" s="505"/>
      <c r="K26" s="505"/>
      <c r="L26" s="505"/>
      <c r="M26" s="506"/>
      <c r="N26" s="505"/>
      <c r="O26" s="501"/>
      <c r="P26" s="501"/>
      <c r="Q26" s="501"/>
      <c r="R26" s="501"/>
      <c r="S26" s="501"/>
      <c r="T26" s="501"/>
      <c r="U26" s="501"/>
      <c r="V26" s="501"/>
      <c r="W26" s="501"/>
      <c r="X26" s="501"/>
      <c r="Y26" s="501"/>
      <c r="Z26" s="501"/>
      <c r="AA26" s="501"/>
      <c r="AB26" s="501"/>
      <c r="AC26" s="501"/>
      <c r="AD26" s="501"/>
      <c r="AE26" s="501"/>
      <c r="AF26" s="501"/>
      <c r="AG26" s="501"/>
      <c r="AH26" s="501"/>
      <c r="AI26" s="501"/>
      <c r="AJ26" s="501"/>
      <c r="AK26" s="501"/>
      <c r="AL26" s="501"/>
      <c r="AM26" s="501"/>
      <c r="AN26" s="501"/>
      <c r="AO26" s="501"/>
      <c r="AP26" s="501"/>
      <c r="AQ26" s="501"/>
      <c r="AR26" s="501"/>
      <c r="AS26" s="501"/>
      <c r="AT26" s="501"/>
      <c r="AU26" s="501"/>
      <c r="AV26" s="501"/>
      <c r="AW26" s="501"/>
      <c r="AX26" s="501"/>
      <c r="AY26" s="501"/>
      <c r="AZ26" s="479"/>
      <c r="BA26" s="479"/>
      <c r="BB26" s="479"/>
      <c r="BC26" s="479"/>
    </row>
    <row r="27" spans="1:55" ht="13.5" customHeight="1" x14ac:dyDescent="0.45">
      <c r="A27" s="479"/>
      <c r="B27" s="507"/>
      <c r="C27" s="508"/>
      <c r="D27" s="508"/>
      <c r="E27" s="508"/>
      <c r="F27" s="509" t="s">
        <v>29</v>
      </c>
      <c r="G27" s="510"/>
      <c r="H27" s="511"/>
      <c r="I27" s="511"/>
      <c r="J27" s="511"/>
      <c r="K27" s="511"/>
      <c r="L27" s="511"/>
      <c r="M27" s="511"/>
      <c r="N27" s="511"/>
      <c r="O27" s="511"/>
      <c r="P27" s="511"/>
      <c r="Q27" s="511"/>
      <c r="R27" s="511"/>
      <c r="S27" s="511"/>
      <c r="T27" s="511"/>
      <c r="U27" s="511"/>
      <c r="V27" s="511"/>
      <c r="W27" s="511"/>
      <c r="X27" s="511"/>
      <c r="Y27" s="511"/>
      <c r="Z27" s="511"/>
      <c r="AA27" s="511"/>
      <c r="AB27" s="511"/>
      <c r="AC27" s="511"/>
      <c r="AD27" s="511"/>
      <c r="AE27" s="511"/>
      <c r="AF27" s="511"/>
      <c r="AG27" s="511"/>
      <c r="AH27" s="511"/>
      <c r="AI27" s="511"/>
      <c r="AJ27" s="511"/>
      <c r="AK27" s="511"/>
      <c r="AL27" s="511"/>
      <c r="AM27" s="511"/>
      <c r="AN27" s="511"/>
      <c r="AO27" s="511"/>
      <c r="AP27" s="511"/>
      <c r="AQ27" s="511"/>
      <c r="AR27" s="511"/>
      <c r="AS27" s="511"/>
      <c r="AT27" s="511"/>
      <c r="AU27" s="511"/>
      <c r="AV27" s="511"/>
      <c r="AW27" s="511"/>
      <c r="AX27" s="511"/>
      <c r="AY27" s="512"/>
      <c r="AZ27" s="479"/>
      <c r="BA27" s="479"/>
      <c r="BB27" s="479"/>
      <c r="BC27" s="479"/>
    </row>
    <row r="28" spans="1:55" ht="28.5" customHeight="1" x14ac:dyDescent="0.45">
      <c r="A28" s="479"/>
      <c r="B28" s="513" t="s">
        <v>222</v>
      </c>
      <c r="C28" s="514"/>
      <c r="D28" s="514"/>
      <c r="E28" s="514"/>
      <c r="F28" s="514"/>
      <c r="G28" s="515"/>
      <c r="H28" s="516"/>
      <c r="I28" s="516"/>
      <c r="J28" s="516"/>
      <c r="K28" s="516"/>
      <c r="L28" s="516"/>
      <c r="M28" s="516"/>
      <c r="N28" s="516"/>
      <c r="O28" s="516"/>
      <c r="P28" s="516"/>
      <c r="Q28" s="516"/>
      <c r="R28" s="516"/>
      <c r="S28" s="516"/>
      <c r="T28" s="516"/>
      <c r="U28" s="516"/>
      <c r="V28" s="516"/>
      <c r="W28" s="516"/>
      <c r="X28" s="516"/>
      <c r="Y28" s="516"/>
      <c r="Z28" s="516"/>
      <c r="AA28" s="516"/>
      <c r="AB28" s="516"/>
      <c r="AC28" s="516"/>
      <c r="AD28" s="516"/>
      <c r="AE28" s="516"/>
      <c r="AF28" s="516"/>
      <c r="AG28" s="516"/>
      <c r="AH28" s="516"/>
      <c r="AI28" s="516"/>
      <c r="AJ28" s="516"/>
      <c r="AK28" s="516"/>
      <c r="AL28" s="516"/>
      <c r="AM28" s="516"/>
      <c r="AN28" s="516"/>
      <c r="AO28" s="516"/>
      <c r="AP28" s="516"/>
      <c r="AQ28" s="516"/>
      <c r="AR28" s="516"/>
      <c r="AS28" s="516"/>
      <c r="AT28" s="516"/>
      <c r="AU28" s="516"/>
      <c r="AV28" s="516"/>
      <c r="AW28" s="516"/>
      <c r="AX28" s="516"/>
      <c r="AY28" s="517"/>
      <c r="AZ28" s="479"/>
      <c r="BA28" s="479"/>
      <c r="BB28" s="479"/>
      <c r="BC28" s="479"/>
    </row>
    <row r="29" spans="1:55" ht="30" customHeight="1" x14ac:dyDescent="0.45">
      <c r="A29" s="479"/>
      <c r="B29" s="518"/>
      <c r="C29" s="519"/>
      <c r="D29" s="519"/>
      <c r="E29" s="519"/>
      <c r="F29" s="519"/>
      <c r="G29" s="520"/>
      <c r="H29" s="521" t="s">
        <v>230</v>
      </c>
      <c r="I29" s="522"/>
      <c r="J29" s="522"/>
      <c r="K29" s="522"/>
      <c r="L29" s="522"/>
      <c r="M29" s="522"/>
      <c r="N29" s="522"/>
      <c r="O29" s="522"/>
      <c r="P29" s="522"/>
      <c r="Q29" s="522"/>
      <c r="R29" s="522"/>
      <c r="S29" s="522"/>
      <c r="T29" s="522"/>
      <c r="U29" s="522"/>
      <c r="V29" s="522"/>
      <c r="W29" s="522"/>
      <c r="X29" s="522"/>
      <c r="Y29" s="522"/>
      <c r="Z29" s="522"/>
      <c r="AA29" s="522"/>
      <c r="AB29" s="522"/>
      <c r="AC29" s="522"/>
      <c r="AD29" s="522"/>
      <c r="AE29" s="522"/>
      <c r="AF29" s="522"/>
      <c r="AG29" s="522"/>
      <c r="AH29" s="522"/>
      <c r="AI29" s="522"/>
      <c r="AJ29" s="522"/>
      <c r="AK29" s="522"/>
      <c r="AL29" s="522"/>
      <c r="AM29" s="522"/>
      <c r="AN29" s="522"/>
      <c r="AO29" s="522"/>
      <c r="AP29" s="522"/>
      <c r="AQ29" s="522"/>
      <c r="AR29" s="522"/>
      <c r="AS29" s="522"/>
      <c r="AT29" s="522"/>
      <c r="AU29" s="522"/>
      <c r="AV29" s="522"/>
      <c r="AW29" s="522"/>
      <c r="AX29" s="522"/>
      <c r="AY29" s="523"/>
      <c r="AZ29" s="479"/>
      <c r="BA29" s="479"/>
      <c r="BB29" s="479"/>
      <c r="BC29" s="479"/>
    </row>
    <row r="30" spans="1:55" ht="13.5" customHeight="1" x14ac:dyDescent="0.45">
      <c r="A30" s="479"/>
      <c r="B30" s="507"/>
      <c r="C30" s="508"/>
      <c r="D30" s="508"/>
      <c r="E30" s="508"/>
      <c r="F30" s="509" t="s">
        <v>29</v>
      </c>
      <c r="G30" s="510"/>
      <c r="H30" s="511"/>
      <c r="I30" s="511"/>
      <c r="J30" s="511"/>
      <c r="K30" s="511"/>
      <c r="L30" s="511"/>
      <c r="M30" s="511"/>
      <c r="N30" s="511"/>
      <c r="O30" s="511"/>
      <c r="P30" s="511"/>
      <c r="Q30" s="511"/>
      <c r="R30" s="511"/>
      <c r="S30" s="511"/>
      <c r="T30" s="511"/>
      <c r="U30" s="511"/>
      <c r="V30" s="511"/>
      <c r="W30" s="511"/>
      <c r="X30" s="511"/>
      <c r="Y30" s="511"/>
      <c r="Z30" s="511"/>
      <c r="AA30" s="511"/>
      <c r="AB30" s="511"/>
      <c r="AC30" s="511"/>
      <c r="AD30" s="511"/>
      <c r="AE30" s="511"/>
      <c r="AF30" s="511"/>
      <c r="AG30" s="511"/>
      <c r="AH30" s="511"/>
      <c r="AI30" s="511"/>
      <c r="AJ30" s="511"/>
      <c r="AK30" s="511"/>
      <c r="AL30" s="511"/>
      <c r="AM30" s="511"/>
      <c r="AN30" s="511"/>
      <c r="AO30" s="511"/>
      <c r="AP30" s="511"/>
      <c r="AQ30" s="511"/>
      <c r="AR30" s="511"/>
      <c r="AS30" s="511"/>
      <c r="AT30" s="511"/>
      <c r="AU30" s="511"/>
      <c r="AV30" s="511"/>
      <c r="AW30" s="511"/>
      <c r="AX30" s="511"/>
      <c r="AY30" s="512"/>
      <c r="AZ30" s="479"/>
      <c r="BA30" s="479"/>
      <c r="BB30" s="479"/>
      <c r="BC30" s="479"/>
    </row>
    <row r="31" spans="1:55" ht="28.5" customHeight="1" x14ac:dyDescent="0.45">
      <c r="A31" s="479"/>
      <c r="B31" s="513" t="s">
        <v>226</v>
      </c>
      <c r="C31" s="514"/>
      <c r="D31" s="514"/>
      <c r="E31" s="514"/>
      <c r="F31" s="514"/>
      <c r="G31" s="515"/>
      <c r="H31" s="524"/>
      <c r="I31" s="524"/>
      <c r="J31" s="524"/>
      <c r="K31" s="524"/>
      <c r="L31" s="524"/>
      <c r="M31" s="524"/>
      <c r="N31" s="524"/>
      <c r="O31" s="524"/>
      <c r="P31" s="524"/>
      <c r="Q31" s="524"/>
      <c r="R31" s="524"/>
      <c r="S31" s="524"/>
      <c r="T31" s="524"/>
      <c r="U31" s="524"/>
      <c r="V31" s="524"/>
      <c r="W31" s="524"/>
      <c r="X31" s="524"/>
      <c r="Y31" s="524"/>
      <c r="Z31" s="524"/>
      <c r="AA31" s="524"/>
      <c r="AB31" s="524"/>
      <c r="AC31" s="524"/>
      <c r="AD31" s="524"/>
      <c r="AE31" s="524"/>
      <c r="AF31" s="524"/>
      <c r="AG31" s="524"/>
      <c r="AH31" s="524"/>
      <c r="AI31" s="524"/>
      <c r="AJ31" s="524"/>
      <c r="AK31" s="524"/>
      <c r="AL31" s="524"/>
      <c r="AM31" s="524"/>
      <c r="AN31" s="524"/>
      <c r="AO31" s="524"/>
      <c r="AP31" s="524"/>
      <c r="AQ31" s="524"/>
      <c r="AR31" s="524"/>
      <c r="AS31" s="524"/>
      <c r="AT31" s="524"/>
      <c r="AU31" s="524"/>
      <c r="AV31" s="524"/>
      <c r="AW31" s="524"/>
      <c r="AX31" s="524"/>
      <c r="AY31" s="525"/>
      <c r="AZ31" s="479"/>
      <c r="BA31" s="479"/>
      <c r="BB31" s="479"/>
      <c r="BC31" s="479"/>
    </row>
    <row r="32" spans="1:55" ht="28.5" customHeight="1" x14ac:dyDescent="0.45">
      <c r="A32" s="479"/>
      <c r="B32" s="518"/>
      <c r="C32" s="519"/>
      <c r="D32" s="519"/>
      <c r="E32" s="519"/>
      <c r="F32" s="519"/>
      <c r="G32" s="520"/>
      <c r="H32" s="521" t="s">
        <v>231</v>
      </c>
      <c r="I32" s="522"/>
      <c r="J32" s="522"/>
      <c r="K32" s="522"/>
      <c r="L32" s="522"/>
      <c r="M32" s="522"/>
      <c r="N32" s="522"/>
      <c r="O32" s="522"/>
      <c r="P32" s="522"/>
      <c r="Q32" s="522"/>
      <c r="R32" s="522"/>
      <c r="S32" s="522"/>
      <c r="T32" s="522"/>
      <c r="U32" s="522"/>
      <c r="V32" s="522"/>
      <c r="W32" s="522"/>
      <c r="X32" s="522"/>
      <c r="Y32" s="522"/>
      <c r="Z32" s="522"/>
      <c r="AA32" s="522"/>
      <c r="AB32" s="522"/>
      <c r="AC32" s="522"/>
      <c r="AD32" s="522"/>
      <c r="AE32" s="522"/>
      <c r="AF32" s="522"/>
      <c r="AG32" s="522"/>
      <c r="AH32" s="522"/>
      <c r="AI32" s="522"/>
      <c r="AJ32" s="522"/>
      <c r="AK32" s="522"/>
      <c r="AL32" s="522"/>
      <c r="AM32" s="522"/>
      <c r="AN32" s="522"/>
      <c r="AO32" s="522"/>
      <c r="AP32" s="522"/>
      <c r="AQ32" s="522"/>
      <c r="AR32" s="522"/>
      <c r="AS32" s="522"/>
      <c r="AT32" s="522"/>
      <c r="AU32" s="522"/>
      <c r="AV32" s="522"/>
      <c r="AW32" s="522"/>
      <c r="AX32" s="522"/>
      <c r="AY32" s="523"/>
      <c r="AZ32" s="479"/>
      <c r="BA32" s="479"/>
      <c r="BB32" s="479"/>
      <c r="BC32" s="479"/>
    </row>
    <row r="33" spans="1:55" x14ac:dyDescent="0.45">
      <c r="A33" s="479"/>
      <c r="B33" s="1"/>
      <c r="C33" s="1" t="s">
        <v>232</v>
      </c>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479"/>
      <c r="BA33" s="479"/>
      <c r="BB33" s="479"/>
      <c r="BC33" s="479"/>
    </row>
    <row r="34" spans="1:55" x14ac:dyDescent="0.45">
      <c r="A34" s="479"/>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479"/>
      <c r="BA34" s="479"/>
      <c r="BB34" s="479"/>
      <c r="BC34" s="479"/>
    </row>
    <row r="35" spans="1:55" ht="14.25" customHeight="1" x14ac:dyDescent="0.45">
      <c r="A35" s="479"/>
      <c r="B35" s="526" t="s">
        <v>233</v>
      </c>
      <c r="C35" s="527"/>
      <c r="D35" s="527"/>
      <c r="E35" s="527"/>
      <c r="F35" s="527"/>
      <c r="G35" s="527"/>
      <c r="H35" s="527"/>
      <c r="I35" s="527"/>
      <c r="J35" s="527"/>
      <c r="K35" s="527"/>
      <c r="L35" s="527"/>
      <c r="M35" s="527"/>
      <c r="N35" s="527"/>
      <c r="O35" s="527"/>
      <c r="P35" s="527"/>
      <c r="Q35" s="527"/>
      <c r="R35" s="527"/>
      <c r="S35" s="527"/>
      <c r="T35" s="527"/>
      <c r="U35" s="527"/>
      <c r="V35" s="527"/>
      <c r="W35" s="527"/>
      <c r="X35" s="527"/>
      <c r="Y35" s="527"/>
      <c r="Z35" s="527"/>
      <c r="AA35" s="528"/>
      <c r="AB35" s="501"/>
      <c r="AC35" s="501"/>
      <c r="AD35" s="501"/>
      <c r="AE35" s="501"/>
      <c r="AF35" s="501"/>
      <c r="AG35" s="501"/>
      <c r="AH35" s="501"/>
      <c r="AI35" s="501"/>
      <c r="AJ35" s="501"/>
      <c r="AK35" s="501"/>
      <c r="AL35" s="501"/>
      <c r="AM35" s="501"/>
      <c r="AN35" s="501"/>
      <c r="AO35" s="501"/>
      <c r="AP35" s="501"/>
      <c r="AQ35" s="501"/>
      <c r="AR35" s="501"/>
      <c r="AS35" s="501"/>
      <c r="AT35" s="501"/>
      <c r="AU35" s="501"/>
      <c r="AV35" s="501"/>
      <c r="AW35" s="501"/>
      <c r="AX35" s="501"/>
      <c r="AY35" s="501"/>
      <c r="AZ35" s="479"/>
      <c r="BA35" s="479"/>
      <c r="BB35" s="479"/>
      <c r="BC35" s="479"/>
    </row>
    <row r="36" spans="1:55" s="530" customFormat="1" ht="14.25" customHeight="1" x14ac:dyDescent="0.45">
      <c r="A36" s="529"/>
      <c r="B36" s="364"/>
      <c r="C36" s="364"/>
      <c r="D36" s="364"/>
      <c r="E36" s="364"/>
      <c r="F36" s="364"/>
      <c r="G36" s="364"/>
      <c r="H36" s="505"/>
      <c r="I36" s="505"/>
      <c r="J36" s="505"/>
      <c r="K36" s="505"/>
      <c r="L36" s="505"/>
      <c r="M36" s="505"/>
      <c r="N36" s="505"/>
      <c r="O36" s="501"/>
      <c r="P36" s="501"/>
      <c r="Q36" s="501"/>
      <c r="R36" s="501"/>
      <c r="S36" s="501"/>
      <c r="T36" s="501"/>
      <c r="U36" s="501"/>
      <c r="V36" s="501"/>
      <c r="W36" s="501"/>
      <c r="X36" s="501"/>
      <c r="Y36" s="501"/>
      <c r="Z36" s="501"/>
      <c r="AA36" s="501"/>
      <c r="AB36" s="501"/>
      <c r="AC36" s="501"/>
      <c r="AD36" s="501"/>
      <c r="AE36" s="501"/>
      <c r="AF36" s="501"/>
      <c r="AG36" s="501"/>
      <c r="AH36" s="501"/>
      <c r="AI36" s="501"/>
      <c r="AJ36" s="501"/>
      <c r="AK36" s="501"/>
      <c r="AL36" s="501"/>
      <c r="AM36" s="501"/>
      <c r="AN36" s="501"/>
      <c r="AO36" s="501"/>
      <c r="AP36" s="501"/>
      <c r="AQ36" s="501"/>
      <c r="AR36" s="501"/>
      <c r="AS36" s="501"/>
      <c r="AT36" s="501"/>
      <c r="AU36" s="501"/>
      <c r="AV36" s="501"/>
      <c r="AW36" s="501"/>
      <c r="AX36" s="501"/>
      <c r="AY36" s="501"/>
      <c r="AZ36" s="529"/>
      <c r="BA36" s="529"/>
      <c r="BB36" s="529"/>
      <c r="BC36" s="529"/>
    </row>
    <row r="37" spans="1:55" ht="13.5" customHeight="1" x14ac:dyDescent="0.45">
      <c r="A37" s="479"/>
      <c r="B37" s="507"/>
      <c r="C37" s="508"/>
      <c r="D37" s="508"/>
      <c r="E37" s="508"/>
      <c r="F37" s="531" t="s">
        <v>29</v>
      </c>
      <c r="G37" s="532"/>
      <c r="H37" s="511" t="s">
        <v>234</v>
      </c>
      <c r="I37" s="511"/>
      <c r="J37" s="511"/>
      <c r="K37" s="511"/>
      <c r="L37" s="511"/>
      <c r="M37" s="511"/>
      <c r="N37" s="511"/>
      <c r="O37" s="511"/>
      <c r="P37" s="511"/>
      <c r="Q37" s="511"/>
      <c r="R37" s="511"/>
      <c r="S37" s="511"/>
      <c r="T37" s="511"/>
      <c r="U37" s="511"/>
      <c r="V37" s="511"/>
      <c r="W37" s="511"/>
      <c r="X37" s="511"/>
      <c r="Y37" s="511"/>
      <c r="Z37" s="511"/>
      <c r="AA37" s="511"/>
      <c r="AB37" s="511"/>
      <c r="AC37" s="511"/>
      <c r="AD37" s="511"/>
      <c r="AE37" s="511"/>
      <c r="AF37" s="511"/>
      <c r="AG37" s="511"/>
      <c r="AH37" s="511"/>
      <c r="AI37" s="511"/>
      <c r="AJ37" s="511"/>
      <c r="AK37" s="511"/>
      <c r="AL37" s="511"/>
      <c r="AM37" s="511"/>
      <c r="AN37" s="511"/>
      <c r="AO37" s="511"/>
      <c r="AP37" s="511"/>
      <c r="AQ37" s="511"/>
      <c r="AR37" s="511"/>
      <c r="AS37" s="511"/>
      <c r="AT37" s="511"/>
      <c r="AU37" s="511"/>
      <c r="AV37" s="511"/>
      <c r="AW37" s="511"/>
      <c r="AX37" s="511"/>
      <c r="AY37" s="512"/>
      <c r="AZ37" s="479"/>
      <c r="BA37" s="479"/>
      <c r="BB37" s="479"/>
      <c r="BC37" s="479"/>
    </row>
    <row r="38" spans="1:55" ht="28.5" customHeight="1" x14ac:dyDescent="0.45">
      <c r="A38" s="479"/>
      <c r="B38" s="513" t="s">
        <v>235</v>
      </c>
      <c r="C38" s="514"/>
      <c r="D38" s="514"/>
      <c r="E38" s="514"/>
      <c r="F38" s="514"/>
      <c r="G38" s="515"/>
      <c r="H38" s="533" t="s">
        <v>236</v>
      </c>
      <c r="I38" s="533"/>
      <c r="J38" s="533"/>
      <c r="K38" s="533"/>
      <c r="L38" s="533"/>
      <c r="M38" s="533"/>
      <c r="N38" s="533"/>
      <c r="O38" s="533"/>
      <c r="P38" s="533"/>
      <c r="Q38" s="533"/>
      <c r="R38" s="533"/>
      <c r="S38" s="533"/>
      <c r="T38" s="533"/>
      <c r="U38" s="533"/>
      <c r="V38" s="533"/>
      <c r="W38" s="533"/>
      <c r="X38" s="533"/>
      <c r="Y38" s="533"/>
      <c r="Z38" s="533"/>
      <c r="AA38" s="533"/>
      <c r="AB38" s="533"/>
      <c r="AC38" s="533"/>
      <c r="AD38" s="533"/>
      <c r="AE38" s="533"/>
      <c r="AF38" s="533"/>
      <c r="AG38" s="533"/>
      <c r="AH38" s="533"/>
      <c r="AI38" s="533"/>
      <c r="AJ38" s="533"/>
      <c r="AK38" s="533"/>
      <c r="AL38" s="533"/>
      <c r="AM38" s="533"/>
      <c r="AN38" s="533"/>
      <c r="AO38" s="533"/>
      <c r="AP38" s="533"/>
      <c r="AQ38" s="533"/>
      <c r="AR38" s="533"/>
      <c r="AS38" s="533"/>
      <c r="AT38" s="533"/>
      <c r="AU38" s="533"/>
      <c r="AV38" s="533"/>
      <c r="AW38" s="533"/>
      <c r="AX38" s="533"/>
      <c r="AY38" s="534"/>
      <c r="AZ38" s="479"/>
      <c r="BA38" s="479"/>
      <c r="BB38" s="479"/>
      <c r="BC38" s="479"/>
    </row>
    <row r="39" spans="1:55" ht="33.75" customHeight="1" x14ac:dyDescent="0.45">
      <c r="A39" s="479"/>
      <c r="B39" s="518"/>
      <c r="C39" s="519"/>
      <c r="D39" s="519"/>
      <c r="E39" s="519"/>
      <c r="F39" s="519"/>
      <c r="G39" s="520"/>
      <c r="H39" s="521" t="s">
        <v>230</v>
      </c>
      <c r="I39" s="522"/>
      <c r="J39" s="522"/>
      <c r="K39" s="522"/>
      <c r="L39" s="522"/>
      <c r="M39" s="522"/>
      <c r="N39" s="522"/>
      <c r="O39" s="522"/>
      <c r="P39" s="522"/>
      <c r="Q39" s="522"/>
      <c r="R39" s="522"/>
      <c r="S39" s="522"/>
      <c r="T39" s="522"/>
      <c r="U39" s="522"/>
      <c r="V39" s="522"/>
      <c r="W39" s="522"/>
      <c r="X39" s="522"/>
      <c r="Y39" s="522"/>
      <c r="Z39" s="522"/>
      <c r="AA39" s="522"/>
      <c r="AB39" s="522"/>
      <c r="AC39" s="522"/>
      <c r="AD39" s="522"/>
      <c r="AE39" s="522"/>
      <c r="AF39" s="522"/>
      <c r="AG39" s="522"/>
      <c r="AH39" s="522"/>
      <c r="AI39" s="522"/>
      <c r="AJ39" s="522"/>
      <c r="AK39" s="522"/>
      <c r="AL39" s="522"/>
      <c r="AM39" s="522"/>
      <c r="AN39" s="522"/>
      <c r="AO39" s="522"/>
      <c r="AP39" s="522"/>
      <c r="AQ39" s="522"/>
      <c r="AR39" s="522"/>
      <c r="AS39" s="522"/>
      <c r="AT39" s="522"/>
      <c r="AU39" s="522"/>
      <c r="AV39" s="522"/>
      <c r="AW39" s="522"/>
      <c r="AX39" s="522"/>
      <c r="AY39" s="523"/>
      <c r="AZ39" s="479"/>
      <c r="BA39" s="479"/>
      <c r="BB39" s="479"/>
      <c r="BC39" s="479"/>
    </row>
    <row r="40" spans="1:55" ht="12.75" customHeight="1" x14ac:dyDescent="0.45">
      <c r="A40" s="479"/>
      <c r="B40" s="507"/>
      <c r="C40" s="508"/>
      <c r="D40" s="508"/>
      <c r="E40" s="508"/>
      <c r="F40" s="509" t="s">
        <v>29</v>
      </c>
      <c r="G40" s="510"/>
      <c r="H40" s="511" t="s">
        <v>237</v>
      </c>
      <c r="I40" s="511"/>
      <c r="J40" s="511"/>
      <c r="K40" s="511"/>
      <c r="L40" s="511"/>
      <c r="M40" s="511"/>
      <c r="N40" s="511"/>
      <c r="O40" s="511"/>
      <c r="P40" s="511"/>
      <c r="Q40" s="511"/>
      <c r="R40" s="511"/>
      <c r="S40" s="511"/>
      <c r="T40" s="511"/>
      <c r="U40" s="511"/>
      <c r="V40" s="511"/>
      <c r="W40" s="511"/>
      <c r="X40" s="511"/>
      <c r="Y40" s="511"/>
      <c r="Z40" s="511"/>
      <c r="AA40" s="511"/>
      <c r="AB40" s="511"/>
      <c r="AC40" s="511"/>
      <c r="AD40" s="511"/>
      <c r="AE40" s="511"/>
      <c r="AF40" s="511"/>
      <c r="AG40" s="511"/>
      <c r="AH40" s="511"/>
      <c r="AI40" s="511"/>
      <c r="AJ40" s="511"/>
      <c r="AK40" s="511"/>
      <c r="AL40" s="511"/>
      <c r="AM40" s="511"/>
      <c r="AN40" s="511"/>
      <c r="AO40" s="511"/>
      <c r="AP40" s="511"/>
      <c r="AQ40" s="511"/>
      <c r="AR40" s="511"/>
      <c r="AS40" s="511"/>
      <c r="AT40" s="511"/>
      <c r="AU40" s="511"/>
      <c r="AV40" s="511"/>
      <c r="AW40" s="511"/>
      <c r="AX40" s="511"/>
      <c r="AY40" s="512"/>
      <c r="AZ40" s="479"/>
      <c r="BA40" s="479"/>
      <c r="BB40" s="479"/>
      <c r="BC40" s="479"/>
    </row>
    <row r="41" spans="1:55" ht="28.5" customHeight="1" x14ac:dyDescent="0.45">
      <c r="A41" s="479"/>
      <c r="B41" s="513" t="s">
        <v>238</v>
      </c>
      <c r="C41" s="514"/>
      <c r="D41" s="514"/>
      <c r="E41" s="514"/>
      <c r="F41" s="514"/>
      <c r="G41" s="515"/>
      <c r="H41" s="524" t="s">
        <v>239</v>
      </c>
      <c r="I41" s="524"/>
      <c r="J41" s="524"/>
      <c r="K41" s="524"/>
      <c r="L41" s="524"/>
      <c r="M41" s="524"/>
      <c r="N41" s="524"/>
      <c r="O41" s="524"/>
      <c r="P41" s="524"/>
      <c r="Q41" s="524"/>
      <c r="R41" s="524"/>
      <c r="S41" s="524"/>
      <c r="T41" s="524"/>
      <c r="U41" s="524"/>
      <c r="V41" s="524"/>
      <c r="W41" s="524"/>
      <c r="X41" s="524"/>
      <c r="Y41" s="524"/>
      <c r="Z41" s="524"/>
      <c r="AA41" s="524"/>
      <c r="AB41" s="524"/>
      <c r="AC41" s="524"/>
      <c r="AD41" s="524"/>
      <c r="AE41" s="524"/>
      <c r="AF41" s="524"/>
      <c r="AG41" s="524"/>
      <c r="AH41" s="524"/>
      <c r="AI41" s="524"/>
      <c r="AJ41" s="524"/>
      <c r="AK41" s="524"/>
      <c r="AL41" s="524"/>
      <c r="AM41" s="524"/>
      <c r="AN41" s="524"/>
      <c r="AO41" s="524"/>
      <c r="AP41" s="524"/>
      <c r="AQ41" s="524"/>
      <c r="AR41" s="524"/>
      <c r="AS41" s="524"/>
      <c r="AT41" s="524"/>
      <c r="AU41" s="524"/>
      <c r="AV41" s="524"/>
      <c r="AW41" s="524"/>
      <c r="AX41" s="524"/>
      <c r="AY41" s="525"/>
      <c r="AZ41" s="479"/>
      <c r="BA41" s="479"/>
      <c r="BB41" s="479"/>
      <c r="BC41" s="479"/>
    </row>
    <row r="42" spans="1:55" ht="28.5" customHeight="1" x14ac:dyDescent="0.45">
      <c r="A42" s="479"/>
      <c r="B42" s="518"/>
      <c r="C42" s="519"/>
      <c r="D42" s="519"/>
      <c r="E42" s="519"/>
      <c r="F42" s="519"/>
      <c r="G42" s="520"/>
      <c r="H42" s="521" t="s">
        <v>231</v>
      </c>
      <c r="I42" s="522"/>
      <c r="J42" s="522"/>
      <c r="K42" s="522"/>
      <c r="L42" s="522"/>
      <c r="M42" s="522"/>
      <c r="N42" s="522"/>
      <c r="O42" s="522"/>
      <c r="P42" s="522"/>
      <c r="Q42" s="522"/>
      <c r="R42" s="522"/>
      <c r="S42" s="522"/>
      <c r="T42" s="522"/>
      <c r="U42" s="522"/>
      <c r="V42" s="522"/>
      <c r="W42" s="522"/>
      <c r="X42" s="522"/>
      <c r="Y42" s="522"/>
      <c r="Z42" s="522"/>
      <c r="AA42" s="522"/>
      <c r="AB42" s="522"/>
      <c r="AC42" s="522"/>
      <c r="AD42" s="522"/>
      <c r="AE42" s="522"/>
      <c r="AF42" s="522"/>
      <c r="AG42" s="522"/>
      <c r="AH42" s="522"/>
      <c r="AI42" s="522"/>
      <c r="AJ42" s="522"/>
      <c r="AK42" s="522"/>
      <c r="AL42" s="522"/>
      <c r="AM42" s="522"/>
      <c r="AN42" s="522"/>
      <c r="AO42" s="522"/>
      <c r="AP42" s="522"/>
      <c r="AQ42" s="522"/>
      <c r="AR42" s="522"/>
      <c r="AS42" s="522"/>
      <c r="AT42" s="522"/>
      <c r="AU42" s="522"/>
      <c r="AV42" s="522"/>
      <c r="AW42" s="522"/>
      <c r="AX42" s="522"/>
      <c r="AY42" s="523"/>
      <c r="AZ42" s="479"/>
      <c r="BA42" s="479"/>
      <c r="BB42" s="479"/>
      <c r="BC42" s="479"/>
    </row>
    <row r="43" spans="1:55" s="530" customFormat="1" ht="14.25" customHeight="1" x14ac:dyDescent="0.45">
      <c r="A43" s="529"/>
      <c r="B43" s="364"/>
      <c r="C43" s="364"/>
      <c r="D43" s="364"/>
      <c r="E43" s="364"/>
      <c r="F43" s="364"/>
      <c r="G43" s="364"/>
      <c r="H43" s="505"/>
      <c r="I43" s="505"/>
      <c r="J43" s="505"/>
      <c r="K43" s="505"/>
      <c r="L43" s="505"/>
      <c r="M43" s="505"/>
      <c r="N43" s="505"/>
      <c r="O43" s="501"/>
      <c r="P43" s="501"/>
      <c r="Q43" s="501"/>
      <c r="R43" s="501"/>
      <c r="S43" s="501"/>
      <c r="T43" s="501"/>
      <c r="U43" s="501"/>
      <c r="V43" s="501"/>
      <c r="W43" s="501"/>
      <c r="X43" s="501"/>
      <c r="Y43" s="501"/>
      <c r="Z43" s="501"/>
      <c r="AA43" s="501"/>
      <c r="AB43" s="501"/>
      <c r="AC43" s="501"/>
      <c r="AD43" s="501"/>
      <c r="AE43" s="501"/>
      <c r="AF43" s="501"/>
      <c r="AG43" s="501"/>
      <c r="AH43" s="501"/>
      <c r="AI43" s="501"/>
      <c r="AJ43" s="501"/>
      <c r="AK43" s="501"/>
      <c r="AL43" s="501"/>
      <c r="AM43" s="501"/>
      <c r="AN43" s="501"/>
      <c r="AO43" s="501"/>
      <c r="AP43" s="501"/>
      <c r="AQ43" s="501"/>
      <c r="AR43" s="501"/>
      <c r="AS43" s="501"/>
      <c r="AT43" s="501"/>
      <c r="AU43" s="501"/>
      <c r="AV43" s="501"/>
      <c r="AW43" s="501"/>
      <c r="AX43" s="501"/>
      <c r="AY43" s="501"/>
      <c r="AZ43" s="529"/>
      <c r="BA43" s="529"/>
      <c r="BB43" s="529"/>
      <c r="BC43" s="529"/>
    </row>
    <row r="44" spans="1:55" ht="13.5" customHeight="1" x14ac:dyDescent="0.45">
      <c r="A44" s="479"/>
      <c r="B44" s="535"/>
      <c r="C44" s="536"/>
      <c r="D44" s="536"/>
      <c r="E44" s="536"/>
      <c r="F44" s="537" t="s">
        <v>29</v>
      </c>
      <c r="G44" s="538"/>
      <c r="H44" s="539"/>
      <c r="I44" s="540"/>
      <c r="J44" s="540"/>
      <c r="K44" s="540"/>
      <c r="L44" s="540"/>
      <c r="M44" s="540"/>
      <c r="N44" s="540"/>
      <c r="O44" s="540"/>
      <c r="P44" s="540"/>
      <c r="Q44" s="540"/>
      <c r="R44" s="540"/>
      <c r="S44" s="540"/>
      <c r="T44" s="540"/>
      <c r="U44" s="540"/>
      <c r="V44" s="540"/>
      <c r="W44" s="540"/>
      <c r="X44" s="540"/>
      <c r="Y44" s="540"/>
      <c r="Z44" s="540"/>
      <c r="AA44" s="540"/>
      <c r="AB44" s="540"/>
      <c r="AC44" s="540"/>
      <c r="AD44" s="540"/>
      <c r="AE44" s="540"/>
      <c r="AF44" s="540"/>
      <c r="AG44" s="540"/>
      <c r="AH44" s="540"/>
      <c r="AI44" s="540"/>
      <c r="AJ44" s="540"/>
      <c r="AK44" s="540"/>
      <c r="AL44" s="540"/>
      <c r="AM44" s="540"/>
      <c r="AN44" s="540"/>
      <c r="AO44" s="540"/>
      <c r="AP44" s="540"/>
      <c r="AQ44" s="540"/>
      <c r="AR44" s="540"/>
      <c r="AS44" s="540"/>
      <c r="AT44" s="540"/>
      <c r="AU44" s="540"/>
      <c r="AV44" s="540"/>
      <c r="AW44" s="540"/>
      <c r="AX44" s="540"/>
      <c r="AY44" s="541"/>
      <c r="AZ44" s="479"/>
      <c r="BA44" s="479"/>
      <c r="BB44" s="479"/>
      <c r="BC44" s="479"/>
    </row>
    <row r="45" spans="1:55" ht="28.5" customHeight="1" x14ac:dyDescent="0.45">
      <c r="A45" s="479"/>
      <c r="B45" s="513" t="s">
        <v>240</v>
      </c>
      <c r="C45" s="514"/>
      <c r="D45" s="514"/>
      <c r="E45" s="514"/>
      <c r="F45" s="514"/>
      <c r="G45" s="515"/>
      <c r="H45" s="542"/>
      <c r="I45" s="542"/>
      <c r="J45" s="542"/>
      <c r="K45" s="542"/>
      <c r="L45" s="542"/>
      <c r="M45" s="542"/>
      <c r="N45" s="542"/>
      <c r="O45" s="542"/>
      <c r="P45" s="542"/>
      <c r="Q45" s="542"/>
      <c r="R45" s="542"/>
      <c r="S45" s="542"/>
      <c r="T45" s="542"/>
      <c r="U45" s="542"/>
      <c r="V45" s="542"/>
      <c r="W45" s="542"/>
      <c r="X45" s="542"/>
      <c r="Y45" s="542"/>
      <c r="Z45" s="542"/>
      <c r="AA45" s="542"/>
      <c r="AB45" s="542"/>
      <c r="AC45" s="542"/>
      <c r="AD45" s="542"/>
      <c r="AE45" s="542"/>
      <c r="AF45" s="542"/>
      <c r="AG45" s="542"/>
      <c r="AH45" s="542"/>
      <c r="AI45" s="542"/>
      <c r="AJ45" s="542"/>
      <c r="AK45" s="542"/>
      <c r="AL45" s="542"/>
      <c r="AM45" s="542"/>
      <c r="AN45" s="542"/>
      <c r="AO45" s="542"/>
      <c r="AP45" s="542"/>
      <c r="AQ45" s="542"/>
      <c r="AR45" s="542"/>
      <c r="AS45" s="542"/>
      <c r="AT45" s="542"/>
      <c r="AU45" s="542"/>
      <c r="AV45" s="542"/>
      <c r="AW45" s="542"/>
      <c r="AX45" s="542"/>
      <c r="AY45" s="543"/>
      <c r="AZ45" s="479"/>
      <c r="BA45" s="479"/>
      <c r="BB45" s="479"/>
      <c r="BC45" s="479"/>
    </row>
    <row r="46" spans="1:55" ht="30" customHeight="1" x14ac:dyDescent="0.45">
      <c r="A46" s="479"/>
      <c r="B46" s="518"/>
      <c r="C46" s="519"/>
      <c r="D46" s="519"/>
      <c r="E46" s="519"/>
      <c r="F46" s="519"/>
      <c r="G46" s="520"/>
      <c r="H46" s="521" t="s">
        <v>241</v>
      </c>
      <c r="I46" s="522"/>
      <c r="J46" s="522"/>
      <c r="K46" s="522"/>
      <c r="L46" s="522"/>
      <c r="M46" s="522"/>
      <c r="N46" s="522"/>
      <c r="O46" s="522"/>
      <c r="P46" s="522"/>
      <c r="Q46" s="522"/>
      <c r="R46" s="522"/>
      <c r="S46" s="522"/>
      <c r="T46" s="522"/>
      <c r="U46" s="522"/>
      <c r="V46" s="522"/>
      <c r="W46" s="522"/>
      <c r="X46" s="522"/>
      <c r="Y46" s="522"/>
      <c r="Z46" s="522"/>
      <c r="AA46" s="522"/>
      <c r="AB46" s="522"/>
      <c r="AC46" s="522"/>
      <c r="AD46" s="522"/>
      <c r="AE46" s="522"/>
      <c r="AF46" s="522"/>
      <c r="AG46" s="522"/>
      <c r="AH46" s="522"/>
      <c r="AI46" s="522"/>
      <c r="AJ46" s="522"/>
      <c r="AK46" s="522"/>
      <c r="AL46" s="522"/>
      <c r="AM46" s="522"/>
      <c r="AN46" s="522"/>
      <c r="AO46" s="522"/>
      <c r="AP46" s="522"/>
      <c r="AQ46" s="522"/>
      <c r="AR46" s="522"/>
      <c r="AS46" s="522"/>
      <c r="AT46" s="522"/>
      <c r="AU46" s="522"/>
      <c r="AV46" s="522"/>
      <c r="AW46" s="522"/>
      <c r="AX46" s="522"/>
      <c r="AY46" s="523"/>
      <c r="AZ46" s="479"/>
      <c r="BA46" s="479"/>
      <c r="BB46" s="479"/>
      <c r="BC46" s="479"/>
    </row>
    <row r="47" spans="1:55" ht="12.75" customHeight="1" x14ac:dyDescent="0.45">
      <c r="A47" s="479"/>
      <c r="B47" s="507"/>
      <c r="C47" s="508"/>
      <c r="D47" s="508"/>
      <c r="E47" s="508"/>
      <c r="F47" s="509" t="s">
        <v>29</v>
      </c>
      <c r="G47" s="510"/>
      <c r="H47" s="544"/>
      <c r="I47" s="511"/>
      <c r="J47" s="511"/>
      <c r="K47" s="511"/>
      <c r="L47" s="511"/>
      <c r="M47" s="511"/>
      <c r="N47" s="511"/>
      <c r="O47" s="511"/>
      <c r="P47" s="511"/>
      <c r="Q47" s="511"/>
      <c r="R47" s="511"/>
      <c r="S47" s="511"/>
      <c r="T47" s="511"/>
      <c r="U47" s="511"/>
      <c r="V47" s="511"/>
      <c r="W47" s="511"/>
      <c r="X47" s="511"/>
      <c r="Y47" s="511"/>
      <c r="Z47" s="511"/>
      <c r="AA47" s="511"/>
      <c r="AB47" s="511"/>
      <c r="AC47" s="511"/>
      <c r="AD47" s="511"/>
      <c r="AE47" s="511"/>
      <c r="AF47" s="511"/>
      <c r="AG47" s="511"/>
      <c r="AH47" s="511"/>
      <c r="AI47" s="511"/>
      <c r="AJ47" s="511"/>
      <c r="AK47" s="511"/>
      <c r="AL47" s="511"/>
      <c r="AM47" s="511"/>
      <c r="AN47" s="511"/>
      <c r="AO47" s="511"/>
      <c r="AP47" s="511"/>
      <c r="AQ47" s="511"/>
      <c r="AR47" s="511"/>
      <c r="AS47" s="511"/>
      <c r="AT47" s="511"/>
      <c r="AU47" s="511"/>
      <c r="AV47" s="511"/>
      <c r="AW47" s="511"/>
      <c r="AX47" s="511"/>
      <c r="AY47" s="512"/>
      <c r="AZ47" s="479"/>
      <c r="BA47" s="479"/>
      <c r="BB47" s="479"/>
      <c r="BC47" s="479"/>
    </row>
    <row r="48" spans="1:55" ht="28.5" customHeight="1" x14ac:dyDescent="0.45">
      <c r="A48" s="479"/>
      <c r="B48" s="513" t="s">
        <v>242</v>
      </c>
      <c r="C48" s="514"/>
      <c r="D48" s="514"/>
      <c r="E48" s="514"/>
      <c r="F48" s="514"/>
      <c r="G48" s="515"/>
      <c r="H48" s="524"/>
      <c r="I48" s="524"/>
      <c r="J48" s="524"/>
      <c r="K48" s="524"/>
      <c r="L48" s="524"/>
      <c r="M48" s="524"/>
      <c r="N48" s="524"/>
      <c r="O48" s="524"/>
      <c r="P48" s="524"/>
      <c r="Q48" s="524"/>
      <c r="R48" s="524"/>
      <c r="S48" s="524"/>
      <c r="T48" s="524"/>
      <c r="U48" s="524"/>
      <c r="V48" s="524"/>
      <c r="W48" s="524"/>
      <c r="X48" s="524"/>
      <c r="Y48" s="524"/>
      <c r="Z48" s="524"/>
      <c r="AA48" s="524"/>
      <c r="AB48" s="524"/>
      <c r="AC48" s="524"/>
      <c r="AD48" s="524"/>
      <c r="AE48" s="524"/>
      <c r="AF48" s="524"/>
      <c r="AG48" s="524"/>
      <c r="AH48" s="524"/>
      <c r="AI48" s="524"/>
      <c r="AJ48" s="524"/>
      <c r="AK48" s="524"/>
      <c r="AL48" s="524"/>
      <c r="AM48" s="524"/>
      <c r="AN48" s="524"/>
      <c r="AO48" s="524"/>
      <c r="AP48" s="524"/>
      <c r="AQ48" s="524"/>
      <c r="AR48" s="524"/>
      <c r="AS48" s="524"/>
      <c r="AT48" s="524"/>
      <c r="AU48" s="524"/>
      <c r="AV48" s="524"/>
      <c r="AW48" s="524"/>
      <c r="AX48" s="524"/>
      <c r="AY48" s="525"/>
      <c r="AZ48" s="479"/>
      <c r="BA48" s="479"/>
      <c r="BB48" s="479"/>
      <c r="BC48" s="479"/>
    </row>
    <row r="49" spans="1:55" ht="32.25" customHeight="1" x14ac:dyDescent="0.45">
      <c r="A49" s="479"/>
      <c r="B49" s="518"/>
      <c r="C49" s="519"/>
      <c r="D49" s="519"/>
      <c r="E49" s="519"/>
      <c r="F49" s="519"/>
      <c r="G49" s="520"/>
      <c r="H49" s="521" t="s">
        <v>231</v>
      </c>
      <c r="I49" s="522"/>
      <c r="J49" s="522"/>
      <c r="K49" s="522"/>
      <c r="L49" s="522"/>
      <c r="M49" s="522"/>
      <c r="N49" s="522"/>
      <c r="O49" s="522"/>
      <c r="P49" s="522"/>
      <c r="Q49" s="522"/>
      <c r="R49" s="522"/>
      <c r="S49" s="522"/>
      <c r="T49" s="522"/>
      <c r="U49" s="522"/>
      <c r="V49" s="522"/>
      <c r="W49" s="522"/>
      <c r="X49" s="522"/>
      <c r="Y49" s="522"/>
      <c r="Z49" s="522"/>
      <c r="AA49" s="522"/>
      <c r="AB49" s="522"/>
      <c r="AC49" s="522"/>
      <c r="AD49" s="522"/>
      <c r="AE49" s="522"/>
      <c r="AF49" s="522"/>
      <c r="AG49" s="522"/>
      <c r="AH49" s="522"/>
      <c r="AI49" s="522"/>
      <c r="AJ49" s="522"/>
      <c r="AK49" s="522"/>
      <c r="AL49" s="522"/>
      <c r="AM49" s="522"/>
      <c r="AN49" s="522"/>
      <c r="AO49" s="522"/>
      <c r="AP49" s="522"/>
      <c r="AQ49" s="522"/>
      <c r="AR49" s="522"/>
      <c r="AS49" s="522"/>
      <c r="AT49" s="522"/>
      <c r="AU49" s="522"/>
      <c r="AV49" s="522"/>
      <c r="AW49" s="522"/>
      <c r="AX49" s="522"/>
      <c r="AY49" s="523"/>
      <c r="AZ49" s="479"/>
      <c r="BA49" s="479"/>
      <c r="BB49" s="479"/>
      <c r="BC49" s="479"/>
    </row>
    <row r="50" spans="1:55" x14ac:dyDescent="0.45">
      <c r="A50" s="479"/>
      <c r="B50" s="479"/>
      <c r="C50" s="1" t="s">
        <v>232</v>
      </c>
      <c r="D50" s="479"/>
      <c r="E50" s="479"/>
      <c r="F50" s="479"/>
      <c r="G50" s="479"/>
      <c r="H50" s="479"/>
      <c r="I50" s="479"/>
      <c r="J50" s="479"/>
      <c r="K50" s="479"/>
      <c r="L50" s="479"/>
      <c r="M50" s="479"/>
      <c r="N50" s="479"/>
      <c r="O50" s="479"/>
      <c r="P50" s="479"/>
      <c r="Q50" s="479"/>
      <c r="R50" s="479"/>
      <c r="S50" s="479"/>
      <c r="T50" s="479"/>
      <c r="U50" s="479"/>
      <c r="V50" s="479"/>
      <c r="W50" s="479"/>
      <c r="X50" s="479"/>
      <c r="Y50" s="479"/>
      <c r="Z50" s="479"/>
      <c r="AA50" s="479"/>
      <c r="AB50" s="479"/>
      <c r="AC50" s="479"/>
      <c r="AD50" s="479"/>
      <c r="AE50" s="479"/>
      <c r="AF50" s="479"/>
      <c r="AG50" s="479"/>
      <c r="AH50" s="479"/>
      <c r="AI50" s="479"/>
      <c r="AJ50" s="479"/>
      <c r="AK50" s="479"/>
      <c r="AL50" s="479"/>
      <c r="AM50" s="479"/>
      <c r="AN50" s="479"/>
      <c r="AO50" s="479"/>
      <c r="AP50" s="479"/>
      <c r="AQ50" s="479"/>
      <c r="AR50" s="479"/>
      <c r="AS50" s="479"/>
      <c r="AT50" s="479"/>
      <c r="AU50" s="479"/>
      <c r="AV50" s="479"/>
      <c r="AW50" s="479"/>
      <c r="AX50" s="479"/>
      <c r="AY50" s="479"/>
      <c r="AZ50" s="479"/>
      <c r="BA50" s="479"/>
      <c r="BB50" s="479"/>
      <c r="BC50" s="479"/>
    </row>
    <row r="51" spans="1:55" x14ac:dyDescent="0.45">
      <c r="A51" s="479"/>
      <c r="B51" s="479"/>
      <c r="C51" s="1"/>
      <c r="D51" s="479"/>
      <c r="E51" s="479"/>
      <c r="F51" s="479"/>
      <c r="G51" s="479"/>
      <c r="H51" s="479"/>
      <c r="I51" s="479"/>
      <c r="J51" s="479"/>
      <c r="K51" s="479"/>
      <c r="L51" s="479"/>
      <c r="M51" s="479"/>
      <c r="N51" s="479"/>
      <c r="O51" s="479"/>
      <c r="P51" s="479"/>
      <c r="Q51" s="479"/>
      <c r="R51" s="479"/>
      <c r="S51" s="479"/>
      <c r="T51" s="479"/>
      <c r="U51" s="479"/>
      <c r="V51" s="479"/>
      <c r="W51" s="479"/>
      <c r="X51" s="479"/>
      <c r="Y51" s="479"/>
      <c r="Z51" s="479"/>
      <c r="AA51" s="479"/>
      <c r="AB51" s="479"/>
      <c r="AC51" s="479"/>
      <c r="AD51" s="479"/>
      <c r="AE51" s="479"/>
      <c r="AF51" s="479"/>
      <c r="AG51" s="479"/>
      <c r="AH51" s="479"/>
      <c r="AI51" s="479"/>
      <c r="AJ51" s="479"/>
      <c r="AK51" s="479"/>
      <c r="AL51" s="479"/>
      <c r="AM51" s="479"/>
      <c r="AN51" s="479"/>
      <c r="AO51" s="479"/>
      <c r="AP51" s="479"/>
      <c r="AQ51" s="479"/>
      <c r="AR51" s="479"/>
      <c r="AS51" s="479"/>
      <c r="AT51" s="479"/>
      <c r="AU51" s="479"/>
      <c r="AV51" s="479"/>
      <c r="AW51" s="479"/>
      <c r="AX51" s="479"/>
      <c r="AY51" s="479"/>
      <c r="AZ51" s="479"/>
      <c r="BA51" s="479"/>
      <c r="BB51" s="479"/>
      <c r="BC51" s="479"/>
    </row>
    <row r="52" spans="1:55" ht="14.25" hidden="1" customHeight="1" x14ac:dyDescent="0.45">
      <c r="A52" s="479"/>
      <c r="B52" s="526" t="s">
        <v>243</v>
      </c>
      <c r="C52" s="527"/>
      <c r="D52" s="527"/>
      <c r="E52" s="527"/>
      <c r="F52" s="527"/>
      <c r="G52" s="527"/>
      <c r="H52" s="527"/>
      <c r="I52" s="527"/>
      <c r="J52" s="527"/>
      <c r="K52" s="527"/>
      <c r="L52" s="527"/>
      <c r="M52" s="527"/>
      <c r="N52" s="527"/>
      <c r="O52" s="527"/>
      <c r="P52" s="527"/>
      <c r="Q52" s="527"/>
      <c r="R52" s="527"/>
      <c r="S52" s="527"/>
      <c r="T52" s="527"/>
      <c r="U52" s="527"/>
      <c r="V52" s="527"/>
      <c r="W52" s="527"/>
      <c r="X52" s="527"/>
      <c r="Y52" s="527"/>
      <c r="Z52" s="527"/>
      <c r="AA52" s="528"/>
      <c r="AB52" s="501"/>
      <c r="AC52" s="501"/>
      <c r="AD52" s="501"/>
      <c r="AE52" s="501"/>
      <c r="AF52" s="501"/>
      <c r="AG52" s="501"/>
      <c r="AH52" s="501"/>
      <c r="AI52" s="501"/>
      <c r="AJ52" s="501"/>
      <c r="AK52" s="501"/>
      <c r="AL52" s="501"/>
      <c r="AM52" s="501"/>
      <c r="AN52" s="501"/>
      <c r="AO52" s="501"/>
      <c r="AP52" s="501"/>
      <c r="AQ52" s="501"/>
      <c r="AR52" s="501"/>
      <c r="AS52" s="501"/>
      <c r="AT52" s="501"/>
      <c r="AU52" s="501"/>
      <c r="AV52" s="501"/>
      <c r="AW52" s="501"/>
      <c r="AX52" s="501"/>
      <c r="AY52" s="501"/>
      <c r="AZ52" s="479"/>
      <c r="BA52" s="479"/>
      <c r="BB52" s="479"/>
      <c r="BC52" s="479"/>
    </row>
    <row r="53" spans="1:55" s="530" customFormat="1" ht="14.25" hidden="1" customHeight="1" x14ac:dyDescent="0.45">
      <c r="A53" s="529"/>
      <c r="B53" s="364"/>
      <c r="C53" s="364"/>
      <c r="D53" s="364"/>
      <c r="E53" s="364"/>
      <c r="F53" s="364"/>
      <c r="G53" s="364"/>
      <c r="H53" s="505"/>
      <c r="I53" s="505"/>
      <c r="J53" s="505"/>
      <c r="K53" s="505"/>
      <c r="L53" s="505"/>
      <c r="M53" s="505"/>
      <c r="N53" s="505"/>
      <c r="O53" s="501"/>
      <c r="P53" s="501"/>
      <c r="Q53" s="501"/>
      <c r="R53" s="501"/>
      <c r="S53" s="501"/>
      <c r="T53" s="501"/>
      <c r="U53" s="501"/>
      <c r="V53" s="501"/>
      <c r="W53" s="501"/>
      <c r="X53" s="501"/>
      <c r="Y53" s="501"/>
      <c r="Z53" s="501"/>
      <c r="AA53" s="501"/>
      <c r="AB53" s="501"/>
      <c r="AC53" s="501"/>
      <c r="AD53" s="501"/>
      <c r="AE53" s="501"/>
      <c r="AF53" s="501"/>
      <c r="AG53" s="501"/>
      <c r="AH53" s="501"/>
      <c r="AI53" s="501"/>
      <c r="AJ53" s="501"/>
      <c r="AK53" s="501"/>
      <c r="AL53" s="501"/>
      <c r="AM53" s="501"/>
      <c r="AN53" s="501"/>
      <c r="AO53" s="501"/>
      <c r="AP53" s="501"/>
      <c r="AQ53" s="501"/>
      <c r="AR53" s="501"/>
      <c r="AS53" s="501"/>
      <c r="AT53" s="501"/>
      <c r="AU53" s="501"/>
      <c r="AV53" s="501"/>
      <c r="AW53" s="501"/>
      <c r="AX53" s="501"/>
      <c r="AY53" s="501"/>
      <c r="AZ53" s="529"/>
      <c r="BA53" s="529"/>
      <c r="BB53" s="529"/>
      <c r="BC53" s="529"/>
    </row>
    <row r="54" spans="1:55" s="530" customFormat="1" ht="14.25" hidden="1" customHeight="1" x14ac:dyDescent="0.45">
      <c r="A54" s="529"/>
      <c r="B54" s="545" t="s">
        <v>244</v>
      </c>
      <c r="C54" s="546"/>
      <c r="D54" s="546"/>
      <c r="E54" s="546"/>
      <c r="F54" s="546"/>
      <c r="G54" s="546"/>
      <c r="H54" s="547" t="s">
        <v>47</v>
      </c>
      <c r="I54" s="548"/>
      <c r="J54" s="549" t="s">
        <v>245</v>
      </c>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549"/>
      <c r="AI54" s="549"/>
      <c r="AJ54" s="549"/>
      <c r="AK54" s="549"/>
      <c r="AL54" s="549"/>
      <c r="AM54" s="549"/>
      <c r="AN54" s="549"/>
      <c r="AO54" s="549"/>
      <c r="AP54" s="549"/>
      <c r="AQ54" s="549"/>
      <c r="AR54" s="549"/>
      <c r="AS54" s="549"/>
      <c r="AT54" s="549"/>
      <c r="AU54" s="549"/>
      <c r="AV54" s="549"/>
      <c r="AW54" s="549"/>
      <c r="AX54" s="549"/>
      <c r="AY54" s="550"/>
      <c r="AZ54" s="529"/>
      <c r="BA54" s="529"/>
      <c r="BB54" s="529"/>
      <c r="BC54" s="529"/>
    </row>
    <row r="55" spans="1:55" ht="14.25" hidden="1" customHeight="1" x14ac:dyDescent="0.45">
      <c r="B55" s="545" t="s">
        <v>246</v>
      </c>
      <c r="C55" s="546"/>
      <c r="D55" s="546"/>
      <c r="E55" s="546"/>
      <c r="F55" s="546"/>
      <c r="G55" s="546"/>
      <c r="H55" s="547" t="s">
        <v>47</v>
      </c>
      <c r="I55" s="548"/>
      <c r="J55" s="549" t="s">
        <v>247</v>
      </c>
      <c r="K55" s="549"/>
      <c r="L55" s="549"/>
      <c r="M55" s="549"/>
      <c r="N55" s="549"/>
      <c r="O55" s="549"/>
      <c r="P55" s="549"/>
      <c r="Q55" s="548" t="s">
        <v>47</v>
      </c>
      <c r="R55" s="548"/>
      <c r="S55" s="549" t="s">
        <v>248</v>
      </c>
      <c r="T55" s="549"/>
      <c r="U55" s="549"/>
      <c r="V55" s="549"/>
      <c r="W55" s="549"/>
      <c r="X55" s="549"/>
      <c r="Y55" s="549"/>
      <c r="Z55" s="549"/>
      <c r="AA55" s="549"/>
      <c r="AB55" s="549"/>
      <c r="AC55" s="549"/>
      <c r="AD55" s="549"/>
      <c r="AE55" s="549"/>
      <c r="AF55" s="549"/>
      <c r="AG55" s="549"/>
      <c r="AH55" s="549"/>
      <c r="AI55" s="549"/>
      <c r="AJ55" s="549"/>
      <c r="AK55" s="549"/>
      <c r="AL55" s="549"/>
      <c r="AM55" s="549"/>
      <c r="AN55" s="549"/>
      <c r="AO55" s="549"/>
      <c r="AP55" s="549"/>
      <c r="AQ55" s="549"/>
      <c r="AR55" s="549"/>
      <c r="AS55" s="549"/>
      <c r="AT55" s="549"/>
      <c r="AU55" s="549"/>
      <c r="AV55" s="549"/>
      <c r="AW55" s="549"/>
      <c r="AX55" s="549"/>
      <c r="AY55" s="550"/>
      <c r="AZ55" s="479"/>
      <c r="BA55" s="479"/>
      <c r="BB55" s="479"/>
      <c r="BC55" s="479"/>
    </row>
    <row r="56" spans="1:55" ht="14.25" hidden="1" customHeight="1" x14ac:dyDescent="0.45">
      <c r="B56" s="545" t="s">
        <v>249</v>
      </c>
      <c r="C56" s="546"/>
      <c r="D56" s="546"/>
      <c r="E56" s="546"/>
      <c r="F56" s="546"/>
      <c r="G56" s="546"/>
      <c r="H56" s="551"/>
      <c r="I56" s="552"/>
      <c r="J56" s="552"/>
      <c r="K56" s="552"/>
      <c r="L56" s="552"/>
      <c r="M56" s="552"/>
      <c r="N56" s="552"/>
      <c r="O56" s="552"/>
      <c r="P56" s="552"/>
      <c r="Q56" s="552"/>
      <c r="R56" s="552"/>
      <c r="S56" s="552"/>
      <c r="T56" s="552"/>
      <c r="U56" s="552"/>
      <c r="V56" s="552"/>
      <c r="W56" s="552"/>
      <c r="X56" s="552"/>
      <c r="Y56" s="552"/>
      <c r="Z56" s="552"/>
      <c r="AA56" s="552"/>
      <c r="AB56" s="552"/>
      <c r="AC56" s="552"/>
      <c r="AD56" s="552"/>
      <c r="AE56" s="552"/>
      <c r="AF56" s="552"/>
      <c r="AG56" s="552"/>
      <c r="AH56" s="552"/>
      <c r="AI56" s="552"/>
      <c r="AJ56" s="552"/>
      <c r="AK56" s="552"/>
      <c r="AL56" s="552"/>
      <c r="AM56" s="552"/>
      <c r="AN56" s="552"/>
      <c r="AO56" s="552"/>
      <c r="AP56" s="552"/>
      <c r="AQ56" s="552"/>
      <c r="AR56" s="552"/>
      <c r="AS56" s="552"/>
      <c r="AT56" s="552"/>
      <c r="AU56" s="552"/>
      <c r="AV56" s="552"/>
      <c r="AW56" s="552"/>
      <c r="AX56" s="552"/>
      <c r="AY56" s="553"/>
      <c r="AZ56" s="479"/>
      <c r="BA56" s="479"/>
      <c r="BB56" s="479"/>
      <c r="BC56" s="479"/>
    </row>
    <row r="57" spans="1:55" ht="14.25" hidden="1" customHeight="1" x14ac:dyDescent="0.45">
      <c r="B57" s="545" t="s">
        <v>250</v>
      </c>
      <c r="C57" s="546"/>
      <c r="D57" s="546"/>
      <c r="E57" s="546"/>
      <c r="F57" s="546"/>
      <c r="G57" s="554"/>
      <c r="H57" s="555"/>
      <c r="I57" s="556"/>
      <c r="J57" s="556"/>
      <c r="K57" s="556"/>
      <c r="L57" s="556"/>
      <c r="M57" s="556"/>
      <c r="N57" s="556"/>
      <c r="O57" s="556"/>
      <c r="P57" s="556"/>
      <c r="Q57" s="556"/>
      <c r="R57" s="556"/>
      <c r="S57" s="556"/>
      <c r="T57" s="556"/>
      <c r="U57" s="556"/>
      <c r="V57" s="556"/>
      <c r="W57" s="556"/>
      <c r="X57" s="556"/>
      <c r="Y57" s="556"/>
      <c r="Z57" s="556"/>
      <c r="AA57" s="556"/>
      <c r="AB57" s="556"/>
      <c r="AC57" s="556"/>
      <c r="AD57" s="556"/>
      <c r="AE57" s="556"/>
      <c r="AF57" s="556"/>
      <c r="AG57" s="556"/>
      <c r="AH57" s="556"/>
      <c r="AI57" s="556"/>
      <c r="AJ57" s="556"/>
      <c r="AK57" s="556"/>
      <c r="AL57" s="556"/>
      <c r="AM57" s="556"/>
      <c r="AN57" s="556"/>
      <c r="AO57" s="556"/>
      <c r="AP57" s="556"/>
      <c r="AQ57" s="556"/>
      <c r="AR57" s="556"/>
      <c r="AS57" s="556"/>
      <c r="AT57" s="556"/>
      <c r="AU57" s="556"/>
      <c r="AV57" s="556"/>
      <c r="AW57" s="556"/>
      <c r="AX57" s="556"/>
      <c r="AY57" s="557"/>
      <c r="AZ57" s="479"/>
      <c r="BA57" s="479"/>
      <c r="BB57" s="479"/>
      <c r="BC57" s="479"/>
    </row>
    <row r="58" spans="1:55" ht="14.25" hidden="1" customHeight="1" x14ac:dyDescent="0.45">
      <c r="B58" s="545" t="s">
        <v>251</v>
      </c>
      <c r="C58" s="546"/>
      <c r="D58" s="546"/>
      <c r="E58" s="546"/>
      <c r="F58" s="546"/>
      <c r="G58" s="546"/>
      <c r="H58" s="558"/>
      <c r="I58" s="559"/>
      <c r="J58" s="559"/>
      <c r="K58" s="559"/>
      <c r="L58" s="559"/>
      <c r="M58" s="559"/>
      <c r="N58" s="559"/>
      <c r="O58" s="559"/>
      <c r="P58" s="559"/>
      <c r="Q58" s="559"/>
      <c r="R58" s="559"/>
      <c r="S58" s="559"/>
      <c r="T58" s="559"/>
      <c r="U58" s="559"/>
      <c r="V58" s="559"/>
      <c r="W58" s="559"/>
      <c r="X58" s="559"/>
      <c r="Y58" s="559"/>
      <c r="Z58" s="559"/>
      <c r="AA58" s="559"/>
      <c r="AB58" s="559"/>
      <c r="AC58" s="559"/>
      <c r="AD58" s="559"/>
      <c r="AE58" s="559"/>
      <c r="AF58" s="559"/>
      <c r="AG58" s="559"/>
      <c r="AH58" s="559"/>
      <c r="AI58" s="559"/>
      <c r="AJ58" s="559"/>
      <c r="AK58" s="559"/>
      <c r="AL58" s="559"/>
      <c r="AM58" s="559"/>
      <c r="AN58" s="559"/>
      <c r="AO58" s="559"/>
      <c r="AP58" s="559"/>
      <c r="AQ58" s="559"/>
      <c r="AR58" s="559"/>
      <c r="AS58" s="559"/>
      <c r="AT58" s="559"/>
      <c r="AU58" s="559"/>
      <c r="AV58" s="559"/>
      <c r="AW58" s="559"/>
      <c r="AX58" s="559"/>
      <c r="AY58" s="560"/>
      <c r="AZ58" s="479"/>
      <c r="BA58" s="479"/>
      <c r="BB58" s="479"/>
      <c r="BC58" s="479"/>
    </row>
    <row r="59" spans="1:55" x14ac:dyDescent="0.45">
      <c r="A59" s="479"/>
      <c r="B59" s="479"/>
      <c r="C59" s="479"/>
      <c r="D59" s="479"/>
      <c r="E59" s="479"/>
      <c r="F59" s="479"/>
      <c r="G59" s="479"/>
      <c r="H59" s="479"/>
      <c r="I59" s="479"/>
      <c r="J59" s="479"/>
      <c r="K59" s="479"/>
      <c r="L59" s="479"/>
      <c r="M59" s="479"/>
      <c r="N59" s="479"/>
      <c r="O59" s="479"/>
      <c r="P59" s="479"/>
      <c r="Q59" s="479"/>
      <c r="R59" s="479"/>
      <c r="S59" s="479"/>
      <c r="T59" s="479"/>
      <c r="U59" s="479"/>
      <c r="V59" s="479"/>
      <c r="W59" s="479"/>
      <c r="X59" s="479"/>
      <c r="Y59" s="479"/>
      <c r="Z59" s="479"/>
      <c r="AA59" s="479"/>
      <c r="AB59" s="479"/>
      <c r="AC59" s="479"/>
      <c r="AD59" s="479"/>
      <c r="AE59" s="479"/>
      <c r="AF59" s="479"/>
      <c r="AG59" s="479"/>
      <c r="AH59" s="479"/>
      <c r="AI59" s="479"/>
      <c r="AJ59" s="479"/>
      <c r="AK59" s="479"/>
      <c r="AL59" s="479"/>
      <c r="AM59" s="479"/>
      <c r="AN59" s="479"/>
      <c r="AO59" s="479"/>
      <c r="AP59" s="479"/>
      <c r="AQ59" s="479"/>
      <c r="AR59" s="479"/>
      <c r="AS59" s="479"/>
      <c r="AT59" s="479"/>
      <c r="AU59" s="479"/>
      <c r="AV59" s="479"/>
      <c r="AW59" s="479"/>
      <c r="AX59" s="479"/>
      <c r="AY59" s="479"/>
      <c r="AZ59" s="479"/>
      <c r="BA59" s="479"/>
      <c r="BB59" s="479"/>
      <c r="BC59" s="479"/>
    </row>
    <row r="60" spans="1:55" ht="14.25" customHeight="1" x14ac:dyDescent="0.45">
      <c r="A60" s="479"/>
      <c r="B60" s="526" t="s">
        <v>252</v>
      </c>
      <c r="C60" s="527"/>
      <c r="D60" s="527"/>
      <c r="E60" s="527"/>
      <c r="F60" s="527"/>
      <c r="G60" s="527"/>
      <c r="H60" s="527"/>
      <c r="I60" s="527"/>
      <c r="J60" s="527"/>
      <c r="K60" s="527"/>
      <c r="L60" s="527"/>
      <c r="M60" s="527"/>
      <c r="N60" s="527"/>
      <c r="O60" s="527"/>
      <c r="P60" s="527"/>
      <c r="Q60" s="527"/>
      <c r="R60" s="527"/>
      <c r="S60" s="527"/>
      <c r="T60" s="527"/>
      <c r="U60" s="527"/>
      <c r="V60" s="527"/>
      <c r="W60" s="527"/>
      <c r="X60" s="527"/>
      <c r="Y60" s="527"/>
      <c r="Z60" s="527"/>
      <c r="AA60" s="528"/>
      <c r="AB60" s="501"/>
      <c r="AC60" s="501"/>
      <c r="AD60" s="501"/>
      <c r="AE60" s="501"/>
      <c r="AF60" s="501"/>
      <c r="AG60" s="501"/>
      <c r="AH60" s="501"/>
      <c r="AI60" s="501"/>
      <c r="AJ60" s="501"/>
      <c r="AK60" s="501"/>
      <c r="AL60" s="501"/>
      <c r="AM60" s="501"/>
      <c r="AN60" s="501"/>
      <c r="AO60" s="501"/>
      <c r="AP60" s="501"/>
      <c r="AQ60" s="501"/>
      <c r="AR60" s="501"/>
      <c r="AS60" s="501"/>
      <c r="AT60" s="501"/>
      <c r="AU60" s="501"/>
      <c r="AV60" s="501"/>
      <c r="AW60" s="501"/>
      <c r="AX60" s="501"/>
      <c r="AY60" s="501"/>
      <c r="AZ60" s="479"/>
      <c r="BA60" s="479"/>
      <c r="BB60" s="479"/>
      <c r="BC60" s="479"/>
    </row>
    <row r="61" spans="1:55" s="530" customFormat="1" ht="14.25" customHeight="1" x14ac:dyDescent="0.45">
      <c r="A61" s="529"/>
      <c r="B61" s="364"/>
      <c r="C61" s="364"/>
      <c r="D61" s="364"/>
      <c r="E61" s="364"/>
      <c r="F61" s="364"/>
      <c r="G61" s="364"/>
      <c r="H61" s="505"/>
      <c r="I61" s="505"/>
      <c r="J61" s="505"/>
      <c r="K61" s="505"/>
      <c r="L61" s="505"/>
      <c r="M61" s="505"/>
      <c r="N61" s="505"/>
      <c r="O61" s="501"/>
      <c r="P61" s="501"/>
      <c r="Q61" s="501"/>
      <c r="R61" s="501"/>
      <c r="S61" s="501"/>
      <c r="T61" s="501"/>
      <c r="U61" s="501"/>
      <c r="V61" s="501"/>
      <c r="W61" s="501"/>
      <c r="X61" s="501"/>
      <c r="Y61" s="501"/>
      <c r="Z61" s="501"/>
      <c r="AA61" s="501"/>
      <c r="AB61" s="501"/>
      <c r="AC61" s="501"/>
      <c r="AD61" s="501"/>
      <c r="AE61" s="501"/>
      <c r="AF61" s="501"/>
      <c r="AG61" s="501"/>
      <c r="AH61" s="501"/>
      <c r="AI61" s="501"/>
      <c r="AJ61" s="501"/>
      <c r="AK61" s="501"/>
      <c r="AL61" s="501"/>
      <c r="AM61" s="501"/>
      <c r="AN61" s="501"/>
      <c r="AO61" s="501"/>
      <c r="AP61" s="501"/>
      <c r="AQ61" s="501"/>
      <c r="AR61" s="501"/>
      <c r="AS61" s="501"/>
      <c r="AT61" s="501"/>
      <c r="AU61" s="501"/>
      <c r="AV61" s="501"/>
      <c r="AW61" s="501"/>
      <c r="AX61" s="501"/>
      <c r="AY61" s="501"/>
      <c r="AZ61" s="529"/>
      <c r="BA61" s="529"/>
      <c r="BB61" s="529"/>
      <c r="BC61" s="529"/>
    </row>
    <row r="62" spans="1:55" s="530" customFormat="1" ht="14.25" customHeight="1" x14ac:dyDescent="0.45">
      <c r="A62" s="529"/>
      <c r="B62" s="545" t="s">
        <v>244</v>
      </c>
      <c r="C62" s="546"/>
      <c r="D62" s="546"/>
      <c r="E62" s="546"/>
      <c r="F62" s="546"/>
      <c r="G62" s="546"/>
      <c r="H62" s="547" t="s">
        <v>47</v>
      </c>
      <c r="I62" s="548"/>
      <c r="J62" s="549" t="s">
        <v>245</v>
      </c>
      <c r="K62" s="549"/>
      <c r="L62" s="549"/>
      <c r="M62" s="549"/>
      <c r="N62" s="549"/>
      <c r="O62" s="549"/>
      <c r="P62" s="549"/>
      <c r="Q62" s="549"/>
      <c r="R62" s="549"/>
      <c r="S62" s="549"/>
      <c r="T62" s="549"/>
      <c r="U62" s="549"/>
      <c r="V62" s="549"/>
      <c r="W62" s="549"/>
      <c r="X62" s="549"/>
      <c r="Y62" s="549"/>
      <c r="Z62" s="549"/>
      <c r="AA62" s="549"/>
      <c r="AB62" s="549"/>
      <c r="AC62" s="549"/>
      <c r="AD62" s="549"/>
      <c r="AE62" s="549"/>
      <c r="AF62" s="549"/>
      <c r="AG62" s="549"/>
      <c r="AH62" s="549"/>
      <c r="AI62" s="549"/>
      <c r="AJ62" s="549"/>
      <c r="AK62" s="549"/>
      <c r="AL62" s="549"/>
      <c r="AM62" s="549"/>
      <c r="AN62" s="549"/>
      <c r="AO62" s="549"/>
      <c r="AP62" s="549"/>
      <c r="AQ62" s="549"/>
      <c r="AR62" s="549"/>
      <c r="AS62" s="549"/>
      <c r="AT62" s="549"/>
      <c r="AU62" s="549"/>
      <c r="AV62" s="549"/>
      <c r="AW62" s="549"/>
      <c r="AX62" s="549"/>
      <c r="AY62" s="550"/>
      <c r="AZ62" s="529"/>
      <c r="BA62" s="529"/>
      <c r="BB62" s="529"/>
      <c r="BC62" s="529"/>
    </row>
    <row r="63" spans="1:55" ht="14.25" customHeight="1" x14ac:dyDescent="0.45">
      <c r="B63" s="545" t="s">
        <v>246</v>
      </c>
      <c r="C63" s="546"/>
      <c r="D63" s="546"/>
      <c r="E63" s="546"/>
      <c r="F63" s="546"/>
      <c r="G63" s="546"/>
      <c r="H63" s="547" t="s">
        <v>98</v>
      </c>
      <c r="I63" s="548"/>
      <c r="J63" s="549" t="s">
        <v>247</v>
      </c>
      <c r="K63" s="549"/>
      <c r="L63" s="549"/>
      <c r="M63" s="549"/>
      <c r="N63" s="549"/>
      <c r="O63" s="549"/>
      <c r="P63" s="549"/>
      <c r="Q63" s="548" t="s">
        <v>98</v>
      </c>
      <c r="R63" s="548"/>
      <c r="S63" s="549" t="s">
        <v>248</v>
      </c>
      <c r="T63" s="549"/>
      <c r="U63" s="549"/>
      <c r="V63" s="549"/>
      <c r="W63" s="549"/>
      <c r="X63" s="549"/>
      <c r="Y63" s="549"/>
      <c r="Z63" s="549"/>
      <c r="AA63" s="549"/>
      <c r="AB63" s="549"/>
      <c r="AC63" s="549"/>
      <c r="AD63" s="549"/>
      <c r="AE63" s="549"/>
      <c r="AF63" s="549"/>
      <c r="AG63" s="549"/>
      <c r="AH63" s="549"/>
      <c r="AI63" s="549"/>
      <c r="AJ63" s="549"/>
      <c r="AK63" s="549"/>
      <c r="AL63" s="549"/>
      <c r="AM63" s="549"/>
      <c r="AN63" s="549"/>
      <c r="AO63" s="549"/>
      <c r="AP63" s="549"/>
      <c r="AQ63" s="549"/>
      <c r="AR63" s="549"/>
      <c r="AS63" s="549"/>
      <c r="AT63" s="549"/>
      <c r="AU63" s="549"/>
      <c r="AV63" s="549"/>
      <c r="AW63" s="549"/>
      <c r="AX63" s="549"/>
      <c r="AY63" s="550"/>
      <c r="AZ63" s="479"/>
      <c r="BA63" s="479"/>
      <c r="BB63" s="479"/>
      <c r="BC63" s="479"/>
    </row>
    <row r="64" spans="1:55" ht="14.25" customHeight="1" x14ac:dyDescent="0.45">
      <c r="B64" s="561" t="s">
        <v>253</v>
      </c>
      <c r="C64" s="562"/>
      <c r="D64" s="562"/>
      <c r="E64" s="562"/>
      <c r="F64" s="562"/>
      <c r="G64" s="562"/>
      <c r="H64" s="551"/>
      <c r="I64" s="552"/>
      <c r="J64" s="552"/>
      <c r="K64" s="552"/>
      <c r="L64" s="552"/>
      <c r="M64" s="552"/>
      <c r="N64" s="552"/>
      <c r="O64" s="552"/>
      <c r="P64" s="552"/>
      <c r="Q64" s="552"/>
      <c r="R64" s="552"/>
      <c r="S64" s="552"/>
      <c r="T64" s="552"/>
      <c r="U64" s="552"/>
      <c r="V64" s="552"/>
      <c r="W64" s="552"/>
      <c r="X64" s="552"/>
      <c r="Y64" s="552"/>
      <c r="Z64" s="552"/>
      <c r="AA64" s="552"/>
      <c r="AB64" s="552"/>
      <c r="AC64" s="552"/>
      <c r="AD64" s="552"/>
      <c r="AE64" s="552"/>
      <c r="AF64" s="552"/>
      <c r="AG64" s="552"/>
      <c r="AH64" s="552"/>
      <c r="AI64" s="552"/>
      <c r="AJ64" s="552"/>
      <c r="AK64" s="552"/>
      <c r="AL64" s="552"/>
      <c r="AM64" s="552"/>
      <c r="AN64" s="552"/>
      <c r="AO64" s="552"/>
      <c r="AP64" s="552"/>
      <c r="AQ64" s="552"/>
      <c r="AR64" s="552"/>
      <c r="AS64" s="552"/>
      <c r="AT64" s="552"/>
      <c r="AU64" s="552"/>
      <c r="AV64" s="552"/>
      <c r="AW64" s="552"/>
      <c r="AX64" s="552"/>
      <c r="AY64" s="553"/>
      <c r="AZ64" s="479"/>
      <c r="BA64" s="479"/>
      <c r="BB64" s="479"/>
      <c r="BC64" s="479"/>
    </row>
    <row r="65" spans="1:55" ht="14.25" customHeight="1" x14ac:dyDescent="0.45">
      <c r="B65" s="563" t="s">
        <v>254</v>
      </c>
      <c r="C65" s="564"/>
      <c r="D65" s="564"/>
      <c r="E65" s="564"/>
      <c r="F65" s="564"/>
      <c r="G65" s="564"/>
      <c r="H65" s="565"/>
      <c r="I65" s="565"/>
      <c r="J65" s="565"/>
      <c r="K65" s="565"/>
      <c r="L65" s="565"/>
      <c r="M65" s="565"/>
      <c r="N65" s="565"/>
      <c r="O65" s="565"/>
      <c r="P65" s="565"/>
      <c r="Q65" s="565"/>
      <c r="R65" s="565"/>
      <c r="S65" s="565"/>
      <c r="T65" s="565"/>
      <c r="U65" s="565"/>
      <c r="V65" s="565"/>
      <c r="W65" s="565"/>
      <c r="X65" s="565"/>
      <c r="Y65" s="565"/>
      <c r="Z65" s="565"/>
      <c r="AA65" s="565"/>
      <c r="AB65" s="565"/>
      <c r="AC65" s="565"/>
      <c r="AD65" s="565"/>
      <c r="AE65" s="565"/>
      <c r="AF65" s="565"/>
      <c r="AG65" s="565"/>
      <c r="AH65" s="565"/>
      <c r="AI65" s="565"/>
      <c r="AJ65" s="565"/>
      <c r="AK65" s="565"/>
      <c r="AL65" s="565"/>
      <c r="AM65" s="565"/>
      <c r="AN65" s="565"/>
      <c r="AO65" s="565"/>
      <c r="AP65" s="565"/>
      <c r="AQ65" s="565"/>
      <c r="AR65" s="565"/>
      <c r="AS65" s="565"/>
      <c r="AT65" s="565"/>
      <c r="AU65" s="565"/>
      <c r="AV65" s="565"/>
      <c r="AW65" s="565"/>
      <c r="AX65" s="565"/>
      <c r="AY65" s="565"/>
      <c r="AZ65" s="479"/>
      <c r="BA65" s="479"/>
      <c r="BB65" s="479"/>
      <c r="BC65" s="479"/>
    </row>
    <row r="66" spans="1:55" ht="13.5" customHeight="1" x14ac:dyDescent="0.45">
      <c r="B66" s="566" t="s">
        <v>255</v>
      </c>
      <c r="C66" s="567"/>
      <c r="D66" s="567"/>
      <c r="E66" s="567"/>
      <c r="F66" s="567"/>
      <c r="G66" s="567"/>
      <c r="H66" s="568"/>
      <c r="I66" s="568"/>
      <c r="J66" s="568"/>
      <c r="K66" s="568"/>
      <c r="L66" s="568"/>
      <c r="M66" s="568"/>
      <c r="N66" s="568"/>
      <c r="O66" s="568"/>
      <c r="P66" s="568"/>
      <c r="Q66" s="568"/>
      <c r="R66" s="568"/>
      <c r="S66" s="568"/>
      <c r="T66" s="568"/>
      <c r="U66" s="568"/>
      <c r="V66" s="568"/>
      <c r="W66" s="568"/>
      <c r="X66" s="568"/>
      <c r="Y66" s="568"/>
      <c r="Z66" s="568"/>
      <c r="AA66" s="568"/>
      <c r="AB66" s="565"/>
      <c r="AC66" s="565"/>
      <c r="AD66" s="565"/>
      <c r="AE66" s="565"/>
      <c r="AF66" s="565"/>
      <c r="AG66" s="565"/>
      <c r="AH66" s="565"/>
      <c r="AI66" s="565"/>
      <c r="AJ66" s="565"/>
      <c r="AK66" s="565"/>
      <c r="AL66" s="565"/>
      <c r="AM66" s="565"/>
      <c r="AN66" s="565"/>
      <c r="AO66" s="565"/>
      <c r="AP66" s="565"/>
      <c r="AQ66" s="565"/>
      <c r="AR66" s="565"/>
      <c r="AS66" s="565"/>
      <c r="AT66" s="565"/>
      <c r="AU66" s="565"/>
      <c r="AV66" s="565"/>
      <c r="AW66" s="565"/>
      <c r="AX66" s="565"/>
      <c r="AY66" s="565"/>
      <c r="AZ66" s="479"/>
      <c r="BA66" s="479"/>
      <c r="BB66" s="479"/>
      <c r="BC66" s="479"/>
    </row>
    <row r="67" spans="1:55" ht="14.4" x14ac:dyDescent="0.45">
      <c r="B67" s="526" t="s">
        <v>256</v>
      </c>
      <c r="C67" s="527"/>
      <c r="D67" s="527"/>
      <c r="E67" s="527"/>
      <c r="F67" s="527"/>
      <c r="G67" s="527"/>
      <c r="H67" s="527"/>
      <c r="I67" s="527"/>
      <c r="J67" s="527"/>
      <c r="K67" s="527"/>
      <c r="L67" s="527"/>
      <c r="M67" s="527"/>
      <c r="N67" s="527"/>
      <c r="O67" s="527"/>
      <c r="P67" s="527"/>
      <c r="Q67" s="527"/>
      <c r="R67" s="527"/>
      <c r="S67" s="527"/>
      <c r="T67" s="527"/>
      <c r="U67" s="527"/>
      <c r="V67" s="527"/>
      <c r="W67" s="527"/>
      <c r="X67" s="527"/>
      <c r="Y67" s="527"/>
      <c r="Z67" s="527"/>
      <c r="AA67" s="528"/>
      <c r="AB67" s="479"/>
      <c r="AC67" s="479"/>
      <c r="AD67" s="479"/>
      <c r="AE67" s="479"/>
      <c r="AF67" s="479"/>
      <c r="AG67" s="479"/>
      <c r="AH67" s="479"/>
      <c r="AI67" s="479"/>
      <c r="AJ67" s="479"/>
      <c r="AK67" s="479"/>
      <c r="AL67" s="479"/>
      <c r="AM67" s="479"/>
      <c r="AN67" s="479"/>
      <c r="AO67" s="479"/>
      <c r="AP67" s="479"/>
      <c r="AQ67" s="479"/>
      <c r="AR67" s="479"/>
      <c r="AS67" s="479"/>
      <c r="AT67" s="479"/>
      <c r="AU67" s="479"/>
      <c r="AV67" s="479"/>
      <c r="AW67" s="479"/>
      <c r="AX67" s="479"/>
      <c r="AY67" s="479"/>
      <c r="AZ67" s="479"/>
      <c r="BA67" s="479"/>
      <c r="BB67" s="479"/>
      <c r="BC67" s="479"/>
    </row>
    <row r="68" spans="1:55" x14ac:dyDescent="0.45">
      <c r="A68" s="479"/>
      <c r="B68" s="569"/>
      <c r="C68" s="569"/>
      <c r="D68" s="569"/>
      <c r="E68" s="569"/>
      <c r="F68" s="569"/>
      <c r="G68" s="569"/>
      <c r="H68" s="479"/>
      <c r="I68" s="479"/>
      <c r="J68" s="479"/>
      <c r="K68" s="479"/>
      <c r="L68" s="479"/>
      <c r="M68" s="479"/>
      <c r="N68" s="479"/>
      <c r="O68" s="479"/>
      <c r="P68" s="479"/>
      <c r="Q68" s="479"/>
      <c r="R68" s="479"/>
      <c r="S68" s="479"/>
      <c r="T68" s="479"/>
      <c r="U68" s="479"/>
      <c r="V68" s="479"/>
      <c r="W68" s="479"/>
      <c r="X68" s="479"/>
      <c r="Y68" s="479"/>
      <c r="Z68" s="479"/>
      <c r="AA68" s="479"/>
      <c r="AB68" s="479"/>
      <c r="AC68" s="479"/>
      <c r="AD68" s="479"/>
      <c r="AE68" s="479"/>
      <c r="AF68" s="479"/>
      <c r="AG68" s="479"/>
      <c r="AH68" s="479"/>
      <c r="AI68" s="479"/>
      <c r="AJ68" s="479"/>
      <c r="AK68" s="479"/>
      <c r="AL68" s="479"/>
      <c r="AM68" s="479"/>
      <c r="AN68" s="479"/>
      <c r="AO68" s="479"/>
      <c r="AP68" s="479"/>
      <c r="AQ68" s="479"/>
      <c r="AR68" s="479"/>
      <c r="AS68" s="479"/>
      <c r="AT68" s="479"/>
      <c r="AU68" s="479"/>
      <c r="AV68" s="479"/>
      <c r="AW68" s="479"/>
      <c r="AX68" s="479"/>
      <c r="AY68" s="479"/>
      <c r="AZ68" s="479"/>
      <c r="BA68" s="479"/>
      <c r="BB68" s="479"/>
      <c r="BC68" s="479"/>
    </row>
    <row r="69" spans="1:55" ht="14.25" customHeight="1" x14ac:dyDescent="0.45">
      <c r="A69" s="570"/>
      <c r="B69" s="571" t="s">
        <v>257</v>
      </c>
      <c r="C69" s="572"/>
      <c r="D69" s="572"/>
      <c r="E69" s="572"/>
      <c r="F69" s="572"/>
      <c r="G69" s="573"/>
      <c r="H69" s="548" t="s">
        <v>98</v>
      </c>
      <c r="I69" s="548"/>
      <c r="J69" s="556" t="s">
        <v>258</v>
      </c>
      <c r="K69" s="556"/>
      <c r="L69" s="556"/>
      <c r="M69" s="556"/>
      <c r="N69" s="556"/>
      <c r="O69" s="556"/>
      <c r="P69" s="556"/>
      <c r="Q69" s="556"/>
      <c r="R69" s="556"/>
      <c r="S69" s="556"/>
      <c r="T69" s="556"/>
      <c r="U69" s="556"/>
      <c r="V69" s="556"/>
      <c r="W69" s="556"/>
      <c r="X69" s="556"/>
      <c r="Y69" s="556"/>
      <c r="Z69" s="556"/>
      <c r="AA69" s="556"/>
      <c r="AB69" s="556" t="s">
        <v>259</v>
      </c>
      <c r="AC69" s="556"/>
      <c r="AD69" s="556"/>
      <c r="AE69" s="556"/>
      <c r="AF69" s="556"/>
      <c r="AG69" s="556"/>
      <c r="AH69" s="556"/>
      <c r="AI69" s="556"/>
      <c r="AJ69" s="556"/>
      <c r="AK69" s="556"/>
      <c r="AL69" s="556"/>
      <c r="AM69" s="556"/>
      <c r="AN69" s="556"/>
      <c r="AO69" s="556"/>
      <c r="AP69" s="556"/>
      <c r="AQ69" s="556"/>
      <c r="AR69" s="556"/>
      <c r="AS69" s="556"/>
      <c r="AT69" s="556"/>
      <c r="AU69" s="556"/>
      <c r="AV69" s="556"/>
      <c r="AW69" s="556"/>
      <c r="AX69" s="556"/>
      <c r="AY69" s="574"/>
      <c r="AZ69" s="479"/>
      <c r="BA69" s="479"/>
      <c r="BB69" s="479"/>
      <c r="BC69" s="479"/>
    </row>
    <row r="70" spans="1:55" ht="14.25" customHeight="1" x14ac:dyDescent="0.45">
      <c r="A70" s="570"/>
      <c r="B70" s="575"/>
      <c r="C70" s="576"/>
      <c r="D70" s="576"/>
      <c r="E70" s="576"/>
      <c r="F70" s="576"/>
      <c r="G70" s="577"/>
      <c r="H70" s="578" t="s">
        <v>98</v>
      </c>
      <c r="I70" s="548"/>
      <c r="J70" s="556" t="s">
        <v>260</v>
      </c>
      <c r="K70" s="556"/>
      <c r="L70" s="556"/>
      <c r="M70" s="556"/>
      <c r="N70" s="579" t="s">
        <v>261</v>
      </c>
      <c r="O70" s="579"/>
      <c r="P70" s="579"/>
      <c r="Q70" s="579"/>
      <c r="R70" s="579"/>
      <c r="S70" s="579"/>
      <c r="T70" s="579"/>
      <c r="U70" s="579"/>
      <c r="V70" s="579"/>
      <c r="W70" s="579"/>
      <c r="X70" s="579"/>
      <c r="Y70" s="579"/>
      <c r="Z70" s="579"/>
      <c r="AA70" s="579"/>
      <c r="AB70" s="579"/>
      <c r="AC70" s="579"/>
      <c r="AD70" s="579"/>
      <c r="AE70" s="579"/>
      <c r="AF70" s="579"/>
      <c r="AG70" s="579"/>
      <c r="AH70" s="579"/>
      <c r="AI70" s="579"/>
      <c r="AJ70" s="579"/>
      <c r="AK70" s="579"/>
      <c r="AL70" s="579"/>
      <c r="AM70" s="579"/>
      <c r="AN70" s="579"/>
      <c r="AO70" s="579"/>
      <c r="AP70" s="579"/>
      <c r="AQ70" s="579"/>
      <c r="AR70" s="579"/>
      <c r="AS70" s="579"/>
      <c r="AT70" s="579"/>
      <c r="AU70" s="579"/>
      <c r="AV70" s="579"/>
      <c r="AW70" s="579"/>
      <c r="AX70" s="579"/>
      <c r="AY70" s="580"/>
      <c r="AZ70" s="479"/>
      <c r="BA70" s="479"/>
      <c r="BB70" s="479"/>
      <c r="BC70" s="479"/>
    </row>
    <row r="71" spans="1:55" ht="13.5" customHeight="1" thickBot="1" x14ac:dyDescent="0.5">
      <c r="A71" s="581"/>
      <c r="B71" s="581"/>
      <c r="C71" s="581"/>
      <c r="D71" s="581"/>
      <c r="E71" s="581"/>
      <c r="F71" s="581"/>
      <c r="G71" s="581"/>
      <c r="H71" s="582"/>
      <c r="I71" s="581"/>
      <c r="J71" s="581"/>
      <c r="K71" s="581"/>
      <c r="L71" s="581"/>
      <c r="M71" s="581"/>
      <c r="N71" s="581"/>
      <c r="O71" s="581"/>
      <c r="P71" s="581"/>
      <c r="Q71" s="581"/>
      <c r="R71" s="581"/>
      <c r="S71" s="581"/>
      <c r="T71" s="581"/>
      <c r="U71" s="581"/>
      <c r="V71" s="581"/>
      <c r="W71" s="581"/>
      <c r="X71" s="581"/>
      <c r="Y71" s="581"/>
      <c r="Z71" s="581"/>
      <c r="AA71" s="581"/>
      <c r="AB71" s="581"/>
      <c r="AC71" s="581"/>
      <c r="AD71" s="581"/>
      <c r="AE71" s="581"/>
      <c r="AF71" s="581"/>
      <c r="AG71" s="581"/>
      <c r="AH71" s="581"/>
      <c r="AI71" s="581"/>
      <c r="AJ71" s="581"/>
      <c r="AK71" s="581"/>
      <c r="AL71" s="581"/>
      <c r="AM71" s="581"/>
      <c r="AN71" s="581"/>
      <c r="AO71" s="581"/>
      <c r="AP71" s="581"/>
      <c r="AQ71" s="581"/>
      <c r="AR71" s="581"/>
      <c r="AS71" s="581"/>
      <c r="AT71" s="581"/>
      <c r="AU71" s="581"/>
      <c r="AV71" s="581"/>
      <c r="AW71" s="581"/>
      <c r="AX71" s="581"/>
      <c r="AY71" s="581"/>
      <c r="AZ71" s="581"/>
      <c r="BA71" s="479"/>
      <c r="BB71" s="479"/>
      <c r="BC71" s="479"/>
    </row>
    <row r="72" spans="1:55" ht="13.8" thickBot="1" x14ac:dyDescent="0.5">
      <c r="A72" s="479"/>
      <c r="B72" s="479" t="s">
        <v>262</v>
      </c>
      <c r="C72" s="479"/>
      <c r="D72" s="479"/>
      <c r="E72" s="479"/>
      <c r="F72" s="479"/>
      <c r="G72" s="479"/>
      <c r="H72" s="479"/>
      <c r="I72" s="479"/>
      <c r="J72" s="479"/>
      <c r="K72" s="479"/>
      <c r="L72" s="479"/>
      <c r="M72" s="583" t="s">
        <v>47</v>
      </c>
      <c r="N72" s="584" t="s">
        <v>263</v>
      </c>
      <c r="O72" s="584"/>
      <c r="P72" s="466"/>
      <c r="Q72" s="585" t="s">
        <v>42</v>
      </c>
      <c r="R72" s="586" t="s">
        <v>264</v>
      </c>
      <c r="S72" s="587"/>
      <c r="T72" s="588" t="s">
        <v>265</v>
      </c>
      <c r="U72" s="589"/>
      <c r="V72" s="589"/>
      <c r="W72" s="589"/>
      <c r="X72" s="589"/>
      <c r="Y72" s="589"/>
      <c r="Z72" s="589"/>
      <c r="AA72" s="589"/>
      <c r="AB72" s="589"/>
      <c r="AC72" s="589"/>
      <c r="AD72" s="589"/>
      <c r="AE72" s="589"/>
      <c r="AF72" s="589"/>
      <c r="AG72" s="589"/>
      <c r="AH72" s="589"/>
      <c r="AI72" s="589"/>
      <c r="AJ72" s="589"/>
      <c r="AK72" s="589"/>
      <c r="AL72" s="589"/>
      <c r="AM72" s="589"/>
      <c r="AN72" s="589"/>
      <c r="AO72" s="589"/>
      <c r="AP72" s="589"/>
      <c r="AQ72" s="589"/>
      <c r="AR72" s="589"/>
      <c r="AS72" s="589"/>
      <c r="AT72" s="479"/>
      <c r="AU72" s="479"/>
      <c r="AV72" s="479"/>
      <c r="AW72" s="479"/>
      <c r="AX72" s="479"/>
      <c r="AY72" s="479"/>
      <c r="AZ72" s="479"/>
      <c r="BA72" s="479"/>
      <c r="BB72" s="479"/>
      <c r="BC72" s="479"/>
    </row>
  </sheetData>
  <mergeCells count="84">
    <mergeCell ref="N72:O72"/>
    <mergeCell ref="R72:S72"/>
    <mergeCell ref="T72:AS72"/>
    <mergeCell ref="B64:G64"/>
    <mergeCell ref="H64:AY64"/>
    <mergeCell ref="B67:AA67"/>
    <mergeCell ref="B69:G70"/>
    <mergeCell ref="H69:I69"/>
    <mergeCell ref="J69:AA69"/>
    <mergeCell ref="AB69:AY69"/>
    <mergeCell ref="H70:I70"/>
    <mergeCell ref="J70:M70"/>
    <mergeCell ref="N70:AY70"/>
    <mergeCell ref="B60:AA60"/>
    <mergeCell ref="B62:G62"/>
    <mergeCell ref="H62:I62"/>
    <mergeCell ref="J62:AY62"/>
    <mergeCell ref="B63:G63"/>
    <mergeCell ref="H63:I63"/>
    <mergeCell ref="J63:P63"/>
    <mergeCell ref="Q63:R63"/>
    <mergeCell ref="S63:AY63"/>
    <mergeCell ref="B56:G56"/>
    <mergeCell ref="H56:AY56"/>
    <mergeCell ref="B57:G57"/>
    <mergeCell ref="H57:AY57"/>
    <mergeCell ref="B58:G58"/>
    <mergeCell ref="H58:AY58"/>
    <mergeCell ref="B54:G54"/>
    <mergeCell ref="H54:I54"/>
    <mergeCell ref="J54:AY54"/>
    <mergeCell ref="B55:G55"/>
    <mergeCell ref="H55:I55"/>
    <mergeCell ref="J55:P55"/>
    <mergeCell ref="Q55:R55"/>
    <mergeCell ref="S55:AY55"/>
    <mergeCell ref="F47:G47"/>
    <mergeCell ref="H47:AY47"/>
    <mergeCell ref="B48:G49"/>
    <mergeCell ref="H48:AY48"/>
    <mergeCell ref="H49:AY49"/>
    <mergeCell ref="B52:AA52"/>
    <mergeCell ref="B41:G42"/>
    <mergeCell ref="H41:AY41"/>
    <mergeCell ref="H42:AY42"/>
    <mergeCell ref="F44:G44"/>
    <mergeCell ref="H44:AY44"/>
    <mergeCell ref="B45:G46"/>
    <mergeCell ref="H45:AY45"/>
    <mergeCell ref="H46:AY46"/>
    <mergeCell ref="F37:G37"/>
    <mergeCell ref="H37:AY37"/>
    <mergeCell ref="B38:G39"/>
    <mergeCell ref="H38:AY38"/>
    <mergeCell ref="H39:AY39"/>
    <mergeCell ref="F40:G40"/>
    <mergeCell ref="H40:AY40"/>
    <mergeCell ref="F30:G30"/>
    <mergeCell ref="H30:AY30"/>
    <mergeCell ref="B31:G32"/>
    <mergeCell ref="H31:AY31"/>
    <mergeCell ref="H32:AY32"/>
    <mergeCell ref="B35:AA35"/>
    <mergeCell ref="B26:G26"/>
    <mergeCell ref="F27:G27"/>
    <mergeCell ref="H27:AY27"/>
    <mergeCell ref="B28:G29"/>
    <mergeCell ref="H28:AY28"/>
    <mergeCell ref="H29:AY29"/>
    <mergeCell ref="B20:G21"/>
    <mergeCell ref="H20:AY20"/>
    <mergeCell ref="H21:AY21"/>
    <mergeCell ref="F22:G22"/>
    <mergeCell ref="H22:AY22"/>
    <mergeCell ref="B23:G24"/>
    <mergeCell ref="H23:AY23"/>
    <mergeCell ref="H24:AY24"/>
    <mergeCell ref="B1:AY4"/>
    <mergeCell ref="B6:AY7"/>
    <mergeCell ref="B8:AY8"/>
    <mergeCell ref="B10:AY13"/>
    <mergeCell ref="B18:G18"/>
    <mergeCell ref="F19:G19"/>
    <mergeCell ref="H19:AY19"/>
  </mergeCells>
  <phoneticPr fontId="3"/>
  <conditionalFormatting sqref="Q72">
    <cfRule type="expression" dxfId="34" priority="8">
      <formula>$T$66&lt;&gt;"□"</formula>
    </cfRule>
    <cfRule type="expression" dxfId="33" priority="11">
      <formula>$X$66&lt;&gt;"■"</formula>
    </cfRule>
  </conditionalFormatting>
  <conditionalFormatting sqref="M72">
    <cfRule type="expression" dxfId="32" priority="9">
      <formula>$X$66&lt;&gt;"□"</formula>
    </cfRule>
    <cfRule type="expression" dxfId="31" priority="10">
      <formula>$T$66&lt;&gt;"■"</formula>
    </cfRule>
  </conditionalFormatting>
  <conditionalFormatting sqref="H55:J55 H58 H56 Q55:S55">
    <cfRule type="expression" dxfId="30" priority="7">
      <formula>$H$54="□"</formula>
    </cfRule>
  </conditionalFormatting>
  <conditionalFormatting sqref="H63:J63 H64 Q63:S63">
    <cfRule type="expression" dxfId="29" priority="6">
      <formula>$H$62="□"</formula>
    </cfRule>
  </conditionalFormatting>
  <conditionalFormatting sqref="H57">
    <cfRule type="expression" dxfId="28" priority="3">
      <formula>$H$54="□"</formula>
    </cfRule>
  </conditionalFormatting>
  <dataValidations count="8">
    <dataValidation type="custom" imeMode="halfAlpha" allowBlank="1" showErrorMessage="1" errorTitle="入力エラー" error="半角英数字,&quot;-&quot;,&quot;@&quot;,&quot;#&quot;で入力してください_x000a_32文字以内で入力してください" sqref="H20:AY20 H28:AY28 H38:AY38 H45:AY45" xr:uid="{55B2E851-FC93-4EEF-95E7-60B8165B3AAC}">
      <formula1>AND(COUNT(INDEX(FIND(MID(UPPER(H20)&amp;REPT("*",68),ROW($1:$65),1),"ABCDEFGHIJKLMNOPQRSTUVWXYZabcdefghijklmnopqrstuvwxyz1234567890-@#_."),))=LEN(H20),LENB(H20)&lt;33)</formula1>
    </dataValidation>
    <dataValidation type="custom" imeMode="disabled" allowBlank="1" showErrorMessage="1" errorTitle="入力エラー" error="　半角8文字以上。英字（大文字、小文字）、数字、記号（-（ハイフン）、@（アットマーク）、＃（ハッシュマーク）、_（アンダーバー）、．（ピリオド））を使用できます。_x000a_　2種類以上の文字を使用してください。" sqref="H23:AY23 H31:AY31 H41:AY41 H48:AY48" xr:uid="{A4BE3B3B-FF1A-414A-AE6E-28071F9E258C}">
      <formula1>AND(COUNT(INDEX(FIND(MID(UPPER(H23)&amp;REPT(0,300),ROW($1:$300),1),"ABCDEFGHIJKLMNOPQRSTUVWXYZabcdefghijklmnopqrstuvwxyz1234567890-@#,_."),))=300,AND(LEN(H23)&gt;=8,LEN(H23)&lt;=63))</formula1>
    </dataValidation>
    <dataValidation imeMode="halfAlpha" showDropDown="1" showInputMessage="1" showErrorMessage="1" sqref="H56:AY58 H64:AY64" xr:uid="{2AC3EE68-3A57-4450-AD31-D092B0810F79}"/>
    <dataValidation allowBlank="1" showInputMessage="1" showErrorMessage="1" error="　半角32文字以内。英字（大文字、小文字）、数字、記号（-（ハイフン）、@（アットマーク）、＃（ハッシュマーク）、_（アンダーバー）、．（ピリオド））を使用できます。_x000a_　※指定の文字以外では設定できません。" sqref="H21:AY21" xr:uid="{9C757CE7-EBAE-4EF5-A304-C43781BA1D3F}"/>
    <dataValidation showDropDown="1" showInputMessage="1" showErrorMessage="1" sqref="J69:J70 N70 AB69 AB71" xr:uid="{6F348A35-8ACE-4A26-81D3-6142DD5EE318}"/>
    <dataValidation imeMode="fullKatakana" allowBlank="1" showErrorMessage="1" errorTitle="入力エラー" error="カタカナで入力してください" sqref="H19:AY19 H27:AY27 H37:AY37 H40:AY40 H30:AY30 H22:AY22 H44:AY44 H47:AY47" xr:uid="{98B857B2-2B7C-47C4-8833-75415DD538EA}"/>
    <dataValidation type="list" allowBlank="1" showInputMessage="1" showErrorMessage="1" sqref="H62:H63 H69:H70 Q55:R55 M72 Q72 H54:I55 Q63" xr:uid="{D7ED6C99-E2C6-4445-B59D-2DAD167173DE}">
      <formula1>"□,■"</formula1>
    </dataValidation>
    <dataValidation type="list" showDropDown="1" showInputMessage="1" showErrorMessage="1" sqref="H65:AY66" xr:uid="{175CF41D-B2A1-41E6-BDF1-25B3017EE55D}">
      <formula1>"□,■"</formula1>
    </dataValidation>
  </dataValidations>
  <pageMargins left="0.25" right="0.25" top="0.75" bottom="0.75" header="0.3" footer="0.3"/>
  <pageSetup paperSize="9" scale="65" orientation="portrait" r:id="rId1"/>
  <extLst>
    <ext xmlns:x14="http://schemas.microsoft.com/office/spreadsheetml/2009/9/main" uri="{78C0D931-6437-407d-A8EE-F0AAD7539E65}">
      <x14:conditionalFormattings>
        <x14:conditionalFormatting xmlns:xm="http://schemas.microsoft.com/office/excel/2006/main">
          <x14:cfRule type="expression" priority="1" id="{0AA14EC4-3493-49AB-8B8C-E43905A1E686}">
            <xm:f>本紙!$S$9="移転・契約情報変更・設定変更申込"</xm:f>
            <x14:dxf>
              <fill>
                <patternFill>
                  <bgColor theme="1" tint="0.499984740745262"/>
                </patternFill>
              </fill>
            </x14:dxf>
          </x14:cfRule>
          <x14:cfRule type="expression" priority="2" id="{DF696A4C-5561-4A92-9FBF-D0A61394A0C9}">
            <xm:f>本紙!$S$9="■選択して下さい■"</xm:f>
            <x14:dxf>
              <fill>
                <patternFill>
                  <bgColor theme="1" tint="0.499984740745262"/>
                </patternFill>
              </fill>
            </x14:dxf>
          </x14:cfRule>
          <xm:sqref>H57</xm:sqref>
        </x14:conditionalFormatting>
        <x14:conditionalFormatting xmlns:xm="http://schemas.microsoft.com/office/excel/2006/main">
          <x14:cfRule type="expression" priority="4" id="{95F1B159-CEB1-476E-93DE-755A2A4206DD}">
            <xm:f>本紙!$S$9="移転・契約情報変更・設定変更申込"</xm:f>
            <x14:dxf>
              <fill>
                <patternFill>
                  <bgColor theme="1" tint="0.499984740745262"/>
                </patternFill>
              </fill>
            </x14:dxf>
          </x14:cfRule>
          <x14:cfRule type="expression" priority="5" id="{E9FC72BC-36A6-4987-95AF-DCD9308497C3}">
            <xm:f>本紙!$S$9="■選択して下さい■"</xm:f>
            <x14:dxf>
              <fill>
                <patternFill>
                  <bgColor theme="1" tint="0.499984740745262"/>
                </patternFill>
              </fill>
            </x14:dxf>
          </x14:cfRule>
          <xm:sqref>A1:BC727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5BA37-DA01-4463-8A4C-E7273DA22325}">
  <sheetPr>
    <pageSetUpPr fitToPage="1"/>
  </sheetPr>
  <dimension ref="A1:BC41"/>
  <sheetViews>
    <sheetView view="pageBreakPreview" zoomScale="85" zoomScaleNormal="100" zoomScaleSheetLayoutView="85" workbookViewId="0">
      <selection activeCell="S12" sqref="S12:AX14"/>
    </sheetView>
  </sheetViews>
  <sheetFormatPr defaultColWidth="2.19921875" defaultRowHeight="13.2" x14ac:dyDescent="0.45"/>
  <cols>
    <col min="1" max="17" width="2.19921875" style="3"/>
    <col min="18" max="18" width="2.69921875" style="3" bestFit="1" customWidth="1"/>
    <col min="19" max="16384" width="2.19921875" style="3"/>
  </cols>
  <sheetData>
    <row r="1" spans="1:55" s="24" customFormat="1" ht="9" customHeight="1" x14ac:dyDescent="0.45">
      <c r="A1" s="362"/>
      <c r="B1" s="590" t="s">
        <v>266</v>
      </c>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362"/>
      <c r="BA1" s="362"/>
      <c r="BB1" s="362"/>
    </row>
    <row r="2" spans="1:55" s="24" customFormat="1" ht="9" customHeight="1" x14ac:dyDescent="0.45">
      <c r="A2" s="362"/>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362"/>
      <c r="BA2" s="362"/>
      <c r="BB2" s="362"/>
    </row>
    <row r="3" spans="1:55" s="24" customFormat="1" ht="9" customHeight="1" x14ac:dyDescent="0.45">
      <c r="A3" s="362"/>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362"/>
      <c r="BA3" s="362"/>
      <c r="BB3" s="362"/>
      <c r="BC3" s="3"/>
    </row>
    <row r="4" spans="1:55" s="24" customFormat="1" ht="9" customHeight="1" x14ac:dyDescent="0.45">
      <c r="A4" s="362"/>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362"/>
      <c r="BA4" s="362"/>
      <c r="BB4" s="362"/>
    </row>
    <row r="5" spans="1:55" s="24" customFormat="1" ht="20.25" customHeight="1" x14ac:dyDescent="0.45">
      <c r="A5" s="362"/>
      <c r="B5" s="35" t="s">
        <v>16</v>
      </c>
      <c r="C5" s="35"/>
      <c r="D5" s="35"/>
      <c r="E5" s="35"/>
      <c r="F5" s="35"/>
      <c r="G5" s="35"/>
      <c r="H5" s="591" t="s">
        <v>267</v>
      </c>
      <c r="I5" s="592"/>
      <c r="J5" s="592"/>
      <c r="K5" s="592"/>
      <c r="L5" s="592"/>
      <c r="M5" s="592"/>
      <c r="N5" s="592"/>
      <c r="O5" s="592"/>
      <c r="P5" s="592"/>
      <c r="Q5" s="592"/>
      <c r="R5" s="592"/>
      <c r="S5" s="592"/>
      <c r="T5" s="592"/>
      <c r="U5" s="592"/>
      <c r="V5" s="592"/>
      <c r="W5" s="592"/>
      <c r="X5" s="592"/>
      <c r="Y5" s="393" t="s">
        <v>18</v>
      </c>
      <c r="Z5" s="394"/>
      <c r="AA5" s="394"/>
      <c r="AB5" s="394"/>
      <c r="AC5" s="394"/>
      <c r="AD5" s="394"/>
      <c r="AE5" s="394"/>
      <c r="AF5" s="593" t="s">
        <v>19</v>
      </c>
      <c r="AG5" s="593"/>
      <c r="AH5" s="593"/>
      <c r="AI5" s="593"/>
      <c r="AJ5" s="593"/>
      <c r="AK5" s="593"/>
      <c r="AL5" s="593"/>
      <c r="AM5" s="593"/>
      <c r="AN5" s="593"/>
      <c r="AO5" s="593"/>
      <c r="AP5" s="593"/>
      <c r="AQ5" s="593"/>
      <c r="AR5" s="593"/>
      <c r="AS5" s="594"/>
      <c r="AT5" s="594"/>
      <c r="AU5" s="594"/>
      <c r="AV5" s="594"/>
      <c r="AW5" s="594"/>
      <c r="AX5" s="594"/>
      <c r="AY5" s="594"/>
      <c r="AZ5" s="362"/>
      <c r="BA5" s="362"/>
      <c r="BB5" s="362"/>
    </row>
    <row r="6" spans="1:55" ht="26.25" customHeight="1" x14ac:dyDescent="0.45">
      <c r="A6" s="1"/>
      <c r="B6" s="35" t="s">
        <v>22</v>
      </c>
      <c r="C6" s="35"/>
      <c r="D6" s="35"/>
      <c r="E6" s="35"/>
      <c r="F6" s="35"/>
      <c r="G6" s="35"/>
      <c r="H6" s="35" t="s">
        <v>23</v>
      </c>
      <c r="I6" s="35"/>
      <c r="J6" s="595"/>
      <c r="K6" s="595"/>
      <c r="L6" s="595"/>
      <c r="M6" s="595"/>
      <c r="N6" s="37" t="s">
        <v>24</v>
      </c>
      <c r="O6" s="595"/>
      <c r="P6" s="595"/>
      <c r="Q6" s="595"/>
      <c r="R6" s="595"/>
      <c r="S6" s="37" t="s">
        <v>25</v>
      </c>
      <c r="T6" s="595"/>
      <c r="U6" s="595"/>
      <c r="V6" s="595"/>
      <c r="W6" s="595"/>
      <c r="X6" s="234" t="s">
        <v>26</v>
      </c>
      <c r="Y6" s="596"/>
      <c r="Z6" s="597"/>
      <c r="AA6" s="597"/>
      <c r="AB6" s="597"/>
      <c r="AC6" s="597"/>
      <c r="AD6" s="597"/>
      <c r="AE6" s="597"/>
      <c r="AF6" s="597"/>
      <c r="AG6" s="597"/>
      <c r="AH6" s="597"/>
      <c r="AI6" s="598"/>
      <c r="AJ6" s="599" t="s">
        <v>27</v>
      </c>
      <c r="AK6" s="600"/>
      <c r="AL6" s="600"/>
      <c r="AM6" s="600"/>
      <c r="AN6" s="601"/>
      <c r="AO6" s="596" t="str">
        <f>"CAF"&amp;M23&amp;N23&amp;O23&amp;P23&amp;Q23&amp;R23&amp;S23&amp;T23&amp;U23&amp;V23&amp;"WSO"&amp;LEFT(I15,6)&amp;[1]Sheet1!E3&amp;[1]Sheet1!F3</f>
        <v>CAFWSO0000</v>
      </c>
      <c r="AP6" s="597"/>
      <c r="AQ6" s="597"/>
      <c r="AR6" s="597"/>
      <c r="AS6" s="602"/>
      <c r="AT6" s="602"/>
      <c r="AU6" s="602"/>
      <c r="AV6" s="602"/>
      <c r="AW6" s="602"/>
      <c r="AX6" s="602"/>
      <c r="AY6" s="603"/>
      <c r="AZ6" s="1"/>
      <c r="BA6" s="1"/>
      <c r="BB6" s="1"/>
    </row>
    <row r="7" spans="1:55" ht="15" customHeight="1" x14ac:dyDescent="0.45">
      <c r="A7" s="1"/>
      <c r="B7" s="604"/>
      <c r="C7" s="604"/>
      <c r="D7" s="604"/>
      <c r="E7" s="604"/>
      <c r="F7" s="604"/>
      <c r="G7" s="604"/>
      <c r="H7" s="604"/>
      <c r="I7" s="604"/>
      <c r="J7" s="604"/>
      <c r="K7" s="604"/>
      <c r="L7" s="604"/>
      <c r="M7" s="604"/>
      <c r="N7" s="604"/>
      <c r="O7" s="605"/>
      <c r="P7" s="605"/>
      <c r="Q7" s="605"/>
      <c r="R7" s="605"/>
      <c r="S7" s="604"/>
      <c r="T7" s="604"/>
      <c r="U7" s="604"/>
      <c r="V7" s="604"/>
      <c r="W7" s="604"/>
      <c r="X7" s="604"/>
      <c r="Y7" s="604"/>
      <c r="Z7" s="604"/>
      <c r="AA7" s="604"/>
      <c r="AB7" s="604"/>
      <c r="AC7" s="604"/>
      <c r="AD7" s="604"/>
      <c r="AE7" s="604"/>
      <c r="AF7" s="604"/>
      <c r="AG7" s="604"/>
      <c r="AH7" s="604"/>
      <c r="AI7" s="604"/>
      <c r="AJ7" s="604"/>
      <c r="AK7" s="604"/>
      <c r="AL7" s="604"/>
      <c r="AM7" s="604"/>
      <c r="AN7" s="604"/>
      <c r="AO7" s="604"/>
      <c r="AP7" s="604"/>
      <c r="AQ7" s="604"/>
      <c r="AR7" s="604"/>
      <c r="AS7" s="604"/>
      <c r="AT7" s="604"/>
      <c r="AU7" s="604"/>
      <c r="AV7" s="604"/>
      <c r="AW7" s="604"/>
      <c r="AX7" s="604"/>
      <c r="AY7" s="604"/>
      <c r="AZ7" s="1"/>
      <c r="BA7" s="1"/>
      <c r="BB7" s="1"/>
    </row>
    <row r="8" spans="1:55" s="24" customFormat="1" ht="13.5" customHeight="1" x14ac:dyDescent="0.45">
      <c r="A8" s="362"/>
      <c r="B8" s="365" t="s">
        <v>268</v>
      </c>
      <c r="C8" s="594"/>
      <c r="D8" s="594"/>
      <c r="E8" s="594"/>
      <c r="F8" s="594"/>
      <c r="G8" s="594"/>
      <c r="H8" s="594"/>
      <c r="I8" s="594"/>
      <c r="J8" s="594"/>
      <c r="K8" s="594"/>
      <c r="L8" s="594"/>
      <c r="M8" s="594"/>
      <c r="N8" s="594"/>
      <c r="O8" s="594"/>
      <c r="P8" s="594"/>
      <c r="Q8" s="594"/>
      <c r="R8" s="594"/>
      <c r="S8" s="594"/>
      <c r="T8" s="594"/>
      <c r="U8" s="594"/>
      <c r="V8" s="594"/>
      <c r="W8" s="594"/>
      <c r="X8" s="594"/>
      <c r="Y8" s="594"/>
      <c r="Z8" s="594"/>
      <c r="AA8" s="594"/>
      <c r="AB8" s="594"/>
      <c r="AC8" s="594"/>
      <c r="AD8" s="594"/>
      <c r="AE8" s="594"/>
      <c r="AF8" s="594"/>
      <c r="AG8" s="594"/>
      <c r="AH8" s="594"/>
      <c r="AI8" s="594"/>
      <c r="AJ8" s="594"/>
      <c r="AK8" s="594"/>
      <c r="AL8" s="594"/>
      <c r="AM8" s="594"/>
      <c r="AN8" s="594"/>
      <c r="AO8" s="594"/>
      <c r="AP8" s="594"/>
      <c r="AQ8" s="594"/>
      <c r="AR8" s="594"/>
      <c r="AS8" s="594"/>
      <c r="AT8" s="594"/>
      <c r="AU8" s="362"/>
      <c r="AV8" s="594"/>
      <c r="AW8" s="594"/>
      <c r="AX8" s="594"/>
      <c r="AY8" s="594"/>
      <c r="AZ8" s="362"/>
      <c r="BA8" s="362"/>
      <c r="BB8" s="362"/>
    </row>
    <row r="9" spans="1:55" s="24" customFormat="1" ht="18.75" customHeight="1" x14ac:dyDescent="0.45">
      <c r="A9" s="362"/>
      <c r="B9" s="35" t="s">
        <v>269</v>
      </c>
      <c r="C9" s="35"/>
      <c r="D9" s="35"/>
      <c r="E9" s="35"/>
      <c r="F9" s="35"/>
      <c r="G9" s="35"/>
      <c r="H9" s="606"/>
      <c r="I9" s="606"/>
      <c r="J9" s="606"/>
      <c r="K9" s="606"/>
      <c r="L9" s="606"/>
      <c r="M9" s="606"/>
      <c r="N9" s="606"/>
      <c r="O9" s="606"/>
      <c r="P9" s="606"/>
      <c r="Q9" s="606"/>
      <c r="R9" s="606"/>
      <c r="S9" s="606"/>
      <c r="T9" s="606"/>
      <c r="U9" s="606"/>
      <c r="V9" s="606"/>
      <c r="W9" s="606"/>
      <c r="X9" s="606"/>
      <c r="Y9" s="606"/>
      <c r="Z9" s="606"/>
      <c r="AA9" s="606"/>
      <c r="AB9" s="606"/>
      <c r="AC9" s="606"/>
      <c r="AD9" s="606"/>
      <c r="AE9" s="606"/>
      <c r="AF9" s="606"/>
      <c r="AG9" s="606"/>
      <c r="AH9" s="606"/>
      <c r="AI9" s="606"/>
      <c r="AJ9" s="606"/>
      <c r="AK9" s="606"/>
      <c r="AL9" s="606"/>
      <c r="AM9" s="606"/>
      <c r="AN9" s="606"/>
      <c r="AO9" s="606"/>
      <c r="AP9" s="606"/>
      <c r="AQ9" s="606"/>
      <c r="AR9" s="606"/>
      <c r="AS9" s="606"/>
      <c r="AT9" s="606"/>
      <c r="AU9" s="606"/>
      <c r="AV9" s="606"/>
      <c r="AW9" s="606"/>
      <c r="AX9" s="606"/>
      <c r="AY9" s="606"/>
      <c r="AZ9" s="362"/>
      <c r="BA9" s="362"/>
      <c r="BB9" s="362"/>
    </row>
    <row r="10" spans="1:55" ht="23.25" customHeight="1" x14ac:dyDescent="0.45">
      <c r="A10" s="1"/>
      <c r="B10" s="49" t="s">
        <v>270</v>
      </c>
      <c r="C10" s="35"/>
      <c r="D10" s="35"/>
      <c r="E10" s="35"/>
      <c r="F10" s="35"/>
      <c r="G10" s="35"/>
      <c r="H10" s="35" t="s">
        <v>271</v>
      </c>
      <c r="I10" s="35"/>
      <c r="J10" s="35"/>
      <c r="K10" s="35"/>
      <c r="L10" s="35"/>
      <c r="M10" s="165"/>
      <c r="N10" s="166"/>
      <c r="O10" s="166"/>
      <c r="P10" s="166"/>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c r="AP10" s="166"/>
      <c r="AQ10" s="166"/>
      <c r="AR10" s="166"/>
      <c r="AS10" s="166"/>
      <c r="AT10" s="166"/>
      <c r="AU10" s="166"/>
      <c r="AV10" s="166"/>
      <c r="AW10" s="166"/>
      <c r="AX10" s="166"/>
      <c r="AY10" s="167"/>
      <c r="AZ10" s="1"/>
      <c r="BA10" s="1"/>
      <c r="BB10" s="1"/>
    </row>
    <row r="11" spans="1:55" x14ac:dyDescent="0.45">
      <c r="A11" s="1"/>
      <c r="B11" s="35"/>
      <c r="C11" s="35"/>
      <c r="D11" s="35"/>
      <c r="E11" s="35"/>
      <c r="F11" s="35"/>
      <c r="G11" s="35"/>
      <c r="H11" s="35"/>
      <c r="I11" s="35"/>
      <c r="J11" s="35"/>
      <c r="K11" s="35"/>
      <c r="L11" s="35"/>
      <c r="M11" s="171"/>
      <c r="N11" s="172"/>
      <c r="O11" s="172"/>
      <c r="P11" s="172"/>
      <c r="Q11" s="172"/>
      <c r="R11" s="172"/>
      <c r="S11" s="172"/>
      <c r="T11" s="172"/>
      <c r="U11" s="172"/>
      <c r="V11" s="172"/>
      <c r="W11" s="172"/>
      <c r="X11" s="172"/>
      <c r="Y11" s="172"/>
      <c r="Z11" s="172"/>
      <c r="AA11" s="172"/>
      <c r="AB11" s="172"/>
      <c r="AC11" s="172"/>
      <c r="AD11" s="172"/>
      <c r="AE11" s="172"/>
      <c r="AF11" s="172"/>
      <c r="AG11" s="172"/>
      <c r="AH11" s="172"/>
      <c r="AI11" s="172"/>
      <c r="AJ11" s="172"/>
      <c r="AK11" s="172"/>
      <c r="AL11" s="172"/>
      <c r="AM11" s="172"/>
      <c r="AN11" s="172"/>
      <c r="AO11" s="172"/>
      <c r="AP11" s="172"/>
      <c r="AQ11" s="172"/>
      <c r="AR11" s="172"/>
      <c r="AS11" s="172"/>
      <c r="AT11" s="172"/>
      <c r="AU11" s="172"/>
      <c r="AV11" s="172"/>
      <c r="AW11" s="172"/>
      <c r="AX11" s="172"/>
      <c r="AY11" s="173"/>
      <c r="AZ11" s="1"/>
      <c r="BA11" s="1"/>
      <c r="BB11" s="1"/>
    </row>
    <row r="12" spans="1:55" x14ac:dyDescent="0.45">
      <c r="A12" s="1"/>
      <c r="B12" s="35"/>
      <c r="C12" s="35"/>
      <c r="D12" s="35"/>
      <c r="E12" s="35"/>
      <c r="F12" s="35"/>
      <c r="G12" s="35"/>
      <c r="H12" s="35" t="s">
        <v>272</v>
      </c>
      <c r="I12" s="35"/>
      <c r="J12" s="35"/>
      <c r="K12" s="35"/>
      <c r="L12" s="35"/>
      <c r="M12" s="50" t="s">
        <v>29</v>
      </c>
      <c r="N12" s="50"/>
      <c r="O12" s="50"/>
      <c r="P12" s="75"/>
      <c r="Q12" s="76"/>
      <c r="R12" s="76"/>
      <c r="S12" s="76"/>
      <c r="T12" s="76"/>
      <c r="U12" s="76"/>
      <c r="V12" s="76"/>
      <c r="W12" s="76"/>
      <c r="X12" s="76"/>
      <c r="Y12" s="76"/>
      <c r="Z12" s="76"/>
      <c r="AA12" s="76"/>
      <c r="AB12" s="76"/>
      <c r="AC12" s="76"/>
      <c r="AD12" s="77"/>
      <c r="AE12" s="607" t="s">
        <v>273</v>
      </c>
      <c r="AF12" s="238"/>
      <c r="AG12" s="238"/>
      <c r="AH12" s="238"/>
      <c r="AI12" s="238"/>
      <c r="AJ12" s="608"/>
      <c r="AK12" s="609"/>
      <c r="AL12" s="609"/>
      <c r="AM12" s="609"/>
      <c r="AN12" s="609"/>
      <c r="AO12" s="609"/>
      <c r="AP12" s="609"/>
      <c r="AQ12" s="609"/>
      <c r="AR12" s="609"/>
      <c r="AS12" s="609"/>
      <c r="AT12" s="610"/>
      <c r="AU12" s="609"/>
      <c r="AV12" s="609"/>
      <c r="AW12" s="609"/>
      <c r="AX12" s="609"/>
      <c r="AY12" s="611"/>
      <c r="AZ12" s="1"/>
      <c r="BA12" s="1"/>
      <c r="BB12" s="1"/>
    </row>
    <row r="13" spans="1:55" x14ac:dyDescent="0.45">
      <c r="A13" s="1"/>
      <c r="B13" s="35"/>
      <c r="C13" s="35"/>
      <c r="D13" s="35"/>
      <c r="E13" s="35"/>
      <c r="F13" s="35"/>
      <c r="G13" s="35"/>
      <c r="H13" s="35"/>
      <c r="I13" s="35"/>
      <c r="J13" s="35"/>
      <c r="K13" s="35"/>
      <c r="L13" s="35"/>
      <c r="M13" s="165"/>
      <c r="N13" s="166"/>
      <c r="O13" s="166"/>
      <c r="P13" s="166"/>
      <c r="Q13" s="166"/>
      <c r="R13" s="166"/>
      <c r="S13" s="166"/>
      <c r="T13" s="166"/>
      <c r="U13" s="166"/>
      <c r="V13" s="166"/>
      <c r="W13" s="166"/>
      <c r="X13" s="166"/>
      <c r="Y13" s="166"/>
      <c r="Z13" s="166"/>
      <c r="AA13" s="166"/>
      <c r="AB13" s="166"/>
      <c r="AC13" s="166"/>
      <c r="AD13" s="167"/>
      <c r="AE13" s="349"/>
      <c r="AF13" s="349"/>
      <c r="AG13" s="349"/>
      <c r="AH13" s="349"/>
      <c r="AI13" s="349"/>
      <c r="AJ13" s="612"/>
      <c r="AK13" s="604" t="s">
        <v>274</v>
      </c>
      <c r="AL13" s="185"/>
      <c r="AM13" s="185"/>
      <c r="AN13" s="185"/>
      <c r="AO13" s="604" t="s">
        <v>275</v>
      </c>
      <c r="AP13" s="185"/>
      <c r="AQ13" s="185"/>
      <c r="AR13" s="185"/>
      <c r="AS13" s="613" t="s">
        <v>276</v>
      </c>
      <c r="AT13" s="185"/>
      <c r="AU13" s="185"/>
      <c r="AV13" s="185"/>
      <c r="AW13" s="185"/>
      <c r="AX13" s="185"/>
      <c r="AY13" s="614"/>
      <c r="AZ13" s="1"/>
      <c r="BA13" s="1"/>
      <c r="BB13" s="1"/>
    </row>
    <row r="14" spans="1:55" x14ac:dyDescent="0.45">
      <c r="A14" s="1"/>
      <c r="B14" s="35"/>
      <c r="C14" s="35"/>
      <c r="D14" s="35"/>
      <c r="E14" s="35"/>
      <c r="F14" s="35"/>
      <c r="G14" s="35"/>
      <c r="H14" s="35"/>
      <c r="I14" s="35"/>
      <c r="J14" s="35"/>
      <c r="K14" s="35"/>
      <c r="L14" s="35"/>
      <c r="M14" s="171"/>
      <c r="N14" s="172"/>
      <c r="O14" s="172"/>
      <c r="P14" s="172"/>
      <c r="Q14" s="172"/>
      <c r="R14" s="172"/>
      <c r="S14" s="172"/>
      <c r="T14" s="172"/>
      <c r="U14" s="172"/>
      <c r="V14" s="172"/>
      <c r="W14" s="172"/>
      <c r="X14" s="172"/>
      <c r="Y14" s="172"/>
      <c r="Z14" s="172"/>
      <c r="AA14" s="172"/>
      <c r="AB14" s="172"/>
      <c r="AC14" s="172"/>
      <c r="AD14" s="173"/>
      <c r="AE14" s="615"/>
      <c r="AF14" s="615"/>
      <c r="AG14" s="615"/>
      <c r="AH14" s="615"/>
      <c r="AI14" s="615"/>
      <c r="AJ14" s="616"/>
      <c r="AK14" s="617"/>
      <c r="AL14" s="617"/>
      <c r="AM14" s="617"/>
      <c r="AN14" s="617"/>
      <c r="AO14" s="617"/>
      <c r="AP14" s="617"/>
      <c r="AQ14" s="617"/>
      <c r="AR14" s="617"/>
      <c r="AS14" s="617"/>
      <c r="AT14" s="618"/>
      <c r="AU14" s="617"/>
      <c r="AV14" s="617"/>
      <c r="AW14" s="617"/>
      <c r="AX14" s="617"/>
      <c r="AY14" s="619"/>
      <c r="AZ14" s="1"/>
      <c r="BA14" s="1"/>
      <c r="BB14" s="1"/>
    </row>
    <row r="15" spans="1:55" ht="13.5" customHeight="1" x14ac:dyDescent="0.45">
      <c r="A15" s="1"/>
      <c r="B15" s="49" t="s">
        <v>277</v>
      </c>
      <c r="C15" s="35"/>
      <c r="D15" s="35"/>
      <c r="E15" s="35"/>
      <c r="F15" s="35"/>
      <c r="G15" s="35"/>
      <c r="H15" s="73" t="s">
        <v>34</v>
      </c>
      <c r="I15" s="74"/>
      <c r="J15" s="74"/>
      <c r="K15" s="74"/>
      <c r="L15" s="74"/>
      <c r="M15" s="74"/>
      <c r="N15" s="74"/>
      <c r="O15" s="74"/>
      <c r="P15" s="74"/>
      <c r="Q15" s="50" t="s">
        <v>29</v>
      </c>
      <c r="R15" s="50"/>
      <c r="S15" s="50"/>
      <c r="T15" s="75"/>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7"/>
      <c r="AZ15" s="1"/>
      <c r="BA15" s="1"/>
      <c r="BB15" s="1"/>
    </row>
    <row r="16" spans="1:55" ht="13.5" customHeight="1" x14ac:dyDescent="0.45">
      <c r="A16" s="1"/>
      <c r="B16" s="35"/>
      <c r="C16" s="35"/>
      <c r="D16" s="35"/>
      <c r="E16" s="35"/>
      <c r="F16" s="35"/>
      <c r="G16" s="35"/>
      <c r="H16" s="82" t="s">
        <v>37</v>
      </c>
      <c r="I16" s="83"/>
      <c r="J16" s="84"/>
      <c r="K16" s="12"/>
      <c r="L16" s="12"/>
      <c r="M16" s="12"/>
      <c r="N16" s="12"/>
      <c r="O16" s="12"/>
      <c r="P16" s="85"/>
      <c r="Q16" s="86" t="s">
        <v>39</v>
      </c>
      <c r="R16" s="87"/>
      <c r="S16" s="88"/>
      <c r="T16" s="89"/>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1"/>
      <c r="AZ16" s="1"/>
      <c r="BA16" s="1"/>
      <c r="BB16" s="1"/>
    </row>
    <row r="17" spans="1:54" ht="13.5" customHeight="1" x14ac:dyDescent="0.45">
      <c r="A17" s="1"/>
      <c r="B17" s="35"/>
      <c r="C17" s="35"/>
      <c r="D17" s="35"/>
      <c r="E17" s="35"/>
      <c r="F17" s="35"/>
      <c r="G17" s="35"/>
      <c r="H17" s="620"/>
      <c r="I17" s="425"/>
      <c r="J17" s="621"/>
      <c r="K17" s="15"/>
      <c r="L17" s="15"/>
      <c r="M17" s="15"/>
      <c r="N17" s="15"/>
      <c r="O17" s="15"/>
      <c r="P17" s="622"/>
      <c r="Q17" s="97"/>
      <c r="R17" s="98"/>
      <c r="S17" s="99"/>
      <c r="T17" s="100"/>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2"/>
      <c r="AZ17" s="1"/>
      <c r="BA17" s="1"/>
      <c r="BB17" s="1"/>
    </row>
    <row r="18" spans="1:54" ht="13.5" customHeight="1" x14ac:dyDescent="0.45">
      <c r="A18" s="1"/>
      <c r="B18" s="35"/>
      <c r="C18" s="35"/>
      <c r="D18" s="35"/>
      <c r="E18" s="35"/>
      <c r="F18" s="35"/>
      <c r="G18" s="35"/>
      <c r="H18" s="93"/>
      <c r="I18" s="94"/>
      <c r="J18" s="95"/>
      <c r="K18" s="17"/>
      <c r="L18" s="17"/>
      <c r="M18" s="17"/>
      <c r="N18" s="17"/>
      <c r="O18" s="17"/>
      <c r="P18" s="96"/>
      <c r="Q18" s="623" t="s">
        <v>44</v>
      </c>
      <c r="R18" s="623"/>
      <c r="S18" s="623"/>
      <c r="T18" s="624"/>
      <c r="U18" s="624"/>
      <c r="V18" s="624"/>
      <c r="W18" s="624"/>
      <c r="X18" s="624"/>
      <c r="Y18" s="624"/>
      <c r="Z18" s="624"/>
      <c r="AA18" s="624"/>
      <c r="AB18" s="624"/>
      <c r="AC18" s="624"/>
      <c r="AD18" s="624"/>
      <c r="AE18" s="624"/>
      <c r="AF18" s="624"/>
      <c r="AG18" s="624"/>
      <c r="AH18" s="624"/>
      <c r="AI18" s="624"/>
      <c r="AJ18" s="624"/>
      <c r="AK18" s="624"/>
      <c r="AL18" s="624"/>
      <c r="AM18" s="624"/>
      <c r="AN18" s="624"/>
      <c r="AO18" s="624"/>
      <c r="AP18" s="624"/>
      <c r="AQ18" s="624"/>
      <c r="AR18" s="624"/>
      <c r="AS18" s="624"/>
      <c r="AT18" s="624"/>
      <c r="AU18" s="624"/>
      <c r="AV18" s="624"/>
      <c r="AW18" s="624"/>
      <c r="AX18" s="624"/>
      <c r="AY18" s="624"/>
      <c r="AZ18" s="1"/>
      <c r="BA18" s="1"/>
      <c r="BB18" s="1"/>
    </row>
    <row r="19" spans="1:54" ht="13.5" customHeight="1" x14ac:dyDescent="0.45">
      <c r="A19" s="1"/>
      <c r="B19" s="49" t="s">
        <v>278</v>
      </c>
      <c r="C19" s="49"/>
      <c r="D19" s="49"/>
      <c r="E19" s="49"/>
      <c r="F19" s="49"/>
      <c r="G19" s="49"/>
      <c r="H19" s="73" t="s">
        <v>34</v>
      </c>
      <c r="I19" s="74"/>
      <c r="J19" s="74"/>
      <c r="K19" s="74"/>
      <c r="L19" s="74"/>
      <c r="M19" s="74"/>
      <c r="N19" s="74"/>
      <c r="O19" s="74"/>
      <c r="P19" s="74"/>
      <c r="Q19" s="50" t="s">
        <v>29</v>
      </c>
      <c r="R19" s="50"/>
      <c r="S19" s="50"/>
      <c r="T19" s="75"/>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7"/>
      <c r="AZ19" s="1"/>
      <c r="BA19" s="1"/>
      <c r="BB19" s="1"/>
    </row>
    <row r="20" spans="1:54" ht="13.5" customHeight="1" x14ac:dyDescent="0.45">
      <c r="A20" s="1"/>
      <c r="B20" s="49"/>
      <c r="C20" s="49"/>
      <c r="D20" s="49"/>
      <c r="E20" s="49"/>
      <c r="F20" s="49"/>
      <c r="G20" s="49"/>
      <c r="H20" s="82" t="s">
        <v>37</v>
      </c>
      <c r="I20" s="83"/>
      <c r="J20" s="84"/>
      <c r="K20" s="12"/>
      <c r="L20" s="12"/>
      <c r="M20" s="12"/>
      <c r="N20" s="12"/>
      <c r="O20" s="12"/>
      <c r="P20" s="85"/>
      <c r="Q20" s="86" t="s">
        <v>39</v>
      </c>
      <c r="R20" s="87"/>
      <c r="S20" s="88"/>
      <c r="T20" s="89"/>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1"/>
      <c r="AZ20" s="1"/>
      <c r="BA20" s="1"/>
      <c r="BB20" s="1"/>
    </row>
    <row r="21" spans="1:54" ht="13.5" customHeight="1" x14ac:dyDescent="0.45">
      <c r="A21" s="1"/>
      <c r="B21" s="49"/>
      <c r="C21" s="49"/>
      <c r="D21" s="49"/>
      <c r="E21" s="49"/>
      <c r="F21" s="49"/>
      <c r="G21" s="49"/>
      <c r="H21" s="620"/>
      <c r="I21" s="425"/>
      <c r="J21" s="621"/>
      <c r="K21" s="15"/>
      <c r="L21" s="15"/>
      <c r="M21" s="15"/>
      <c r="N21" s="15"/>
      <c r="O21" s="15"/>
      <c r="P21" s="622"/>
      <c r="Q21" s="97"/>
      <c r="R21" s="98"/>
      <c r="S21" s="99"/>
      <c r="T21" s="100"/>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2"/>
      <c r="AZ21" s="1"/>
      <c r="BA21" s="1"/>
      <c r="BB21" s="1"/>
    </row>
    <row r="22" spans="1:54" ht="13.5" customHeight="1" x14ac:dyDescent="0.45">
      <c r="A22" s="1"/>
      <c r="B22" s="49"/>
      <c r="C22" s="49"/>
      <c r="D22" s="49"/>
      <c r="E22" s="49"/>
      <c r="F22" s="49"/>
      <c r="G22" s="49"/>
      <c r="H22" s="93"/>
      <c r="I22" s="94"/>
      <c r="J22" s="95"/>
      <c r="K22" s="17"/>
      <c r="L22" s="17"/>
      <c r="M22" s="17"/>
      <c r="N22" s="17"/>
      <c r="O22" s="17"/>
      <c r="P22" s="96"/>
      <c r="Q22" s="623" t="s">
        <v>44</v>
      </c>
      <c r="R22" s="623"/>
      <c r="S22" s="623"/>
      <c r="T22" s="624"/>
      <c r="U22" s="624"/>
      <c r="V22" s="624"/>
      <c r="W22" s="624"/>
      <c r="X22" s="624"/>
      <c r="Y22" s="624"/>
      <c r="Z22" s="624"/>
      <c r="AA22" s="624"/>
      <c r="AB22" s="624"/>
      <c r="AC22" s="624"/>
      <c r="AD22" s="624"/>
      <c r="AE22" s="624"/>
      <c r="AF22" s="624"/>
      <c r="AG22" s="624"/>
      <c r="AH22" s="624"/>
      <c r="AI22" s="624"/>
      <c r="AJ22" s="624"/>
      <c r="AK22" s="624"/>
      <c r="AL22" s="624"/>
      <c r="AM22" s="624"/>
      <c r="AN22" s="624"/>
      <c r="AO22" s="624"/>
      <c r="AP22" s="624"/>
      <c r="AQ22" s="624"/>
      <c r="AR22" s="624"/>
      <c r="AS22" s="624"/>
      <c r="AT22" s="624"/>
      <c r="AU22" s="624"/>
      <c r="AV22" s="624"/>
      <c r="AW22" s="624"/>
      <c r="AX22" s="624"/>
      <c r="AY22" s="624"/>
      <c r="AZ22" s="1"/>
      <c r="BA22" s="1"/>
      <c r="BB22" s="1"/>
    </row>
    <row r="23" spans="1:54" ht="24.75" customHeight="1" x14ac:dyDescent="0.45">
      <c r="A23" s="1"/>
      <c r="B23" s="214" t="s">
        <v>279</v>
      </c>
      <c r="C23" s="41"/>
      <c r="D23" s="41"/>
      <c r="E23" s="41"/>
      <c r="F23" s="41"/>
      <c r="G23" s="42"/>
      <c r="H23" s="153" t="s">
        <v>53</v>
      </c>
      <c r="I23" s="154"/>
      <c r="J23" s="154"/>
      <c r="K23" s="154"/>
      <c r="L23" s="155"/>
      <c r="M23" s="156"/>
      <c r="N23" s="156"/>
      <c r="O23" s="156"/>
      <c r="P23" s="156"/>
      <c r="Q23" s="401"/>
      <c r="R23" s="401"/>
      <c r="S23" s="401"/>
      <c r="T23" s="625"/>
      <c r="U23" s="625"/>
      <c r="V23" s="625"/>
      <c r="W23" s="626"/>
      <c r="X23" s="627"/>
      <c r="Y23" s="627"/>
      <c r="Z23" s="627"/>
      <c r="AA23" s="627"/>
      <c r="AB23" s="627"/>
      <c r="AC23" s="627"/>
      <c r="AD23" s="627"/>
      <c r="AE23" s="627"/>
      <c r="AF23" s="627"/>
      <c r="AG23" s="627"/>
      <c r="AH23" s="627"/>
      <c r="AI23" s="627"/>
      <c r="AJ23" s="627"/>
      <c r="AK23" s="627"/>
      <c r="AL23" s="627"/>
      <c r="AM23" s="627"/>
      <c r="AN23" s="627"/>
      <c r="AO23" s="627"/>
      <c r="AP23" s="627"/>
      <c r="AQ23" s="627"/>
      <c r="AR23" s="627"/>
      <c r="AS23" s="627"/>
      <c r="AT23" s="627"/>
      <c r="AU23" s="627"/>
      <c r="AV23" s="627"/>
      <c r="AW23" s="627"/>
      <c r="AX23" s="627"/>
      <c r="AY23" s="628"/>
      <c r="AZ23" s="1"/>
      <c r="BA23" s="1"/>
      <c r="BB23" s="1"/>
    </row>
    <row r="24" spans="1:54" s="1" customFormat="1" ht="15" customHeight="1" x14ac:dyDescent="0.45">
      <c r="B24" s="617"/>
      <c r="C24" s="617"/>
      <c r="D24" s="617"/>
      <c r="E24" s="617"/>
      <c r="F24" s="617"/>
      <c r="G24" s="617"/>
      <c r="H24" s="617"/>
      <c r="I24" s="617"/>
      <c r="J24" s="617"/>
      <c r="K24" s="617"/>
      <c r="L24" s="617"/>
      <c r="M24" s="617"/>
      <c r="N24" s="617"/>
      <c r="O24" s="629"/>
      <c r="P24" s="629"/>
      <c r="Q24" s="629"/>
      <c r="R24" s="629"/>
      <c r="S24" s="617"/>
      <c r="T24" s="617"/>
      <c r="U24" s="617"/>
      <c r="V24" s="617"/>
      <c r="W24" s="617"/>
      <c r="X24" s="617"/>
      <c r="Y24" s="630"/>
      <c r="Z24" s="630"/>
      <c r="AA24" s="630"/>
      <c r="AB24" s="630"/>
      <c r="AC24" s="630"/>
      <c r="AD24" s="630"/>
      <c r="AE24" s="630"/>
      <c r="AF24" s="630"/>
      <c r="AG24" s="630"/>
      <c r="AH24" s="630"/>
      <c r="AI24" s="630"/>
      <c r="AJ24" s="630"/>
      <c r="AK24" s="630"/>
      <c r="AL24" s="630"/>
      <c r="AM24" s="630"/>
      <c r="AN24" s="630"/>
      <c r="AO24" s="630"/>
      <c r="AP24" s="630"/>
      <c r="AQ24" s="630"/>
      <c r="AR24" s="630"/>
      <c r="AS24" s="630"/>
      <c r="AT24" s="630"/>
      <c r="AU24" s="630"/>
      <c r="AV24" s="630"/>
      <c r="AW24" s="630"/>
      <c r="AX24" s="630"/>
      <c r="AY24" s="630"/>
    </row>
    <row r="25" spans="1:54" ht="26.25" customHeight="1" x14ac:dyDescent="0.45">
      <c r="A25" s="1"/>
      <c r="B25" s="35" t="s">
        <v>280</v>
      </c>
      <c r="C25" s="35"/>
      <c r="D25" s="35"/>
      <c r="E25" s="35"/>
      <c r="F25" s="35"/>
      <c r="G25" s="35"/>
      <c r="H25" s="631" t="s">
        <v>47</v>
      </c>
      <c r="I25" s="632" t="s">
        <v>281</v>
      </c>
      <c r="J25" s="632"/>
      <c r="K25" s="632"/>
      <c r="L25" s="632"/>
      <c r="M25" s="632"/>
      <c r="N25" s="632"/>
      <c r="O25" s="633" t="s">
        <v>47</v>
      </c>
      <c r="P25" s="632" t="s">
        <v>282</v>
      </c>
      <c r="Q25" s="632"/>
      <c r="R25" s="632"/>
      <c r="S25" s="632"/>
      <c r="T25" s="632"/>
      <c r="U25" s="632"/>
      <c r="V25" s="632"/>
      <c r="W25" s="633" t="s">
        <v>47</v>
      </c>
      <c r="X25" s="632" t="s">
        <v>283</v>
      </c>
      <c r="Y25" s="632"/>
      <c r="Z25" s="632"/>
      <c r="AA25" s="632"/>
      <c r="AB25" s="632"/>
      <c r="AC25" s="632"/>
      <c r="AD25" s="632"/>
      <c r="AE25" s="632"/>
      <c r="AF25" s="632"/>
      <c r="AG25" s="633"/>
      <c r="AH25" s="632"/>
      <c r="AI25" s="632"/>
      <c r="AJ25" s="632"/>
      <c r="AK25" s="632"/>
      <c r="AL25" s="632"/>
      <c r="AM25" s="632"/>
      <c r="AN25" s="632"/>
      <c r="AO25" s="632"/>
      <c r="AP25" s="632"/>
      <c r="AQ25" s="632"/>
      <c r="AR25" s="632"/>
      <c r="AS25" s="632"/>
      <c r="AT25" s="632"/>
      <c r="AU25" s="632"/>
      <c r="AV25" s="632"/>
      <c r="AW25" s="632"/>
      <c r="AX25" s="632"/>
      <c r="AY25" s="634"/>
      <c r="AZ25" s="1"/>
      <c r="BA25" s="1"/>
      <c r="BB25" s="1"/>
    </row>
    <row r="26" spans="1:54" ht="15" customHeight="1" x14ac:dyDescent="0.45">
      <c r="A26" s="1"/>
      <c r="B26" s="49" t="s">
        <v>284</v>
      </c>
      <c r="C26" s="49"/>
      <c r="D26" s="49"/>
      <c r="E26" s="49"/>
      <c r="F26" s="49"/>
      <c r="G26" s="49"/>
      <c r="H26" s="50" t="s">
        <v>29</v>
      </c>
      <c r="I26" s="50"/>
      <c r="J26" s="50"/>
      <c r="K26" s="75"/>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7"/>
      <c r="AZ26" s="1"/>
      <c r="BA26" s="1"/>
      <c r="BB26" s="1"/>
    </row>
    <row r="27" spans="1:54" x14ac:dyDescent="0.45">
      <c r="A27" s="1"/>
      <c r="B27" s="49"/>
      <c r="C27" s="49"/>
      <c r="D27" s="49"/>
      <c r="E27" s="49"/>
      <c r="F27" s="49"/>
      <c r="G27" s="49"/>
      <c r="H27" s="635"/>
      <c r="I27" s="635"/>
      <c r="J27" s="635"/>
      <c r="K27" s="635"/>
      <c r="L27" s="635"/>
      <c r="M27" s="635"/>
      <c r="N27" s="635"/>
      <c r="O27" s="635"/>
      <c r="P27" s="635"/>
      <c r="Q27" s="635"/>
      <c r="R27" s="635"/>
      <c r="S27" s="635"/>
      <c r="T27" s="635"/>
      <c r="U27" s="635"/>
      <c r="V27" s="635"/>
      <c r="W27" s="635"/>
      <c r="X27" s="635"/>
      <c r="Y27" s="635"/>
      <c r="Z27" s="635"/>
      <c r="AA27" s="635"/>
      <c r="AB27" s="635"/>
      <c r="AC27" s="635"/>
      <c r="AD27" s="635"/>
      <c r="AE27" s="635"/>
      <c r="AF27" s="635"/>
      <c r="AG27" s="635"/>
      <c r="AH27" s="635"/>
      <c r="AI27" s="635"/>
      <c r="AJ27" s="635"/>
      <c r="AK27" s="635"/>
      <c r="AL27" s="635"/>
      <c r="AM27" s="635"/>
      <c r="AN27" s="635"/>
      <c r="AO27" s="635"/>
      <c r="AP27" s="635"/>
      <c r="AQ27" s="635"/>
      <c r="AR27" s="635"/>
      <c r="AS27" s="635"/>
      <c r="AT27" s="635"/>
      <c r="AU27" s="635"/>
      <c r="AV27" s="635"/>
      <c r="AW27" s="635"/>
      <c r="AX27" s="635"/>
      <c r="AY27" s="635"/>
      <c r="AZ27" s="1"/>
      <c r="BA27" s="1"/>
      <c r="BB27" s="1"/>
    </row>
    <row r="28" spans="1:54" x14ac:dyDescent="0.45">
      <c r="A28" s="1"/>
      <c r="B28" s="49"/>
      <c r="C28" s="49"/>
      <c r="D28" s="49"/>
      <c r="E28" s="49"/>
      <c r="F28" s="49"/>
      <c r="G28" s="49"/>
      <c r="H28" s="635"/>
      <c r="I28" s="635"/>
      <c r="J28" s="635"/>
      <c r="K28" s="635"/>
      <c r="L28" s="635"/>
      <c r="M28" s="635"/>
      <c r="N28" s="635"/>
      <c r="O28" s="635"/>
      <c r="P28" s="635"/>
      <c r="Q28" s="635"/>
      <c r="R28" s="635"/>
      <c r="S28" s="635"/>
      <c r="T28" s="635"/>
      <c r="U28" s="635"/>
      <c r="V28" s="635"/>
      <c r="W28" s="635"/>
      <c r="X28" s="635"/>
      <c r="Y28" s="635"/>
      <c r="Z28" s="635"/>
      <c r="AA28" s="635"/>
      <c r="AB28" s="635"/>
      <c r="AC28" s="635"/>
      <c r="AD28" s="635"/>
      <c r="AE28" s="635"/>
      <c r="AF28" s="635"/>
      <c r="AG28" s="635"/>
      <c r="AH28" s="635"/>
      <c r="AI28" s="635"/>
      <c r="AJ28" s="635"/>
      <c r="AK28" s="635"/>
      <c r="AL28" s="635"/>
      <c r="AM28" s="635"/>
      <c r="AN28" s="635"/>
      <c r="AO28" s="635"/>
      <c r="AP28" s="635"/>
      <c r="AQ28" s="635"/>
      <c r="AR28" s="635"/>
      <c r="AS28" s="635"/>
      <c r="AT28" s="635"/>
      <c r="AU28" s="635"/>
      <c r="AV28" s="635"/>
      <c r="AW28" s="635"/>
      <c r="AX28" s="635"/>
      <c r="AY28" s="635"/>
      <c r="AZ28" s="1"/>
      <c r="BA28" s="1"/>
      <c r="BB28" s="1"/>
    </row>
    <row r="29" spans="1:54" ht="13.5" customHeight="1" x14ac:dyDescent="0.45">
      <c r="A29" s="1"/>
      <c r="B29" s="49" t="s">
        <v>285</v>
      </c>
      <c r="C29" s="35"/>
      <c r="D29" s="35"/>
      <c r="E29" s="35"/>
      <c r="F29" s="35"/>
      <c r="G29" s="35"/>
      <c r="H29" s="73" t="s">
        <v>34</v>
      </c>
      <c r="I29" s="74"/>
      <c r="J29" s="74"/>
      <c r="K29" s="74"/>
      <c r="L29" s="74"/>
      <c r="M29" s="74"/>
      <c r="N29" s="74"/>
      <c r="O29" s="74"/>
      <c r="P29" s="74"/>
      <c r="Q29" s="50" t="s">
        <v>29</v>
      </c>
      <c r="R29" s="50"/>
      <c r="S29" s="50"/>
      <c r="T29" s="75"/>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7"/>
      <c r="AZ29" s="1"/>
      <c r="BA29" s="1"/>
      <c r="BB29" s="1"/>
    </row>
    <row r="30" spans="1:54" ht="13.5" customHeight="1" x14ac:dyDescent="0.45">
      <c r="A30" s="1"/>
      <c r="B30" s="35"/>
      <c r="C30" s="35"/>
      <c r="D30" s="35"/>
      <c r="E30" s="35"/>
      <c r="F30" s="35"/>
      <c r="G30" s="35"/>
      <c r="H30" s="82" t="s">
        <v>37</v>
      </c>
      <c r="I30" s="83"/>
      <c r="J30" s="84"/>
      <c r="K30" s="12"/>
      <c r="L30" s="12"/>
      <c r="M30" s="12"/>
      <c r="N30" s="12"/>
      <c r="O30" s="12"/>
      <c r="P30" s="85"/>
      <c r="Q30" s="86" t="s">
        <v>39</v>
      </c>
      <c r="R30" s="87"/>
      <c r="S30" s="88"/>
      <c r="T30" s="89"/>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1"/>
      <c r="AZ30" s="1"/>
      <c r="BA30" s="1"/>
      <c r="BB30" s="1"/>
    </row>
    <row r="31" spans="1:54" ht="13.5" customHeight="1" x14ac:dyDescent="0.45">
      <c r="A31" s="1"/>
      <c r="B31" s="35"/>
      <c r="C31" s="35"/>
      <c r="D31" s="35"/>
      <c r="E31" s="35"/>
      <c r="F31" s="35"/>
      <c r="G31" s="35"/>
      <c r="H31" s="620"/>
      <c r="I31" s="425"/>
      <c r="J31" s="621"/>
      <c r="K31" s="15"/>
      <c r="L31" s="15"/>
      <c r="M31" s="15"/>
      <c r="N31" s="15"/>
      <c r="O31" s="15"/>
      <c r="P31" s="622"/>
      <c r="Q31" s="97"/>
      <c r="R31" s="98"/>
      <c r="S31" s="99"/>
      <c r="T31" s="100"/>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2"/>
      <c r="AZ31" s="1"/>
      <c r="BA31" s="1"/>
      <c r="BB31" s="1"/>
    </row>
    <row r="32" spans="1:54" ht="13.5" customHeight="1" x14ac:dyDescent="0.45">
      <c r="A32" s="1"/>
      <c r="B32" s="35"/>
      <c r="C32" s="35"/>
      <c r="D32" s="35"/>
      <c r="E32" s="35"/>
      <c r="F32" s="35"/>
      <c r="G32" s="35"/>
      <c r="H32" s="93"/>
      <c r="I32" s="94"/>
      <c r="J32" s="95"/>
      <c r="K32" s="17"/>
      <c r="L32" s="17"/>
      <c r="M32" s="17"/>
      <c r="N32" s="17"/>
      <c r="O32" s="17"/>
      <c r="P32" s="96"/>
      <c r="Q32" s="623" t="s">
        <v>44</v>
      </c>
      <c r="R32" s="623"/>
      <c r="S32" s="623"/>
      <c r="T32" s="624"/>
      <c r="U32" s="624"/>
      <c r="V32" s="624"/>
      <c r="W32" s="624"/>
      <c r="X32" s="624"/>
      <c r="Y32" s="624"/>
      <c r="Z32" s="624"/>
      <c r="AA32" s="624"/>
      <c r="AB32" s="624"/>
      <c r="AC32" s="624"/>
      <c r="AD32" s="624"/>
      <c r="AE32" s="624"/>
      <c r="AF32" s="624"/>
      <c r="AG32" s="624"/>
      <c r="AH32" s="624"/>
      <c r="AI32" s="624"/>
      <c r="AJ32" s="624"/>
      <c r="AK32" s="624"/>
      <c r="AL32" s="624"/>
      <c r="AM32" s="624"/>
      <c r="AN32" s="624"/>
      <c r="AO32" s="624"/>
      <c r="AP32" s="624"/>
      <c r="AQ32" s="624"/>
      <c r="AR32" s="624"/>
      <c r="AS32" s="624"/>
      <c r="AT32" s="624"/>
      <c r="AU32" s="624"/>
      <c r="AV32" s="624"/>
      <c r="AW32" s="624"/>
      <c r="AX32" s="624"/>
      <c r="AY32" s="624"/>
      <c r="AZ32" s="1"/>
      <c r="BA32" s="1"/>
      <c r="BB32" s="1"/>
    </row>
    <row r="33" spans="1:54" ht="13.5" customHeight="1" x14ac:dyDescent="0.45">
      <c r="A33" s="1"/>
      <c r="B33" s="49" t="s">
        <v>286</v>
      </c>
      <c r="C33" s="49"/>
      <c r="D33" s="49"/>
      <c r="E33" s="49"/>
      <c r="F33" s="49"/>
      <c r="G33" s="49"/>
      <c r="H33" s="73" t="s">
        <v>34</v>
      </c>
      <c r="I33" s="74"/>
      <c r="J33" s="74"/>
      <c r="K33" s="74"/>
      <c r="L33" s="74"/>
      <c r="M33" s="74"/>
      <c r="N33" s="74"/>
      <c r="O33" s="74"/>
      <c r="P33" s="74"/>
      <c r="Q33" s="50" t="s">
        <v>29</v>
      </c>
      <c r="R33" s="50"/>
      <c r="S33" s="50"/>
      <c r="T33" s="75"/>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7"/>
      <c r="AZ33" s="1"/>
      <c r="BA33" s="1"/>
      <c r="BB33" s="1"/>
    </row>
    <row r="34" spans="1:54" ht="13.5" customHeight="1" x14ac:dyDescent="0.45">
      <c r="A34" s="1"/>
      <c r="B34" s="49"/>
      <c r="C34" s="49"/>
      <c r="D34" s="49"/>
      <c r="E34" s="49"/>
      <c r="F34" s="49"/>
      <c r="G34" s="49"/>
      <c r="H34" s="82" t="s">
        <v>37</v>
      </c>
      <c r="I34" s="83"/>
      <c r="J34" s="84"/>
      <c r="K34" s="12"/>
      <c r="L34" s="12"/>
      <c r="M34" s="12"/>
      <c r="N34" s="12"/>
      <c r="O34" s="12"/>
      <c r="P34" s="85"/>
      <c r="Q34" s="86" t="s">
        <v>39</v>
      </c>
      <c r="R34" s="87"/>
      <c r="S34" s="88"/>
      <c r="T34" s="89"/>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1"/>
      <c r="AZ34" s="1"/>
      <c r="BA34" s="1"/>
      <c r="BB34" s="1"/>
    </row>
    <row r="35" spans="1:54" ht="13.5" customHeight="1" x14ac:dyDescent="0.45">
      <c r="A35" s="1"/>
      <c r="B35" s="49"/>
      <c r="C35" s="49"/>
      <c r="D35" s="49"/>
      <c r="E35" s="49"/>
      <c r="F35" s="49"/>
      <c r="G35" s="49"/>
      <c r="H35" s="620"/>
      <c r="I35" s="425"/>
      <c r="J35" s="621"/>
      <c r="K35" s="15"/>
      <c r="L35" s="15"/>
      <c r="M35" s="15"/>
      <c r="N35" s="15"/>
      <c r="O35" s="15"/>
      <c r="P35" s="622"/>
      <c r="Q35" s="97"/>
      <c r="R35" s="98"/>
      <c r="S35" s="99"/>
      <c r="T35" s="100"/>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2"/>
      <c r="AZ35" s="1"/>
      <c r="BA35" s="1"/>
      <c r="BB35" s="1"/>
    </row>
    <row r="36" spans="1:54" ht="13.5" customHeight="1" x14ac:dyDescent="0.45">
      <c r="A36" s="1"/>
      <c r="B36" s="49"/>
      <c r="C36" s="49"/>
      <c r="D36" s="49"/>
      <c r="E36" s="49"/>
      <c r="F36" s="49"/>
      <c r="G36" s="49"/>
      <c r="H36" s="93"/>
      <c r="I36" s="94"/>
      <c r="J36" s="95"/>
      <c r="K36" s="17"/>
      <c r="L36" s="17"/>
      <c r="M36" s="17"/>
      <c r="N36" s="17"/>
      <c r="O36" s="17"/>
      <c r="P36" s="96"/>
      <c r="Q36" s="623" t="s">
        <v>44</v>
      </c>
      <c r="R36" s="623"/>
      <c r="S36" s="623"/>
      <c r="T36" s="624"/>
      <c r="U36" s="624"/>
      <c r="V36" s="624"/>
      <c r="W36" s="624"/>
      <c r="X36" s="624"/>
      <c r="Y36" s="624"/>
      <c r="Z36" s="624"/>
      <c r="AA36" s="624"/>
      <c r="AB36" s="624"/>
      <c r="AC36" s="624"/>
      <c r="AD36" s="624"/>
      <c r="AE36" s="624"/>
      <c r="AF36" s="624"/>
      <c r="AG36" s="624"/>
      <c r="AH36" s="624"/>
      <c r="AI36" s="624"/>
      <c r="AJ36" s="624"/>
      <c r="AK36" s="624"/>
      <c r="AL36" s="624"/>
      <c r="AM36" s="624"/>
      <c r="AN36" s="624"/>
      <c r="AO36" s="624"/>
      <c r="AP36" s="624"/>
      <c r="AQ36" s="624"/>
      <c r="AR36" s="624"/>
      <c r="AS36" s="624"/>
      <c r="AT36" s="624"/>
      <c r="AU36" s="624"/>
      <c r="AV36" s="624"/>
      <c r="AW36" s="624"/>
      <c r="AX36" s="624"/>
      <c r="AY36" s="624"/>
      <c r="AZ36" s="1"/>
      <c r="BA36" s="1"/>
      <c r="BB36" s="1"/>
    </row>
    <row r="37" spans="1:54" ht="25.5" customHeight="1" x14ac:dyDescent="0.45">
      <c r="A37" s="1"/>
      <c r="B37" s="214" t="s">
        <v>287</v>
      </c>
      <c r="C37" s="41"/>
      <c r="D37" s="41"/>
      <c r="E37" s="41"/>
      <c r="F37" s="41"/>
      <c r="G37" s="42"/>
      <c r="H37" s="153" t="s">
        <v>53</v>
      </c>
      <c r="I37" s="154"/>
      <c r="J37" s="154"/>
      <c r="K37" s="154"/>
      <c r="L37" s="155"/>
      <c r="M37" s="156"/>
      <c r="N37" s="156"/>
      <c r="O37" s="156"/>
      <c r="P37" s="156"/>
      <c r="Q37" s="401"/>
      <c r="R37" s="401"/>
      <c r="S37" s="401"/>
      <c r="T37" s="625"/>
      <c r="U37" s="625"/>
      <c r="V37" s="625"/>
      <c r="W37" s="626"/>
      <c r="X37" s="627"/>
      <c r="Y37" s="627"/>
      <c r="Z37" s="627"/>
      <c r="AA37" s="627"/>
      <c r="AB37" s="627"/>
      <c r="AC37" s="627"/>
      <c r="AD37" s="627"/>
      <c r="AE37" s="627"/>
      <c r="AF37" s="627"/>
      <c r="AG37" s="627"/>
      <c r="AH37" s="627"/>
      <c r="AI37" s="627"/>
      <c r="AJ37" s="627"/>
      <c r="AK37" s="627"/>
      <c r="AL37" s="627"/>
      <c r="AM37" s="627"/>
      <c r="AN37" s="627"/>
      <c r="AO37" s="627"/>
      <c r="AP37" s="627"/>
      <c r="AQ37" s="627"/>
      <c r="AR37" s="627"/>
      <c r="AS37" s="627"/>
      <c r="AT37" s="627"/>
      <c r="AU37" s="627"/>
      <c r="AV37" s="627"/>
      <c r="AW37" s="627"/>
      <c r="AX37" s="627"/>
      <c r="AY37" s="628"/>
      <c r="AZ37" s="1"/>
      <c r="BA37" s="1"/>
      <c r="BB37" s="1"/>
    </row>
    <row r="38" spans="1:54" ht="30.75" customHeight="1" x14ac:dyDescent="0.45">
      <c r="A38" s="1"/>
      <c r="B38" s="35" t="s">
        <v>288</v>
      </c>
      <c r="C38" s="35"/>
      <c r="D38" s="35"/>
      <c r="E38" s="35"/>
      <c r="F38" s="35"/>
      <c r="G38" s="35"/>
      <c r="H38" s="606"/>
      <c r="I38" s="606"/>
      <c r="J38" s="606"/>
      <c r="K38" s="606"/>
      <c r="L38" s="606"/>
      <c r="M38" s="606"/>
      <c r="N38" s="606"/>
      <c r="O38" s="606"/>
      <c r="P38" s="606"/>
      <c r="Q38" s="606"/>
      <c r="R38" s="606"/>
      <c r="S38" s="606"/>
      <c r="T38" s="606"/>
      <c r="U38" s="606"/>
      <c r="V38" s="606"/>
      <c r="W38" s="606"/>
      <c r="X38" s="606"/>
      <c r="Y38" s="606"/>
      <c r="Z38" s="606"/>
      <c r="AA38" s="606"/>
      <c r="AB38" s="606"/>
      <c r="AC38" s="606"/>
      <c r="AD38" s="606"/>
      <c r="AE38" s="606"/>
      <c r="AF38" s="606"/>
      <c r="AG38" s="606"/>
      <c r="AH38" s="606"/>
      <c r="AI38" s="606"/>
      <c r="AJ38" s="606"/>
      <c r="AK38" s="606"/>
      <c r="AL38" s="606"/>
      <c r="AM38" s="606"/>
      <c r="AN38" s="606"/>
      <c r="AO38" s="606"/>
      <c r="AP38" s="606"/>
      <c r="AQ38" s="606"/>
      <c r="AR38" s="606"/>
      <c r="AS38" s="606"/>
      <c r="AT38" s="606"/>
      <c r="AU38" s="606"/>
      <c r="AV38" s="606"/>
      <c r="AW38" s="606"/>
      <c r="AX38" s="606"/>
      <c r="AY38" s="606"/>
      <c r="AZ38" s="1"/>
      <c r="BA38" s="1"/>
      <c r="BB38" s="1"/>
    </row>
    <row r="39" spans="1:54" ht="13.5" customHeight="1" x14ac:dyDescent="0.45">
      <c r="A39" s="1"/>
      <c r="B39" s="362"/>
      <c r="C39" s="362"/>
      <c r="D39" s="362"/>
      <c r="E39" s="362"/>
      <c r="F39" s="362"/>
      <c r="G39" s="362"/>
      <c r="H39" s="362"/>
      <c r="I39" s="362"/>
      <c r="J39" s="362"/>
      <c r="K39" s="362"/>
      <c r="L39" s="362"/>
      <c r="M39" s="362"/>
      <c r="N39" s="362"/>
      <c r="O39" s="490"/>
      <c r="P39" s="490"/>
      <c r="Q39" s="491"/>
      <c r="R39" s="491"/>
      <c r="S39" s="491"/>
      <c r="T39" s="491"/>
      <c r="U39" s="491"/>
      <c r="V39" s="491"/>
      <c r="W39" s="491"/>
      <c r="X39" s="491"/>
      <c r="Y39" s="491"/>
      <c r="Z39" s="491"/>
      <c r="AA39" s="491"/>
      <c r="AB39" s="491"/>
      <c r="AC39" s="491"/>
      <c r="AD39" s="491"/>
      <c r="AE39" s="491"/>
      <c r="AF39" s="491"/>
      <c r="AG39" s="491"/>
      <c r="AH39" s="491"/>
      <c r="AI39" s="491"/>
      <c r="AJ39" s="491"/>
      <c r="AK39" s="491"/>
      <c r="AL39" s="491"/>
      <c r="AM39" s="491"/>
      <c r="AN39" s="491"/>
      <c r="AO39" s="491"/>
      <c r="AP39" s="491"/>
      <c r="AQ39" s="491"/>
      <c r="AR39" s="491"/>
      <c r="AS39" s="491"/>
      <c r="AT39" s="491"/>
      <c r="AU39" s="491"/>
      <c r="AV39" s="491"/>
      <c r="AW39" s="491"/>
      <c r="AX39" s="491"/>
      <c r="AY39" s="491"/>
      <c r="AZ39" s="1"/>
      <c r="BA39" s="1"/>
      <c r="BB39" s="1"/>
    </row>
    <row r="40" spans="1:54" x14ac:dyDescent="0.4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row>
    <row r="41" spans="1:54" x14ac:dyDescent="0.4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row>
  </sheetData>
  <sheetProtection algorithmName="SHA-512" hashValue="0hztu8oQ1BztSEqbI6yBESoUQk1MULavX09ngz8I50Dog/FFuj/FoIEvjFvfA2KdWwyVZEZmeyM+sS1dlv43jQ==" saltValue="T4x81dCW+F6//6zuK6pcUg==" spinCount="100000" sheet="1" objects="1" scenarios="1"/>
  <mergeCells count="81">
    <mergeCell ref="B38:G38"/>
    <mergeCell ref="H38:AY38"/>
    <mergeCell ref="K34:P36"/>
    <mergeCell ref="Q34:S35"/>
    <mergeCell ref="T34:AY35"/>
    <mergeCell ref="Q36:S36"/>
    <mergeCell ref="T36:AY36"/>
    <mergeCell ref="B37:G37"/>
    <mergeCell ref="H37:L37"/>
    <mergeCell ref="K30:P32"/>
    <mergeCell ref="Q30:S31"/>
    <mergeCell ref="T30:AY31"/>
    <mergeCell ref="Q32:S32"/>
    <mergeCell ref="T32:AY32"/>
    <mergeCell ref="B33:G36"/>
    <mergeCell ref="I33:P33"/>
    <mergeCell ref="Q33:S33"/>
    <mergeCell ref="T33:AY33"/>
    <mergeCell ref="H34:J36"/>
    <mergeCell ref="AH25:AY25"/>
    <mergeCell ref="B26:G28"/>
    <mergeCell ref="H26:J26"/>
    <mergeCell ref="K26:AY26"/>
    <mergeCell ref="H27:AY28"/>
    <mergeCell ref="B29:G32"/>
    <mergeCell ref="I29:P29"/>
    <mergeCell ref="Q29:S29"/>
    <mergeCell ref="T29:AY29"/>
    <mergeCell ref="H30:J32"/>
    <mergeCell ref="B23:G23"/>
    <mergeCell ref="H23:L23"/>
    <mergeCell ref="B25:G25"/>
    <mergeCell ref="I25:N25"/>
    <mergeCell ref="P25:V25"/>
    <mergeCell ref="X25:AF25"/>
    <mergeCell ref="B19:G22"/>
    <mergeCell ref="I19:P19"/>
    <mergeCell ref="Q19:S19"/>
    <mergeCell ref="T19:AY19"/>
    <mergeCell ref="H20:J22"/>
    <mergeCell ref="K20:P22"/>
    <mergeCell ref="Q20:S21"/>
    <mergeCell ref="T20:AY21"/>
    <mergeCell ref="Q22:S22"/>
    <mergeCell ref="T22:AY22"/>
    <mergeCell ref="B15:G18"/>
    <mergeCell ref="I15:P15"/>
    <mergeCell ref="Q15:S15"/>
    <mergeCell ref="T15:AY15"/>
    <mergeCell ref="H16:J18"/>
    <mergeCell ref="K16:P18"/>
    <mergeCell ref="Q16:S17"/>
    <mergeCell ref="T16:AY17"/>
    <mergeCell ref="Q18:S18"/>
    <mergeCell ref="T18:AY18"/>
    <mergeCell ref="P12:AD12"/>
    <mergeCell ref="AE12:AI14"/>
    <mergeCell ref="M13:AD14"/>
    <mergeCell ref="AL13:AN13"/>
    <mergeCell ref="AP13:AR13"/>
    <mergeCell ref="AT13:AX13"/>
    <mergeCell ref="Y6:AI6"/>
    <mergeCell ref="AJ6:AN6"/>
    <mergeCell ref="AO6:AY6"/>
    <mergeCell ref="B9:G9"/>
    <mergeCell ref="H9:AY9"/>
    <mergeCell ref="B10:G14"/>
    <mergeCell ref="H10:L11"/>
    <mergeCell ref="M10:AY11"/>
    <mergeCell ref="H12:L14"/>
    <mergeCell ref="M12:O12"/>
    <mergeCell ref="B1:AY4"/>
    <mergeCell ref="B5:G5"/>
    <mergeCell ref="H5:X5"/>
    <mergeCell ref="Y5:AE5"/>
    <mergeCell ref="AF5:AR5"/>
    <mergeCell ref="B6:G6"/>
    <mergeCell ref="H6:I6"/>
    <mergeCell ref="J6:M6"/>
    <mergeCell ref="O6:R6"/>
    <mergeCell ref="T6:W6"/>
  </mergeCells>
  <phoneticPr fontId="3"/>
  <conditionalFormatting sqref="B26:AY28">
    <cfRule type="expression" dxfId="23" priority="32">
      <formula>AND($H$25="□",OR($W$25="■",$O$25="■",$AG$25="■"))</formula>
    </cfRule>
    <cfRule type="expression" priority="33">
      <formula>OR($H$25="■",AND($O$25="□",$W$25="□",$H$25="□",$AG$25="□"))</formula>
    </cfRule>
  </conditionalFormatting>
  <conditionalFormatting sqref="H16 K16 Q16:AY17 K20 Q20:AY21 K30 Q30:AY31 K34 Q34:AY35">
    <cfRule type="expression" dxfId="22" priority="27">
      <formula>$H$35="■"</formula>
    </cfRule>
  </conditionalFormatting>
  <conditionalFormatting sqref="H16 K16 Q16:AY17 K20 Q20:AY21 K30 Q30:AY31 K34 Q34:AY35">
    <cfRule type="expression" dxfId="21" priority="26">
      <formula>$U$29="■"</formula>
    </cfRule>
  </conditionalFormatting>
  <conditionalFormatting sqref="H16 K16 Q16:AY17 K20 Q20:AY21 K30 Q30:AY31 K34 Q34:AY35">
    <cfRule type="expression" dxfId="20" priority="28">
      <formula>$H$38="■"</formula>
    </cfRule>
    <cfRule type="expression" priority="29">
      <formula>$H$38="□"</formula>
    </cfRule>
  </conditionalFormatting>
  <conditionalFormatting sqref="H20">
    <cfRule type="expression" dxfId="19" priority="23">
      <formula>$H$35="■"</formula>
    </cfRule>
  </conditionalFormatting>
  <conditionalFormatting sqref="H20">
    <cfRule type="expression" dxfId="18" priority="22">
      <formula>$U$29="■"</formula>
    </cfRule>
  </conditionalFormatting>
  <conditionalFormatting sqref="H20">
    <cfRule type="expression" dxfId="17" priority="24">
      <formula>$H$38="■"</formula>
    </cfRule>
    <cfRule type="expression" priority="25">
      <formula>$H$38="□"</formula>
    </cfRule>
  </conditionalFormatting>
  <conditionalFormatting sqref="H30">
    <cfRule type="expression" dxfId="16" priority="19">
      <formula>$H$35="■"</formula>
    </cfRule>
  </conditionalFormatting>
  <conditionalFormatting sqref="H30">
    <cfRule type="expression" dxfId="15" priority="18">
      <formula>$U$29="■"</formula>
    </cfRule>
  </conditionalFormatting>
  <conditionalFormatting sqref="H30">
    <cfRule type="expression" dxfId="14" priority="20">
      <formula>$H$38="■"</formula>
    </cfRule>
    <cfRule type="expression" priority="21">
      <formula>$H$38="□"</formula>
    </cfRule>
  </conditionalFormatting>
  <conditionalFormatting sqref="H34">
    <cfRule type="expression" dxfId="13" priority="15">
      <formula>$H$35="■"</formula>
    </cfRule>
  </conditionalFormatting>
  <conditionalFormatting sqref="H34">
    <cfRule type="expression" dxfId="12" priority="14">
      <formula>$U$29="■"</formula>
    </cfRule>
  </conditionalFormatting>
  <conditionalFormatting sqref="H34">
    <cfRule type="expression" dxfId="11" priority="16">
      <formula>$H$38="■"</formula>
    </cfRule>
    <cfRule type="expression" priority="17">
      <formula>$H$38="□"</formula>
    </cfRule>
  </conditionalFormatting>
  <conditionalFormatting sqref="B29:AY32">
    <cfRule type="expression" dxfId="10" priority="34">
      <formula>AND($O$25="□",OR($W$25="■",$H$25="■",$AG$25="■"))</formula>
    </cfRule>
    <cfRule type="expression" priority="35">
      <formula>OR($O$25="■",AND($O$25="□",$W$25="□",$H$25="□",$AG$25="□"))</formula>
    </cfRule>
  </conditionalFormatting>
  <conditionalFormatting sqref="B33:AY36">
    <cfRule type="expression" dxfId="9" priority="30">
      <formula>AND($W$25="□",OR($O$25="■",$H$25="■",$AG$25="■"))</formula>
    </cfRule>
    <cfRule type="expression" priority="31">
      <formula>OR($W$25="■",AND($O$25="□",$W$25="□",$H$25="□",$AG$25="□"))</formula>
    </cfRule>
  </conditionalFormatting>
  <conditionalFormatting sqref="H23 M23:W23">
    <cfRule type="expression" priority="13">
      <formula>$H$46="□"</formula>
    </cfRule>
  </conditionalFormatting>
  <conditionalFormatting sqref="H23 M23:W23 B23">
    <cfRule type="expression" dxfId="8" priority="12">
      <formula>$H$46="■"</formula>
    </cfRule>
  </conditionalFormatting>
  <conditionalFormatting sqref="H23">
    <cfRule type="expression" priority="10">
      <formula>$H$38="□"</formula>
    </cfRule>
    <cfRule type="expression" dxfId="7" priority="11">
      <formula>$H$38="■"</formula>
    </cfRule>
  </conditionalFormatting>
  <conditionalFormatting sqref="B23 H23 M23:W23">
    <cfRule type="expression" dxfId="6" priority="9">
      <formula>#REF!="■"</formula>
    </cfRule>
  </conditionalFormatting>
  <conditionalFormatting sqref="H37 M37:W37">
    <cfRule type="expression" priority="8">
      <formula>$H$46="□"</formula>
    </cfRule>
  </conditionalFormatting>
  <conditionalFormatting sqref="H37 M37:W37 B37">
    <cfRule type="expression" dxfId="5" priority="7">
      <formula>$H$46="■"</formula>
    </cfRule>
  </conditionalFormatting>
  <conditionalFormatting sqref="H37">
    <cfRule type="expression" priority="5">
      <formula>$H$38="□"</formula>
    </cfRule>
    <cfRule type="expression" dxfId="4" priority="6">
      <formula>$H$38="■"</formula>
    </cfRule>
  </conditionalFormatting>
  <conditionalFormatting sqref="B37 H37 M37:W37">
    <cfRule type="expression" dxfId="3" priority="4">
      <formula>#REF!="■"</formula>
    </cfRule>
  </conditionalFormatting>
  <dataValidations count="8">
    <dataValidation imeMode="hiragana" allowBlank="1" showInputMessage="1" promptTitle="市区町村番地入力" prompt="市区町村・番地を全角で入力してください。" sqref="T16:AY17 T20:AY21 T30:AY31 T34:AY35" xr:uid="{28D6D873-0141-422B-9E53-CB6EABAE4081}"/>
    <dataValidation type="textLength" imeMode="disabled" allowBlank="1" showInputMessage="1" showErrorMessage="1" errorTitle="入力エラー" error="数字を入力してください" sqref="AL13:AN13 AT13:AX13 AP13:AR13" xr:uid="{852C13F0-58FA-4089-9497-767C9CEB3F62}">
      <formula1>0</formula1>
      <formula2>99999</formula2>
    </dataValidation>
    <dataValidation type="whole" allowBlank="1" showInputMessage="1" showErrorMessage="1" errorTitle="入力エラー" error="半角数字を入力してください" sqref="O24:R24 O7:R7" xr:uid="{428278E3-235A-4AEC-9DC2-6361E0DD710C}">
      <formula1>1</formula1>
      <formula2>12</formula2>
    </dataValidation>
    <dataValidation type="whole" allowBlank="1" showInputMessage="1" showErrorMessage="1" errorTitle="入力エラー" error="半角数字を入力してください" sqref="T24:W24 T7:W7" xr:uid="{7693773E-C645-4FBA-BB65-64755326CFC8}">
      <formula1>1</formula1>
      <formula2>31</formula2>
    </dataValidation>
    <dataValidation type="whole" imeMode="disabled" allowBlank="1" showInputMessage="1" showErrorMessage="1" errorTitle="入力エラー" error="西暦を半角数字にて入力してください" sqref="J7:M7" xr:uid="{E4FDDF97-03C9-4A00-9BA5-5B77CC8B29A0}">
      <formula1>2000</formula1>
      <formula2>2100</formula2>
    </dataValidation>
    <dataValidation imeMode="fullKatakana" allowBlank="1" showInputMessage="1" showErrorMessage="1" errorTitle="入力エラー" error="カタカナを入力してください" sqref="T29:AY29 P12:AD12 T33:AY33 K26:AY26 T15:AY15 T19:AY19" xr:uid="{C704C26D-91B3-43BD-83D0-7BDB32242A22}"/>
    <dataValidation type="whole" allowBlank="1" showInputMessage="1" promptTitle="郵便番号入力" prompt="7桁の番号を入力してください。" sqref="I33:P33 I29:P29 I19:P19 I15:P15" xr:uid="{31305EE7-1380-4CF7-8E23-58D8086EB05F}">
      <formula1>0</formula1>
      <formula2>9999999</formula2>
    </dataValidation>
    <dataValidation type="list" allowBlank="1" showInputMessage="1" showErrorMessage="1" sqref="W25 H25 AG25 O25" xr:uid="{7A63A3BD-CC6E-4C63-A15F-90E0B6C5D3C8}">
      <formula1>"□,■"</formula1>
    </dataValidation>
  </dataValidations>
  <pageMargins left="0.25" right="0.25" top="0.75" bottom="0.75" header="0.3" footer="0.3"/>
  <pageSetup paperSize="9" scale="77" orientation="portrait" r:id="rId1"/>
  <extLst>
    <ext xmlns:x14="http://schemas.microsoft.com/office/spreadsheetml/2009/9/main" uri="{78C0D931-6437-407d-A8EE-F0AAD7539E65}">
      <x14:conditionalFormattings>
        <x14:conditionalFormatting xmlns:xm="http://schemas.microsoft.com/office/excel/2006/main">
          <x14:cfRule type="expression" priority="1" id="{2C078314-E0CD-499C-B3EB-BBD79F273ED2}">
            <xm:f>本紙!$S$9="新規・追加・減少・廃止申込（補助金対応型）"</xm:f>
            <x14:dxf>
              <fill>
                <patternFill>
                  <bgColor theme="1" tint="0.499984740745262"/>
                </patternFill>
              </fill>
            </x14:dxf>
          </x14:cfRule>
          <x14:cfRule type="expression" priority="2" id="{0B85F7E8-8037-4777-8136-4F571E4420E3}">
            <xm:f>本紙!$S$9="新規・追加・減少・廃止申込(月額支払い型)"</xm:f>
            <x14:dxf>
              <fill>
                <patternFill>
                  <bgColor theme="1" tint="0.499984740745262"/>
                </patternFill>
              </fill>
            </x14:dxf>
          </x14:cfRule>
          <x14:cfRule type="expression" priority="3" id="{7DC5CA99-D6EE-4FF6-B17C-EC27EDDA14AE}">
            <xm:f>本紙!$S$9="■選択して下さい■"</xm:f>
            <x14:dxf>
              <fill>
                <patternFill>
                  <bgColor theme="1" tint="0.499984740745262"/>
                </patternFill>
              </fill>
            </x14:dxf>
          </x14:cfRule>
          <xm:sqref>A1:BA40</xm:sqref>
        </x14:conditionalFormatting>
      </x14:conditionalFormattings>
    </ext>
    <ext xmlns:x14="http://schemas.microsoft.com/office/spreadsheetml/2009/9/main" uri="{CCE6A557-97BC-4b89-ADB6-D9C93CAAB3DF}">
      <x14:dataValidations xmlns:xm="http://schemas.microsoft.com/office/excel/2006/main" count="2">
        <x14:dataValidation type="custom" allowBlank="1" showInputMessage="1" showErrorMessage="1" errorTitle="=本紙!$S$9=&quot;移転・契約情報変更・設定変更申込&quot;" error="背景がグレーの場合は使用できません。_x000a_本紙の注文内容をご確認ください。_x000a_複数の異なる注文を依頼する場合は_x000a_ファイルを新たに使用してください。" xr:uid="{0AC167DD-9AA5-4740-965D-F1503771B87D}">
          <x14:formula1>
            <xm:f>本紙!$S$9="移転・契約情報変更・設定変更申込"</xm:f>
          </x14:formula1>
          <xm:sqref>M37:V37</xm:sqref>
        </x14:dataValidation>
        <x14:dataValidation type="custom" allowBlank="1" showInputMessage="1" showErrorMessage="1" errorTitle="注文内容相違" error="背景がグレーの場合は使用できません。_x000a_本紙の注文内容をご確認ください。_x000a_複数の異なる注文を依頼する場合は_x000a_ファイルを新たに使用してください。" xr:uid="{5283D3A6-D948-4B54-80D8-16C089BF054D}">
          <x14:formula1>
            <xm:f>本紙!$S$9="移転・契約情報変更・設定変更申込"</xm:f>
          </x14:formula1>
          <xm:sqref>M10:AY11 M23:V23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5CAD6-95CD-4CF7-84DF-F5E9B01EB4A6}">
  <dimension ref="A1:BG105"/>
  <sheetViews>
    <sheetView view="pageBreakPreview" zoomScale="85" zoomScaleNormal="85" zoomScaleSheetLayoutView="85" workbookViewId="0">
      <selection activeCell="S12" sqref="S12:AX14"/>
    </sheetView>
  </sheetViews>
  <sheetFormatPr defaultColWidth="8.09765625" defaultRowHeight="15" x14ac:dyDescent="0.45"/>
  <cols>
    <col min="1" max="1" width="4.59765625" style="638" customWidth="1"/>
    <col min="2" max="2" width="12.5" style="638" customWidth="1"/>
    <col min="3" max="3" width="8.09765625" style="638" hidden="1" customWidth="1"/>
    <col min="4" max="4" width="2.3984375" style="638" customWidth="1"/>
    <col min="5" max="5" width="10.09765625" style="638" bestFit="1" customWidth="1"/>
    <col min="6" max="6" width="4.19921875" style="638" customWidth="1"/>
    <col min="7" max="7" width="6" style="638" customWidth="1"/>
    <col min="8" max="8" width="4.19921875" style="638" customWidth="1"/>
    <col min="9" max="9" width="6" style="638" customWidth="1"/>
    <col min="10" max="10" width="4.19921875" style="638" customWidth="1"/>
    <col min="11" max="11" width="2.3984375" style="638" customWidth="1"/>
    <col min="12" max="12" width="5.3984375" style="638" bestFit="1" customWidth="1"/>
    <col min="13" max="13" width="2.3984375" style="638" customWidth="1"/>
    <col min="14" max="14" width="14.19921875" style="638" bestFit="1" customWidth="1"/>
    <col min="15" max="15" width="3.69921875" style="638" customWidth="1"/>
    <col min="16" max="16" width="10" style="641" hidden="1" customWidth="1"/>
    <col min="17" max="17" width="6.09765625" style="640" hidden="1" customWidth="1"/>
    <col min="18" max="18" width="10" style="641" hidden="1" customWidth="1"/>
    <col min="19" max="20" width="6.09765625" style="641" hidden="1" customWidth="1"/>
    <col min="21" max="21" width="10" style="641" hidden="1" customWidth="1"/>
    <col min="22" max="22" width="6.09765625" style="641" hidden="1" customWidth="1"/>
    <col min="23" max="23" width="10" style="641" hidden="1" customWidth="1"/>
    <col min="24" max="25" width="6.09765625" style="641" hidden="1" customWidth="1"/>
    <col min="26" max="26" width="10" style="641" hidden="1" customWidth="1"/>
    <col min="27" max="27" width="6.09765625" style="641" hidden="1" customWidth="1"/>
    <col min="28" max="28" width="10" style="638" hidden="1" customWidth="1"/>
    <col min="29" max="30" width="6.09765625" style="638" hidden="1" customWidth="1"/>
    <col min="31" max="33" width="9.3984375" style="638" hidden="1" customWidth="1"/>
    <col min="34" max="34" width="9.8984375" style="638" hidden="1" customWidth="1"/>
    <col min="35" max="35" width="11.59765625" style="638" hidden="1" customWidth="1"/>
    <col min="36" max="37" width="8.09765625" style="638" hidden="1" customWidth="1"/>
    <col min="38" max="40" width="8.8984375" style="638" hidden="1" customWidth="1"/>
    <col min="41" max="41" width="11.09765625" style="638" hidden="1" customWidth="1"/>
    <col min="42" max="47" width="8.09765625" style="638" hidden="1" customWidth="1"/>
    <col min="48" max="49" width="0" style="638" hidden="1" customWidth="1"/>
    <col min="50" max="58" width="8.09765625" style="638"/>
    <col min="59" max="59" width="10.59765625" style="638" customWidth="1"/>
    <col min="60" max="16384" width="8.09765625" style="638"/>
  </cols>
  <sheetData>
    <row r="1" spans="1:59" ht="24.6" x14ac:dyDescent="0.45">
      <c r="A1" s="636" t="s">
        <v>289</v>
      </c>
      <c r="B1" s="637"/>
      <c r="C1" s="637"/>
      <c r="D1" s="637"/>
      <c r="E1" s="637"/>
      <c r="G1" s="637"/>
      <c r="H1" s="637"/>
      <c r="I1" s="637"/>
      <c r="J1" s="637"/>
      <c r="K1" s="637"/>
      <c r="L1" s="637"/>
      <c r="M1" s="637"/>
      <c r="N1" s="637"/>
      <c r="O1" s="637"/>
      <c r="P1" s="639" t="str">
        <f>IF(AND(OR('別紙①-1_月額支払い型申込書'!J42="",'別紙①-1_月額支払い型申込書'!O42="",'別紙①-1_月額支払い型申込書'!T42=""),OR('別紙①-2_お客様お買い上げ型申込書'!J42="",'別紙①-2_お客様お買い上げ型申込書'!O42="",'別紙①-2_お客様お買い上げ型申込書'!T42="")),"",IF(COUNTIF(B6:B34,"お買い上げ型")&gt;=1,DATE('別紙①-2_お客様お買い上げ型申込書'!J42,'別紙①-2_お客様お買い上げ型申込書'!O42,'別紙①-2_お客様お買い上げ型申込書'!T42),DATE('別紙①-1_月額支払い型申込書'!J42,'別紙①-1_月額支払い型申込書'!O42,'別紙①-1_月額支払い型申込書'!T42)))</f>
        <v/>
      </c>
      <c r="AV1" s="637"/>
      <c r="AW1" s="637"/>
      <c r="AX1" s="637"/>
      <c r="AY1" s="637"/>
      <c r="AZ1" s="637"/>
      <c r="BA1" s="637"/>
      <c r="BB1" s="637"/>
      <c r="BC1" s="637"/>
      <c r="BD1" s="637"/>
      <c r="BE1" s="637"/>
      <c r="BF1" s="637"/>
      <c r="BG1" s="637"/>
    </row>
    <row r="2" spans="1:59" ht="18.600000000000001" x14ac:dyDescent="0.45">
      <c r="A2" s="642" t="s">
        <v>290</v>
      </c>
      <c r="B2" s="637"/>
      <c r="C2" s="637"/>
      <c r="D2" s="637"/>
      <c r="E2" s="637"/>
      <c r="F2" s="637"/>
      <c r="G2" s="643" t="s">
        <v>291</v>
      </c>
      <c r="H2" s="643"/>
      <c r="I2" s="643"/>
      <c r="J2" s="643"/>
      <c r="K2" s="643"/>
      <c r="L2" s="644" t="str">
        <f>IF(AND(OR('別紙①-1_月額支払い型申込書'!J64="",'別紙①-1_月額支払い型申込書'!O64="",'別紙①-1_月額支払い型申込書'!T64=""),OR('別紙①-2_お客様お買い上げ型申込書'!J64="",'別紙①-2_お客様お買い上げ型申込書'!O64="",'別紙①-2_お客様お買い上げ型申込書'!T64="")),"",IF(P2=3,DATE('別紙①-1_月額支払い型申込書'!J64,'別紙①-1_月額支払い型申込書'!O64,'別紙①-1_月額支払い型申込書'!T64),DATE('別紙①-2_お客様お買い上げ型申込書'!J64,'別紙①-2_お客様お買い上げ型申込書'!O64,'別紙①-2_お客様お買い上げ型申込書'!T64)))</f>
        <v/>
      </c>
      <c r="M2" s="644"/>
      <c r="N2" s="644"/>
      <c r="O2" s="637"/>
      <c r="P2" s="640">
        <f>COUNTIFS('別紙①-1_月額支払い型申込書'!J64,"&lt;&gt;")+COUNTIFS('別紙①-1_月額支払い型申込書'!O64,"&lt;&gt;")+COUNTIFS('別紙①-1_月額支払い型申込書'!T64,"&lt;&gt;")</f>
        <v>0</v>
      </c>
      <c r="Q2" s="640">
        <f>COUNTIFS('別紙①-2_お客様お買い上げ型申込書'!J64,"&lt;&gt;")+COUNTIFS('別紙①-2_お客様お買い上げ型申込書'!O64,"&lt;&gt;")+COUNTIFS('別紙①-2_お客様お買い上げ型申込書'!T64,"&lt;&gt;")</f>
        <v>0</v>
      </c>
      <c r="AV2" s="637"/>
      <c r="AW2" s="637"/>
      <c r="AX2" s="637"/>
      <c r="AY2" s="637"/>
      <c r="AZ2" s="637"/>
      <c r="BA2" s="637"/>
      <c r="BB2" s="637"/>
      <c r="BC2" s="637"/>
      <c r="BD2" s="637"/>
      <c r="BE2" s="637"/>
      <c r="BF2" s="637"/>
      <c r="BG2" s="637"/>
    </row>
    <row r="3" spans="1:59" ht="9" customHeight="1" x14ac:dyDescent="0.45">
      <c r="A3" s="645"/>
      <c r="B3" s="637"/>
      <c r="C3" s="637"/>
      <c r="D3" s="637"/>
      <c r="E3" s="637"/>
      <c r="F3" s="637"/>
      <c r="G3" s="637"/>
      <c r="H3" s="637"/>
      <c r="I3" s="637"/>
      <c r="J3" s="637"/>
      <c r="K3" s="637"/>
      <c r="L3" s="637"/>
      <c r="M3" s="637"/>
      <c r="N3" s="637"/>
      <c r="O3" s="637"/>
      <c r="AV3" s="637"/>
      <c r="AW3" s="637"/>
      <c r="AX3" s="637"/>
      <c r="AY3" s="637"/>
      <c r="AZ3" s="637"/>
      <c r="BA3" s="637"/>
      <c r="BB3" s="637"/>
      <c r="BC3" s="637"/>
      <c r="BD3" s="637"/>
      <c r="BE3" s="637"/>
      <c r="BF3" s="637"/>
      <c r="BG3" s="637"/>
    </row>
    <row r="4" spans="1:59" ht="18" customHeight="1" x14ac:dyDescent="0.45">
      <c r="A4" s="637"/>
      <c r="B4" s="637"/>
      <c r="C4" s="637"/>
      <c r="D4" s="637"/>
      <c r="E4" s="637"/>
      <c r="F4" s="637"/>
      <c r="G4" s="646" t="s">
        <v>292</v>
      </c>
      <c r="H4" s="647"/>
      <c r="I4" s="647"/>
      <c r="J4" s="648"/>
      <c r="K4" s="649">
        <f>SUM(N7,N10,N13,N16,N19,N22,N25,N28,N31,N34)</f>
        <v>0</v>
      </c>
      <c r="L4" s="650"/>
      <c r="M4" s="650"/>
      <c r="N4" s="650"/>
      <c r="O4" s="637"/>
      <c r="U4" s="640" t="e">
        <f>DATEDIF(Z7,U7,"m")</f>
        <v>#VALUE!</v>
      </c>
      <c r="AB4" s="638" t="e">
        <f>DAY(Z7)-DAY(U7)</f>
        <v>#VALUE!</v>
      </c>
      <c r="AV4" s="637"/>
      <c r="AW4" s="637"/>
      <c r="AX4" s="637"/>
      <c r="AY4" s="637"/>
      <c r="AZ4" s="637"/>
      <c r="BA4" s="637"/>
      <c r="BB4" s="637"/>
      <c r="BC4" s="637"/>
      <c r="BD4" s="637"/>
      <c r="BE4" s="637"/>
      <c r="BF4" s="637"/>
      <c r="BG4" s="637"/>
    </row>
    <row r="5" spans="1:59" ht="18" customHeight="1" x14ac:dyDescent="0.45">
      <c r="A5" s="651"/>
      <c r="B5" s="651"/>
      <c r="C5" s="637"/>
      <c r="D5" s="637"/>
      <c r="E5" s="637"/>
      <c r="F5" s="645"/>
      <c r="G5" s="637"/>
      <c r="H5" s="637"/>
      <c r="I5" s="637"/>
      <c r="J5" s="637"/>
      <c r="K5" s="637"/>
      <c r="L5" s="637"/>
      <c r="M5" s="637"/>
      <c r="N5" s="637"/>
      <c r="O5" s="637"/>
      <c r="P5" s="652" t="s">
        <v>293</v>
      </c>
      <c r="Q5" s="652"/>
      <c r="R5" s="652"/>
      <c r="S5" s="652"/>
      <c r="T5" s="652"/>
      <c r="U5" s="653" t="s">
        <v>294</v>
      </c>
      <c r="V5" s="653"/>
      <c r="W5" s="653"/>
      <c r="X5" s="653"/>
      <c r="Y5" s="653"/>
      <c r="Z5" s="654" t="s">
        <v>295</v>
      </c>
      <c r="AA5" s="654"/>
      <c r="AB5" s="654"/>
      <c r="AC5" s="654"/>
      <c r="AD5" s="654"/>
      <c r="AE5" s="655" t="s">
        <v>296</v>
      </c>
      <c r="AF5" s="656" t="s">
        <v>297</v>
      </c>
      <c r="AG5" s="656"/>
      <c r="AH5" s="656"/>
      <c r="AI5" s="656"/>
      <c r="AJ5" s="657" t="s">
        <v>298</v>
      </c>
      <c r="AK5" s="657"/>
      <c r="AL5" s="657"/>
      <c r="AM5" s="657"/>
      <c r="AV5" s="637"/>
      <c r="AW5" s="637"/>
      <c r="AX5" s="658" t="s">
        <v>299</v>
      </c>
      <c r="AY5" s="637"/>
      <c r="AZ5" s="637"/>
      <c r="BA5" s="637"/>
      <c r="BB5" s="637"/>
      <c r="BC5" s="637"/>
      <c r="BD5" s="637"/>
      <c r="BE5" s="637"/>
      <c r="BF5" s="637"/>
      <c r="BG5" s="637"/>
    </row>
    <row r="6" spans="1:59" ht="20.100000000000001" customHeight="1" x14ac:dyDescent="0.45">
      <c r="A6" s="659">
        <v>1</v>
      </c>
      <c r="B6" s="660" t="s">
        <v>300</v>
      </c>
      <c r="C6" s="661"/>
      <c r="D6" s="662"/>
      <c r="E6" s="663" t="s">
        <v>301</v>
      </c>
      <c r="F6" s="663"/>
      <c r="G6" s="663"/>
      <c r="H6" s="663"/>
      <c r="I6" s="663"/>
      <c r="J6" s="663"/>
      <c r="K6" s="662"/>
      <c r="L6" s="660" t="s">
        <v>302</v>
      </c>
      <c r="M6" s="662"/>
      <c r="N6" s="660" t="s">
        <v>298</v>
      </c>
      <c r="O6" s="637"/>
      <c r="P6" s="664" t="s">
        <v>293</v>
      </c>
      <c r="Q6" s="665" t="s">
        <v>303</v>
      </c>
      <c r="R6" s="666" t="s">
        <v>304</v>
      </c>
      <c r="S6" s="667" t="s">
        <v>305</v>
      </c>
      <c r="T6" s="668" t="s">
        <v>306</v>
      </c>
      <c r="U6" s="664" t="s">
        <v>307</v>
      </c>
      <c r="V6" s="665" t="s">
        <v>303</v>
      </c>
      <c r="W6" s="666" t="s">
        <v>304</v>
      </c>
      <c r="X6" s="667" t="s">
        <v>308</v>
      </c>
      <c r="Y6" s="668" t="s">
        <v>306</v>
      </c>
      <c r="Z6" s="664" t="s">
        <v>295</v>
      </c>
      <c r="AA6" s="665" t="s">
        <v>303</v>
      </c>
      <c r="AB6" s="666" t="s">
        <v>304</v>
      </c>
      <c r="AC6" s="667" t="s">
        <v>308</v>
      </c>
      <c r="AD6" s="668" t="s">
        <v>306</v>
      </c>
      <c r="AE6" s="669" t="s">
        <v>309</v>
      </c>
      <c r="AF6" s="664" t="s">
        <v>310</v>
      </c>
      <c r="AG6" s="667" t="s">
        <v>311</v>
      </c>
      <c r="AH6" s="667" t="s">
        <v>312</v>
      </c>
      <c r="AI6" s="668" t="s">
        <v>297</v>
      </c>
      <c r="AJ6" s="670" t="s">
        <v>313</v>
      </c>
      <c r="AK6" s="670" t="s">
        <v>314</v>
      </c>
      <c r="AL6" s="670" t="s">
        <v>315</v>
      </c>
      <c r="AM6" s="670" t="s">
        <v>316</v>
      </c>
      <c r="AO6" s="638" t="s">
        <v>300</v>
      </c>
      <c r="AQ6" s="638" t="s">
        <v>24</v>
      </c>
      <c r="AR6" s="638" t="s">
        <v>25</v>
      </c>
      <c r="AS6" s="638" t="s">
        <v>317</v>
      </c>
      <c r="AT6" s="638" t="s">
        <v>318</v>
      </c>
      <c r="AU6" s="638" t="s">
        <v>300</v>
      </c>
      <c r="AV6" s="637"/>
      <c r="AW6" s="637"/>
      <c r="AX6" s="658" t="s">
        <v>319</v>
      </c>
      <c r="AY6" s="637"/>
      <c r="AZ6" s="637"/>
      <c r="BA6" s="637"/>
      <c r="BB6" s="637"/>
      <c r="BC6" s="637"/>
      <c r="BD6" s="637"/>
      <c r="BE6" s="637"/>
      <c r="BF6" s="637"/>
      <c r="BG6" s="637"/>
    </row>
    <row r="7" spans="1:59" ht="20.100000000000001" customHeight="1" x14ac:dyDescent="0.45">
      <c r="A7" s="659"/>
      <c r="B7" s="671"/>
      <c r="C7" s="672" t="str">
        <f>IF(B7="","",VLOOKUP(B7,$AO$7:$AP$12,2,))</f>
        <v/>
      </c>
      <c r="D7" s="662"/>
      <c r="E7" s="671"/>
      <c r="F7" s="660" t="s">
        <v>24</v>
      </c>
      <c r="G7" s="673"/>
      <c r="H7" s="660" t="s">
        <v>320</v>
      </c>
      <c r="I7" s="673"/>
      <c r="J7" s="660" t="s">
        <v>317</v>
      </c>
      <c r="K7" s="662"/>
      <c r="L7" s="671"/>
      <c r="M7" s="662"/>
      <c r="N7" s="674" t="str">
        <f t="shared" ref="N7" si="0">IF(OR(L7="",AM7=""),"",AM7*L7)</f>
        <v/>
      </c>
      <c r="O7" s="637"/>
      <c r="P7" s="675" t="str">
        <f>IF(OR(E7="",G7="",I7=""),"",DATE(E7,G7,I7))</f>
        <v/>
      </c>
      <c r="Q7" s="676" t="str">
        <f>IF(P7="","",IF(OR(G7=1,G7=3,G7=5,G7=7,G7=8,G7=10,G7=12),31,IF(OR(G7=4,G7=6,G7=9,G7=11),30,IF(AND(E7=2020,G7=2),29,IF(AND(E7=2024,G7=2),29,28)))))</f>
        <v/>
      </c>
      <c r="R7" s="677" t="str">
        <f>IF(P7="","",EOMONTH(P7,0))</f>
        <v/>
      </c>
      <c r="S7" s="676" t="str">
        <f>IF(P7="","",R7-P7+1)</f>
        <v/>
      </c>
      <c r="T7" s="678" t="str">
        <f>IF(P7="","",IF(I7=1,1,0))</f>
        <v/>
      </c>
      <c r="U7" s="675" t="str">
        <f>IF(P7="","",IF(B7="LAN給電5年",DATE(YEAR(P7)+5,MONTH(P7),DAY(P7)-1),DATE(YEAR(P7)+2,MONTH(P7),DAY(P7)-1)))</f>
        <v/>
      </c>
      <c r="V7" s="676" t="str">
        <f>IF(P7="","",IF(OR(MONTH(U7)=1,MONTH(U7)=3,MONTH(U7)=5,MONTH(U7)=7,MONTH(U7)=8,MONTH(U7)=10,MONTH(U7)=12),31,IF(OR(MONTH(U7)=4,MONTH(U7)=6,MONTH(U7)=9,MONTH(U7)=11),30,IF(AND(YEAR(U7)=2020,MONTH(U7)=2),29,IF(AND(YEAR(U7)=2024,MONTH(U7)=2),29,28)))))</f>
        <v/>
      </c>
      <c r="W7" s="677" t="str">
        <f>IF(P7="","",EOMONTH(U7,-1)+1)</f>
        <v/>
      </c>
      <c r="X7" s="676" t="str">
        <f>IF(P7="","",U7-W7+1)</f>
        <v/>
      </c>
      <c r="Y7" s="678" t="str">
        <f>IF(P7="","",IF(U7=EOMONTH(U7,0),1,0))</f>
        <v/>
      </c>
      <c r="Z7" s="675" t="str">
        <f>IF(P7="","",IF($L$2="","",$L$2))</f>
        <v/>
      </c>
      <c r="AA7" s="676" t="str">
        <f>IF(P7="","",IF(OR(MONTH(Z7)=1,MONTH(Z7)=3,MONTH(Z7)=5,MONTH(Z7)=7,MONTH(Z7)=8,MONTH(Z7)=10,MONTH(Z7)=12),31,IF(OR(MONTH(Z7)=4,MONTH(Z7)=6,MONTH(Z7)=9,MONTH(Z7)=11),30,IF(AND(YEAR(Z7)=2020,MONTH(Z7)=2),29,IF(AND(YEAR(Z7)=2024,MONTH(Z7)=2),29,28)))))</f>
        <v/>
      </c>
      <c r="AB7" s="677" t="str">
        <f>IF(P7="","",IF($L$2="","",EOMONTH(Z7,0)))</f>
        <v/>
      </c>
      <c r="AC7" s="679" t="str">
        <f>IF(P7="","",IF($L$2="","",AB7-Z7)+1)</f>
        <v/>
      </c>
      <c r="AD7" s="680" t="str">
        <f>IF(P7="","",IF(DAY(Z7)=1,1,0))</f>
        <v/>
      </c>
      <c r="AE7" s="681" t="str">
        <f>IF(P7="","",IF(B7="お買い上げ型","無",IF(U7&lt;Z7,"無","有")))</f>
        <v/>
      </c>
      <c r="AF7" s="682" t="str">
        <f>IF(P7="","",IF(AE7="無","",DATEDIF(Z7,U7,"y")))</f>
        <v/>
      </c>
      <c r="AG7" s="683" t="str">
        <f>IF(P7="","",IF(AE7="無","",IF(YEAR(U7)&amp;MONTH(U7)=YEAR(Z7)&amp;MONTH(Z7),0,DATEDIF(Z7,U7,"m")-(12*AF7)+Y7+AD7-IF((DAY(Z7)-DAY(U7))&lt;=0,1,0))))</f>
        <v/>
      </c>
      <c r="AH7" s="683" t="str">
        <f>IF(P7="","",IF(AE7="無","",IF(YEAR(U7)&amp;MONTH(U7)=YEAR(Z7)&amp;MONTH(Z7),AC7,IF(V7=X7,0,X7)+IF(AA7=AC7,0,AC7))))</f>
        <v/>
      </c>
      <c r="AI7" s="684" t="str">
        <f>IF(P7="","",AF7&amp;"年"&amp;AG7&amp;"か月"&amp;AH7&amp;"日")</f>
        <v/>
      </c>
      <c r="AJ7" s="685" t="str">
        <f>IF(P7="","",IF(AE7="無",0,IF(YEAR(U7)&amp;MONTH(U7)=YEAR(Z7)&amp;MONTH(Z7),ROUNDDOWN(C7*AH7/V7,0),ROUNDDOWN(C7*IF(V7=X7,0,X7)/V7,0)+ROUNDDOWN(C7*IF(AA7=AC7,0,AC7)/AA7,0))))</f>
        <v/>
      </c>
      <c r="AK7" s="686" t="str">
        <f>IF(P7="","",IF(AE7="無",0,ROUNDDOWN((C7*AG7)+(C7*AF7*12),0)))</f>
        <v/>
      </c>
      <c r="AL7" s="685" t="str">
        <f>IF(P7="","",AJ7+AK7)</f>
        <v/>
      </c>
      <c r="AM7" s="685" t="str">
        <f>IF(P7="","",IF(COUNTIF(B7,"LAN*")=1,AJ7+AK7,IF(AJ7+AK7&gt;=10000,10000,AJ7+AK7)))</f>
        <v/>
      </c>
      <c r="AN7" s="640"/>
      <c r="AO7" s="638" t="s">
        <v>321</v>
      </c>
      <c r="AP7" s="687">
        <v>880</v>
      </c>
      <c r="AQ7" s="638">
        <v>2017</v>
      </c>
      <c r="AR7" s="638">
        <v>1</v>
      </c>
      <c r="AS7" s="638">
        <v>1</v>
      </c>
      <c r="AT7" s="638">
        <v>1</v>
      </c>
      <c r="AV7" s="637"/>
      <c r="AW7" s="637"/>
      <c r="AX7" s="688"/>
      <c r="AY7" s="637" t="s">
        <v>322</v>
      </c>
      <c r="AZ7" s="637"/>
      <c r="BA7" s="637"/>
      <c r="BB7" s="637"/>
      <c r="BC7" s="637"/>
      <c r="BD7" s="637"/>
      <c r="BE7" s="637"/>
      <c r="BF7" s="637"/>
      <c r="BG7" s="637"/>
    </row>
    <row r="8" spans="1:59" ht="18" customHeight="1" x14ac:dyDescent="0.45">
      <c r="A8" s="662"/>
      <c r="B8" s="662"/>
      <c r="C8" s="662"/>
      <c r="D8" s="662"/>
      <c r="E8" s="662"/>
      <c r="F8" s="662"/>
      <c r="G8" s="662"/>
      <c r="H8" s="662"/>
      <c r="I8" s="662"/>
      <c r="J8" s="662"/>
      <c r="K8" s="662"/>
      <c r="L8" s="662"/>
      <c r="M8" s="662"/>
      <c r="N8" s="662"/>
      <c r="O8" s="637"/>
      <c r="AE8" s="689"/>
      <c r="AF8" s="689"/>
      <c r="AG8" s="689"/>
      <c r="AH8" s="689"/>
      <c r="AI8" s="689"/>
      <c r="AO8" s="638" t="s">
        <v>323</v>
      </c>
      <c r="AP8" s="687">
        <v>440</v>
      </c>
      <c r="AQ8" s="638">
        <v>2018</v>
      </c>
      <c r="AR8" s="638">
        <v>2</v>
      </c>
      <c r="AS8" s="638">
        <v>2</v>
      </c>
      <c r="AT8" s="638">
        <v>2</v>
      </c>
      <c r="AV8" s="637"/>
      <c r="AW8" s="637"/>
      <c r="AX8" s="658" t="s">
        <v>324</v>
      </c>
      <c r="AY8" s="637"/>
      <c r="AZ8" s="637"/>
      <c r="BA8" s="637"/>
      <c r="BB8" s="637"/>
      <c r="BC8" s="637"/>
      <c r="BD8" s="637"/>
      <c r="BE8" s="637"/>
      <c r="BF8" s="637"/>
      <c r="BG8" s="637"/>
    </row>
    <row r="9" spans="1:59" ht="20.100000000000001" customHeight="1" x14ac:dyDescent="0.45">
      <c r="A9" s="659">
        <v>2</v>
      </c>
      <c r="B9" s="660" t="s">
        <v>300</v>
      </c>
      <c r="C9" s="661"/>
      <c r="D9" s="662"/>
      <c r="E9" s="663" t="s">
        <v>301</v>
      </c>
      <c r="F9" s="663"/>
      <c r="G9" s="663"/>
      <c r="H9" s="663"/>
      <c r="I9" s="663"/>
      <c r="J9" s="663"/>
      <c r="K9" s="662"/>
      <c r="L9" s="660" t="s">
        <v>302</v>
      </c>
      <c r="M9" s="662"/>
      <c r="N9" s="660" t="s">
        <v>298</v>
      </c>
      <c r="O9" s="637"/>
      <c r="P9" s="664" t="s">
        <v>293</v>
      </c>
      <c r="Q9" s="665" t="s">
        <v>303</v>
      </c>
      <c r="R9" s="666" t="s">
        <v>304</v>
      </c>
      <c r="S9" s="667" t="s">
        <v>305</v>
      </c>
      <c r="T9" s="668" t="s">
        <v>306</v>
      </c>
      <c r="U9" s="664" t="s">
        <v>307</v>
      </c>
      <c r="V9" s="665" t="s">
        <v>303</v>
      </c>
      <c r="W9" s="666" t="s">
        <v>304</v>
      </c>
      <c r="X9" s="667" t="s">
        <v>308</v>
      </c>
      <c r="Y9" s="668" t="s">
        <v>306</v>
      </c>
      <c r="Z9" s="664" t="s">
        <v>295</v>
      </c>
      <c r="AA9" s="665" t="s">
        <v>303</v>
      </c>
      <c r="AB9" s="666" t="s">
        <v>304</v>
      </c>
      <c r="AC9" s="667" t="s">
        <v>308</v>
      </c>
      <c r="AD9" s="668" t="s">
        <v>306</v>
      </c>
      <c r="AE9" s="669" t="s">
        <v>309</v>
      </c>
      <c r="AF9" s="664" t="s">
        <v>310</v>
      </c>
      <c r="AG9" s="667" t="s">
        <v>311</v>
      </c>
      <c r="AH9" s="667" t="s">
        <v>312</v>
      </c>
      <c r="AI9" s="668" t="s">
        <v>297</v>
      </c>
      <c r="AJ9" s="670" t="s">
        <v>313</v>
      </c>
      <c r="AK9" s="670" t="s">
        <v>314</v>
      </c>
      <c r="AL9" s="670" t="s">
        <v>315</v>
      </c>
      <c r="AM9" s="670" t="s">
        <v>316</v>
      </c>
      <c r="AQ9" s="638">
        <v>2019</v>
      </c>
      <c r="AR9" s="638">
        <v>3</v>
      </c>
      <c r="AS9" s="638">
        <v>3</v>
      </c>
      <c r="AT9" s="638">
        <v>3</v>
      </c>
      <c r="AV9" s="637"/>
      <c r="AW9" s="637"/>
      <c r="AX9" s="645"/>
      <c r="AY9" s="637"/>
      <c r="AZ9" s="637"/>
      <c r="BA9" s="637"/>
      <c r="BB9" s="637"/>
      <c r="BC9" s="637"/>
      <c r="BD9" s="637"/>
      <c r="BE9" s="637"/>
      <c r="BF9" s="637"/>
      <c r="BG9" s="637"/>
    </row>
    <row r="10" spans="1:59" ht="20.100000000000001" customHeight="1" x14ac:dyDescent="0.45">
      <c r="A10" s="659"/>
      <c r="B10" s="671"/>
      <c r="C10" s="672" t="str">
        <f>IF(B10="","",VLOOKUP(B10,$AO$7:$AP$12,2,))</f>
        <v/>
      </c>
      <c r="D10" s="662"/>
      <c r="E10" s="671"/>
      <c r="F10" s="660" t="s">
        <v>24</v>
      </c>
      <c r="G10" s="673"/>
      <c r="H10" s="660" t="s">
        <v>320</v>
      </c>
      <c r="I10" s="673"/>
      <c r="J10" s="660" t="s">
        <v>317</v>
      </c>
      <c r="K10" s="662"/>
      <c r="L10" s="671"/>
      <c r="M10" s="662"/>
      <c r="N10" s="674" t="str">
        <f t="shared" ref="N10" si="1">IF(OR(L10="",AM10=""),"",AM10*L10)</f>
        <v/>
      </c>
      <c r="O10" s="637"/>
      <c r="P10" s="675" t="str">
        <f>IF(OR(E10="",G10="",I10=""),"",DATE(E10,G10,I10))</f>
        <v/>
      </c>
      <c r="Q10" s="676" t="str">
        <f>IF(P10="","",IF(OR(G10=1,G10=3,G10=5,G10=7,G10=8,G10=10,G10=12),31,IF(OR(G10=4,G10=6,G10=9,G10=11),30,IF(AND(E10=2020,G10=2),29,IF(AND(E10=2024,G10=2),29,28)))))</f>
        <v/>
      </c>
      <c r="R10" s="677" t="str">
        <f>IF(P10="","",EOMONTH(P10,0))</f>
        <v/>
      </c>
      <c r="S10" s="676" t="str">
        <f>IF(P10="","",R10-P10+1)</f>
        <v/>
      </c>
      <c r="T10" s="678" t="str">
        <f>IF(P10="","",IF(I10=1,1,0))</f>
        <v/>
      </c>
      <c r="U10" s="675" t="str">
        <f>IF(P10="","",IF(B10="LAN給電5年",DATE(YEAR(P10)+5,MONTH(P10),DAY(P10)-1),DATE(YEAR(P10)+2,MONTH(P10),DAY(P10)-1)))</f>
        <v/>
      </c>
      <c r="V10" s="676" t="str">
        <f>IF(P10="","",IF(OR(MONTH(U10)=1,MONTH(U10)=3,MONTH(U10)=5,MONTH(U10)=7,MONTH(U10)=8,MONTH(U10)=10,MONTH(U10)=12),31,IF(OR(MONTH(U10)=4,MONTH(U10)=6,MONTH(U10)=9,MONTH(U10)=11),30,IF(AND(YEAR(U10)=2020,MONTH(U10)=2),29,IF(AND(YEAR(U10)=2024,MONTH(U10)=2),29,28)))))</f>
        <v/>
      </c>
      <c r="W10" s="677" t="str">
        <f>IF(P10="","",EOMONTH(U10,-1)+1)</f>
        <v/>
      </c>
      <c r="X10" s="676" t="str">
        <f>IF(P10="","",U10-W10+1)</f>
        <v/>
      </c>
      <c r="Y10" s="678" t="str">
        <f>IF(P10="","",IF(U10=EOMONTH(U10,0),1,0))</f>
        <v/>
      </c>
      <c r="Z10" s="675" t="str">
        <f>IF(P10="","",IF($L$2="","",$L$2))</f>
        <v/>
      </c>
      <c r="AA10" s="676" t="str">
        <f>IF(P10="","",IF(OR(MONTH(Z10)=1,MONTH(Z10)=3,MONTH(Z10)=5,MONTH(Z10)=7,MONTH(Z10)=8,MONTH(Z10)=10,MONTH(Z10)=12),31,IF(OR(MONTH(Z10)=4,MONTH(Z10)=6,MONTH(Z10)=9,MONTH(Z10)=11),30,IF(AND(YEAR(Z10)=2020,MONTH(Z10)=2),29,IF(AND(YEAR(Z10)=2024,MONTH(Z10)=2),29,28)))))</f>
        <v/>
      </c>
      <c r="AB10" s="677" t="str">
        <f>IF(P10="","",IF($L$2="","",EOMONTH(Z10,0)))</f>
        <v/>
      </c>
      <c r="AC10" s="679" t="str">
        <f>IF(P10="","",IF($L$2="","",AB10-Z10)+1)</f>
        <v/>
      </c>
      <c r="AD10" s="680" t="str">
        <f>IF(P10="","",IF(DAY(Z10)=1,1,0))</f>
        <v/>
      </c>
      <c r="AE10" s="681" t="str">
        <f>IF(P10="","",IF(B10="お買い上げ型","無",IF(U10&lt;Z10,"無","有")))</f>
        <v/>
      </c>
      <c r="AF10" s="682" t="str">
        <f>IF(P10="","",IF(AE10="無","",DATEDIF(Z10,U10,"y")))</f>
        <v/>
      </c>
      <c r="AG10" s="683" t="str">
        <f>IF(P10="","",IF(AE10="無","",IF(YEAR(U10)&amp;MONTH(U10)=YEAR(Z10)&amp;MONTH(Z10),0,DATEDIF(Z10,U10,"m")-(12*AF10)+Y10+AD10-IF((DAY(Z10)-DAY(U10))&lt;=0,1,0))))</f>
        <v/>
      </c>
      <c r="AH10" s="683" t="str">
        <f>IF(P10="","",IF(AE10="無","",IF(YEAR(U10)&amp;MONTH(U10)=YEAR(Z10)&amp;MONTH(Z10),AC10,IF(V10=X10,0,X10)+IF(AA10=AC10,0,AC10))))</f>
        <v/>
      </c>
      <c r="AI10" s="684" t="str">
        <f>IF(P10="","",AF10&amp;"年"&amp;AG10&amp;"か月"&amp;AH10&amp;"日")</f>
        <v/>
      </c>
      <c r="AJ10" s="685" t="str">
        <f>IF(P10="","",IF(AE10="無",0,IF(YEAR(U10)&amp;MONTH(U10)=YEAR(Z10)&amp;MONTH(Z10),ROUNDDOWN(C10*AH10/V10,0),ROUNDDOWN(C10*IF(V10=X10,0,X10)/V10,0)+ROUNDDOWN(C10*IF(AA10=AC10,0,AC10)/AA10,0))))</f>
        <v/>
      </c>
      <c r="AK10" s="686" t="str">
        <f>IF(P10="","",IF(AE10="無",0,ROUNDDOWN((C10*AG10)+(C10*AF10*12),0)))</f>
        <v/>
      </c>
      <c r="AL10" s="685" t="str">
        <f>IF(P10="","",AJ10+AK10)</f>
        <v/>
      </c>
      <c r="AM10" s="685" t="str">
        <f>IF(P10="","",IF(COUNTIF(B10,"LAN*")=1,AJ10+AK10,IF(AJ10+AK10&gt;=10000,10000,AJ10+AK10)))</f>
        <v/>
      </c>
      <c r="AQ10" s="638">
        <v>2020</v>
      </c>
      <c r="AR10" s="638">
        <v>4</v>
      </c>
      <c r="AS10" s="638">
        <v>4</v>
      </c>
      <c r="AT10" s="638">
        <v>4</v>
      </c>
      <c r="AV10" s="637"/>
      <c r="AW10" s="637"/>
      <c r="AX10" s="637"/>
      <c r="AY10" s="637"/>
      <c r="AZ10" s="637"/>
      <c r="BA10" s="637"/>
      <c r="BB10" s="637"/>
      <c r="BC10" s="637"/>
      <c r="BD10" s="637"/>
      <c r="BE10" s="637"/>
      <c r="BF10" s="637"/>
      <c r="BG10" s="637"/>
    </row>
    <row r="11" spans="1:59" ht="18" customHeight="1" x14ac:dyDescent="0.45">
      <c r="A11" s="672"/>
      <c r="B11" s="662"/>
      <c r="C11" s="662"/>
      <c r="D11" s="662"/>
      <c r="E11" s="662"/>
      <c r="F11" s="662"/>
      <c r="G11" s="662"/>
      <c r="H11" s="662"/>
      <c r="I11" s="662"/>
      <c r="J11" s="662"/>
      <c r="K11" s="662"/>
      <c r="L11" s="662"/>
      <c r="M11" s="662"/>
      <c r="N11" s="662"/>
      <c r="O11" s="637"/>
      <c r="AE11" s="689"/>
      <c r="AF11" s="689"/>
      <c r="AG11" s="689"/>
      <c r="AH11" s="689"/>
      <c r="AI11" s="689"/>
      <c r="AQ11" s="638">
        <v>2021</v>
      </c>
      <c r="AR11" s="638">
        <v>5</v>
      </c>
      <c r="AS11" s="638">
        <v>5</v>
      </c>
      <c r="AT11" s="638">
        <v>5</v>
      </c>
      <c r="AV11" s="637"/>
      <c r="AW11" s="637"/>
      <c r="AX11" s="637"/>
      <c r="AY11" s="637"/>
      <c r="AZ11" s="637"/>
      <c r="BA11" s="637"/>
      <c r="BB11" s="637"/>
      <c r="BC11" s="637"/>
      <c r="BD11" s="637"/>
      <c r="BE11" s="637"/>
      <c r="BF11" s="637"/>
      <c r="BG11" s="637"/>
    </row>
    <row r="12" spans="1:59" ht="20.100000000000001" customHeight="1" x14ac:dyDescent="0.45">
      <c r="A12" s="659">
        <v>3</v>
      </c>
      <c r="B12" s="660" t="s">
        <v>300</v>
      </c>
      <c r="C12" s="661"/>
      <c r="D12" s="662"/>
      <c r="E12" s="663" t="s">
        <v>301</v>
      </c>
      <c r="F12" s="663"/>
      <c r="G12" s="663"/>
      <c r="H12" s="663"/>
      <c r="I12" s="663"/>
      <c r="J12" s="663"/>
      <c r="K12" s="662"/>
      <c r="L12" s="660" t="s">
        <v>302</v>
      </c>
      <c r="M12" s="662"/>
      <c r="N12" s="660" t="s">
        <v>298</v>
      </c>
      <c r="O12" s="637"/>
      <c r="P12" s="664" t="s">
        <v>293</v>
      </c>
      <c r="Q12" s="665" t="s">
        <v>303</v>
      </c>
      <c r="R12" s="666" t="s">
        <v>304</v>
      </c>
      <c r="S12" s="667" t="s">
        <v>305</v>
      </c>
      <c r="T12" s="668" t="s">
        <v>306</v>
      </c>
      <c r="U12" s="664" t="s">
        <v>307</v>
      </c>
      <c r="V12" s="665" t="s">
        <v>303</v>
      </c>
      <c r="W12" s="666" t="s">
        <v>304</v>
      </c>
      <c r="X12" s="667" t="s">
        <v>308</v>
      </c>
      <c r="Y12" s="668" t="s">
        <v>306</v>
      </c>
      <c r="Z12" s="664" t="s">
        <v>295</v>
      </c>
      <c r="AA12" s="665" t="s">
        <v>303</v>
      </c>
      <c r="AB12" s="666" t="s">
        <v>304</v>
      </c>
      <c r="AC12" s="667" t="s">
        <v>308</v>
      </c>
      <c r="AD12" s="668" t="s">
        <v>306</v>
      </c>
      <c r="AE12" s="669" t="s">
        <v>309</v>
      </c>
      <c r="AF12" s="664" t="s">
        <v>310</v>
      </c>
      <c r="AG12" s="667" t="s">
        <v>311</v>
      </c>
      <c r="AH12" s="667" t="s">
        <v>312</v>
      </c>
      <c r="AI12" s="668" t="s">
        <v>297</v>
      </c>
      <c r="AJ12" s="670" t="s">
        <v>313</v>
      </c>
      <c r="AK12" s="670" t="s">
        <v>314</v>
      </c>
      <c r="AL12" s="670" t="s">
        <v>315</v>
      </c>
      <c r="AM12" s="670" t="s">
        <v>316</v>
      </c>
      <c r="AQ12" s="638">
        <v>2022</v>
      </c>
      <c r="AR12" s="638">
        <v>6</v>
      </c>
      <c r="AS12" s="638">
        <v>6</v>
      </c>
      <c r="AT12" s="638">
        <v>6</v>
      </c>
      <c r="AV12" s="637"/>
      <c r="AW12" s="637"/>
      <c r="AX12" s="690" t="s">
        <v>325</v>
      </c>
      <c r="AY12" s="637" t="s">
        <v>326</v>
      </c>
      <c r="AZ12" s="637" t="s">
        <v>327</v>
      </c>
      <c r="BA12" s="637"/>
      <c r="BB12" s="637"/>
      <c r="BC12" s="637"/>
      <c r="BD12" s="637"/>
      <c r="BE12" s="637"/>
      <c r="BF12" s="637"/>
      <c r="BG12" s="637"/>
    </row>
    <row r="13" spans="1:59" ht="20.100000000000001" customHeight="1" x14ac:dyDescent="0.45">
      <c r="A13" s="659"/>
      <c r="B13" s="671"/>
      <c r="C13" s="672" t="str">
        <f>IF(B13="","",VLOOKUP(B13,$AO$7:$AP$12,2,))</f>
        <v/>
      </c>
      <c r="D13" s="662"/>
      <c r="E13" s="671"/>
      <c r="F13" s="660" t="s">
        <v>24</v>
      </c>
      <c r="G13" s="673"/>
      <c r="H13" s="660" t="s">
        <v>320</v>
      </c>
      <c r="I13" s="673"/>
      <c r="J13" s="660" t="s">
        <v>317</v>
      </c>
      <c r="K13" s="662"/>
      <c r="L13" s="671"/>
      <c r="M13" s="662"/>
      <c r="N13" s="674" t="str">
        <f t="shared" ref="N13" si="2">IF(OR(L13="",AM13=""),"",AM13*L13)</f>
        <v/>
      </c>
      <c r="O13" s="637"/>
      <c r="P13" s="675" t="str">
        <f>IF(OR(E13="",G13="",I13=""),"",DATE(E13,G13,I13))</f>
        <v/>
      </c>
      <c r="Q13" s="676" t="str">
        <f>IF(P13="","",IF(OR(G13=1,G13=3,G13=5,G13=7,G13=8,G13=10,G13=12),31,IF(OR(G13=4,G13=6,G13=9,G13=11),30,IF(AND(E13=2020,G13=2),29,IF(AND(E13=2024,G13=2),29,28)))))</f>
        <v/>
      </c>
      <c r="R13" s="677" t="str">
        <f>IF(P13="","",EOMONTH(P13,0))</f>
        <v/>
      </c>
      <c r="S13" s="676" t="str">
        <f>IF(P13="","",R13-P13+1)</f>
        <v/>
      </c>
      <c r="T13" s="678" t="str">
        <f>IF(P13="","",IF(I13=1,1,0))</f>
        <v/>
      </c>
      <c r="U13" s="675" t="str">
        <f t="shared" ref="U13" si="3">IF(P13="","",IF(B13="LAN給電5年",DATE(YEAR(P13)+5,MONTH(P13),DAY(P13)-1),DATE(YEAR(P13)+2,MONTH(P13),DAY(P13)-1)))</f>
        <v/>
      </c>
      <c r="V13" s="676" t="str">
        <f t="shared" ref="V13" si="4">IF(P13="","",IF(OR(MONTH(U13)=1,MONTH(U13)=3,MONTH(U13)=5,MONTH(U13)=7,MONTH(U13)=8,MONTH(U13)=10,MONTH(U13)=12),31,IF(OR(MONTH(U13)=4,MONTH(U13)=6,MONTH(U13)=9,MONTH(U13)=11),30,IF(AND(YEAR(U13)=2020,MONTH(U13)=2),29,IF(AND(YEAR(U13)=2024,MONTH(U13)=2),29,28)))))</f>
        <v/>
      </c>
      <c r="W13" s="677" t="str">
        <f t="shared" ref="W13" si="5">IF(P13="","",EOMONTH(U13,-1)+1)</f>
        <v/>
      </c>
      <c r="X13" s="676" t="str">
        <f t="shared" ref="X13" si="6">IF(P13="","",U13-W13+1)</f>
        <v/>
      </c>
      <c r="Y13" s="678" t="str">
        <f t="shared" ref="Y13" si="7">IF(P13="","",IF(U13=EOMONTH(U13,0),1,0))</f>
        <v/>
      </c>
      <c r="Z13" s="675" t="str">
        <f>IF(P13="","",IF($L$2="","",$L$2))</f>
        <v/>
      </c>
      <c r="AA13" s="676" t="str">
        <f t="shared" ref="AA13" si="8">IF(P13="","",IF(OR(MONTH(Z13)=1,MONTH(Z13)=3,MONTH(Z13)=5,MONTH(Z13)=7,MONTH(Z13)=8,MONTH(Z13)=10,MONTH(Z13)=12),31,IF(OR(MONTH(Z13)=4,MONTH(Z13)=6,MONTH(Z13)=9,MONTH(Z13)=11),30,IF(AND(YEAR(Z13)=2020,MONTH(Z13)=2),29,IF(AND(YEAR(Z13)=2024,MONTH(Z13)=2),29,28)))))</f>
        <v/>
      </c>
      <c r="AB13" s="677" t="str">
        <f>IF(P13="","",IF($L$2="","",EOMONTH(Z13,0)))</f>
        <v/>
      </c>
      <c r="AC13" s="679" t="str">
        <f>IF(P13="","",IF($L$2="","",AB13-Z13)+1)</f>
        <v/>
      </c>
      <c r="AD13" s="680" t="str">
        <f t="shared" ref="AD13" si="9">IF(P13="","",IF(DAY(Z13)=1,1,0))</f>
        <v/>
      </c>
      <c r="AE13" s="681" t="str">
        <f t="shared" ref="AE13" si="10">IF(P13="","",IF(B13="お買い上げ型","無",IF(U13&lt;Z13,"無","有")))</f>
        <v/>
      </c>
      <c r="AF13" s="682" t="str">
        <f t="shared" ref="AF13" si="11">IF(P13="","",IF(AE13="無","",DATEDIF(Z13,U13,"y")))</f>
        <v/>
      </c>
      <c r="AG13" s="683" t="str">
        <f t="shared" ref="AG13" si="12">IF(P13="","",IF(AE13="無","",IF(YEAR(U13)&amp;MONTH(U13)=YEAR(Z13)&amp;MONTH(Z13),0,DATEDIF(Z13,U13,"m")-(12*AF13)+Y13+AD13-IF((DAY(Z13)-DAY(U13))&lt;=0,1,0))))</f>
        <v/>
      </c>
      <c r="AH13" s="683" t="str">
        <f t="shared" ref="AH13" si="13">IF(P13="","",IF(AE13="無","",IF(YEAR(U13)&amp;MONTH(U13)=YEAR(Z13)&amp;MONTH(Z13),AC13,IF(V13=X13,0,X13)+IF(AA13=AC13,0,AC13))))</f>
        <v/>
      </c>
      <c r="AI13" s="684" t="str">
        <f t="shared" ref="AI13" si="14">IF(P13="","",AF13&amp;"年"&amp;AG13&amp;"か月"&amp;AH13&amp;"日")</f>
        <v/>
      </c>
      <c r="AJ13" s="685" t="str">
        <f t="shared" ref="AJ13" si="15">IF(P13="","",IF(AE13="無",0,IF(YEAR(U13)&amp;MONTH(U13)=YEAR(Z13)&amp;MONTH(Z13),ROUNDDOWN(C13*AH13/V13,0),ROUNDDOWN(C13*IF(V13=X13,0,X13)/V13,0)+ROUNDDOWN(C13*IF(AA13=AC13,0,AC13)/AA13,0))))</f>
        <v/>
      </c>
      <c r="AK13" s="686" t="str">
        <f t="shared" ref="AK13" si="16">IF(P13="","",IF(AE13="無",0,ROUNDDOWN((C13*AG13)+(C13*AF13*12),0)))</f>
        <v/>
      </c>
      <c r="AL13" s="685" t="str">
        <f t="shared" ref="AL13" si="17">IF(P13="","",AJ13+AK13)</f>
        <v/>
      </c>
      <c r="AM13" s="685" t="str">
        <f t="shared" ref="AM13" si="18">IF(P13="","",IF(COUNTIF(B13,"LAN*")=1,AJ13+AK13,IF(AJ13+AK13&gt;=10000,10000,AJ13+AK13)))</f>
        <v/>
      </c>
      <c r="AQ13" s="638">
        <v>2023</v>
      </c>
      <c r="AR13" s="638">
        <v>7</v>
      </c>
      <c r="AS13" s="638">
        <v>7</v>
      </c>
      <c r="AT13" s="638">
        <v>7</v>
      </c>
      <c r="AV13" s="637"/>
      <c r="AW13" s="637"/>
      <c r="AX13" s="637"/>
      <c r="AY13" s="637"/>
      <c r="AZ13" s="637" t="s">
        <v>328</v>
      </c>
      <c r="BA13" s="637"/>
      <c r="BB13" s="637"/>
      <c r="BC13" s="637"/>
      <c r="BD13" s="637"/>
      <c r="BE13" s="637"/>
      <c r="BF13" s="637"/>
      <c r="BG13" s="637"/>
    </row>
    <row r="14" spans="1:59" ht="18" customHeight="1" x14ac:dyDescent="0.45">
      <c r="A14" s="672"/>
      <c r="B14" s="662"/>
      <c r="C14" s="662"/>
      <c r="D14" s="662"/>
      <c r="E14" s="662"/>
      <c r="F14" s="662"/>
      <c r="G14" s="662"/>
      <c r="H14" s="662"/>
      <c r="I14" s="662"/>
      <c r="J14" s="662"/>
      <c r="K14" s="662"/>
      <c r="L14" s="662"/>
      <c r="M14" s="662"/>
      <c r="N14" s="662"/>
      <c r="O14" s="637"/>
      <c r="AE14" s="689"/>
      <c r="AF14" s="689"/>
      <c r="AG14" s="689"/>
      <c r="AH14" s="689"/>
      <c r="AI14" s="689"/>
      <c r="AQ14" s="638">
        <v>2024</v>
      </c>
      <c r="AR14" s="638">
        <v>8</v>
      </c>
      <c r="AS14" s="638">
        <v>8</v>
      </c>
      <c r="AT14" s="638">
        <v>8</v>
      </c>
      <c r="AV14" s="637"/>
      <c r="AW14" s="637"/>
      <c r="AX14" s="637"/>
      <c r="AY14" s="637"/>
      <c r="AZ14" s="637" t="s">
        <v>329</v>
      </c>
      <c r="BA14" s="637"/>
      <c r="BB14" s="637"/>
      <c r="BC14" s="637"/>
      <c r="BD14" s="637"/>
      <c r="BE14" s="637"/>
      <c r="BF14" s="637"/>
      <c r="BG14" s="637"/>
    </row>
    <row r="15" spans="1:59" ht="20.100000000000001" customHeight="1" x14ac:dyDescent="0.45">
      <c r="A15" s="659">
        <v>4</v>
      </c>
      <c r="B15" s="660" t="s">
        <v>300</v>
      </c>
      <c r="C15" s="661"/>
      <c r="D15" s="662"/>
      <c r="E15" s="663" t="s">
        <v>301</v>
      </c>
      <c r="F15" s="663"/>
      <c r="G15" s="663"/>
      <c r="H15" s="663"/>
      <c r="I15" s="663"/>
      <c r="J15" s="663"/>
      <c r="K15" s="662"/>
      <c r="L15" s="660" t="s">
        <v>302</v>
      </c>
      <c r="M15" s="662"/>
      <c r="N15" s="660" t="s">
        <v>298</v>
      </c>
      <c r="O15" s="637"/>
      <c r="P15" s="664" t="s">
        <v>293</v>
      </c>
      <c r="Q15" s="665" t="s">
        <v>303</v>
      </c>
      <c r="R15" s="666" t="s">
        <v>304</v>
      </c>
      <c r="S15" s="667" t="s">
        <v>305</v>
      </c>
      <c r="T15" s="668" t="s">
        <v>306</v>
      </c>
      <c r="U15" s="664" t="s">
        <v>307</v>
      </c>
      <c r="V15" s="665" t="s">
        <v>303</v>
      </c>
      <c r="W15" s="666" t="s">
        <v>304</v>
      </c>
      <c r="X15" s="667" t="s">
        <v>308</v>
      </c>
      <c r="Y15" s="668" t="s">
        <v>306</v>
      </c>
      <c r="Z15" s="664" t="s">
        <v>295</v>
      </c>
      <c r="AA15" s="665" t="s">
        <v>303</v>
      </c>
      <c r="AB15" s="666" t="s">
        <v>304</v>
      </c>
      <c r="AC15" s="667" t="s">
        <v>308</v>
      </c>
      <c r="AD15" s="668" t="s">
        <v>306</v>
      </c>
      <c r="AE15" s="669" t="s">
        <v>309</v>
      </c>
      <c r="AF15" s="664" t="s">
        <v>310</v>
      </c>
      <c r="AG15" s="667" t="s">
        <v>311</v>
      </c>
      <c r="AH15" s="667" t="s">
        <v>312</v>
      </c>
      <c r="AI15" s="668" t="s">
        <v>297</v>
      </c>
      <c r="AJ15" s="670" t="s">
        <v>313</v>
      </c>
      <c r="AK15" s="670" t="s">
        <v>314</v>
      </c>
      <c r="AL15" s="670" t="s">
        <v>315</v>
      </c>
      <c r="AM15" s="670" t="s">
        <v>316</v>
      </c>
      <c r="AQ15" s="638">
        <v>2025</v>
      </c>
      <c r="AR15" s="638">
        <v>9</v>
      </c>
      <c r="AS15" s="638">
        <v>9</v>
      </c>
      <c r="AT15" s="638">
        <v>9</v>
      </c>
      <c r="AV15" s="637"/>
      <c r="AW15" s="637"/>
      <c r="AX15" s="637"/>
      <c r="AY15" s="637" t="s">
        <v>330</v>
      </c>
      <c r="AZ15" s="637"/>
      <c r="BA15" s="637"/>
      <c r="BB15" s="637"/>
      <c r="BC15" s="637"/>
      <c r="BD15" s="637"/>
      <c r="BE15" s="637"/>
      <c r="BF15" s="637"/>
      <c r="BG15" s="637"/>
    </row>
    <row r="16" spans="1:59" ht="20.100000000000001" customHeight="1" x14ac:dyDescent="0.45">
      <c r="A16" s="659"/>
      <c r="B16" s="671"/>
      <c r="C16" s="672" t="str">
        <f>IF(B16="","",VLOOKUP(B16,$AO$7:$AP$12,2,))</f>
        <v/>
      </c>
      <c r="D16" s="662"/>
      <c r="E16" s="671"/>
      <c r="F16" s="660" t="s">
        <v>24</v>
      </c>
      <c r="G16" s="673"/>
      <c r="H16" s="660" t="s">
        <v>320</v>
      </c>
      <c r="I16" s="673"/>
      <c r="J16" s="660" t="s">
        <v>317</v>
      </c>
      <c r="K16" s="662"/>
      <c r="L16" s="671"/>
      <c r="M16" s="662"/>
      <c r="N16" s="674" t="str">
        <f t="shared" ref="N16:N34" si="19">IF(OR(L16="",AM16=""),"",AM16*L16)</f>
        <v/>
      </c>
      <c r="O16" s="637"/>
      <c r="P16" s="675" t="str">
        <f>IF(OR(E16="",G16="",I16=""),"",DATE(E16,G16,I16))</f>
        <v/>
      </c>
      <c r="Q16" s="676" t="str">
        <f>IF(P16="","",IF(OR(G16=1,G16=3,G16=5,G16=7,G16=8,G16=10,G16=12),31,IF(OR(G16=4,G16=6,G16=9,G16=11),30,IF(AND(E16=2020,G16=2),29,IF(AND(E16=2024,G16=2),29,28)))))</f>
        <v/>
      </c>
      <c r="R16" s="677" t="str">
        <f>IF(P16="","",EOMONTH(P16,0))</f>
        <v/>
      </c>
      <c r="S16" s="676" t="str">
        <f>IF(P16="","",R16-P16+1)</f>
        <v/>
      </c>
      <c r="T16" s="678" t="str">
        <f>IF(P16="","",IF(I16=1,1,0))</f>
        <v/>
      </c>
      <c r="U16" s="675" t="str">
        <f t="shared" ref="U16" si="20">IF(P16="","",IF(B16="LAN給電5年",DATE(YEAR(P16)+5,MONTH(P16),DAY(P16)-1),DATE(YEAR(P16)+2,MONTH(P16),DAY(P16)-1)))</f>
        <v/>
      </c>
      <c r="V16" s="676" t="str">
        <f t="shared" ref="V16" si="21">IF(P16="","",IF(OR(MONTH(U16)=1,MONTH(U16)=3,MONTH(U16)=5,MONTH(U16)=7,MONTH(U16)=8,MONTH(U16)=10,MONTH(U16)=12),31,IF(OR(MONTH(U16)=4,MONTH(U16)=6,MONTH(U16)=9,MONTH(U16)=11),30,IF(AND(YEAR(U16)=2020,MONTH(U16)=2),29,IF(AND(YEAR(U16)=2024,MONTH(U16)=2),29,28)))))</f>
        <v/>
      </c>
      <c r="W16" s="677" t="str">
        <f t="shared" ref="W16" si="22">IF(P16="","",EOMONTH(U16,-1)+1)</f>
        <v/>
      </c>
      <c r="X16" s="676" t="str">
        <f t="shared" ref="X16" si="23">IF(P16="","",U16-W16+1)</f>
        <v/>
      </c>
      <c r="Y16" s="678" t="str">
        <f t="shared" ref="Y16" si="24">IF(P16="","",IF(U16=EOMONTH(U16,0),1,0))</f>
        <v/>
      </c>
      <c r="Z16" s="675" t="str">
        <f>IF(P16="","",IF($L$2="","",$L$2))</f>
        <v/>
      </c>
      <c r="AA16" s="676" t="str">
        <f t="shared" ref="AA16" si="25">IF(P16="","",IF(OR(MONTH(Z16)=1,MONTH(Z16)=3,MONTH(Z16)=5,MONTH(Z16)=7,MONTH(Z16)=8,MONTH(Z16)=10,MONTH(Z16)=12),31,IF(OR(MONTH(Z16)=4,MONTH(Z16)=6,MONTH(Z16)=9,MONTH(Z16)=11),30,IF(AND(YEAR(Z16)=2020,MONTH(Z16)=2),29,IF(AND(YEAR(Z16)=2024,MONTH(Z16)=2),29,28)))))</f>
        <v/>
      </c>
      <c r="AB16" s="677" t="str">
        <f>IF(P16="","",IF($L$2="","",EOMONTH(Z16,0)))</f>
        <v/>
      </c>
      <c r="AC16" s="679" t="str">
        <f>IF(P16="","",IF($L$2="","",AB16-Z16)+1)</f>
        <v/>
      </c>
      <c r="AD16" s="680" t="str">
        <f t="shared" ref="AD16" si="26">IF(P16="","",IF(DAY(Z16)=1,1,0))</f>
        <v/>
      </c>
      <c r="AE16" s="681" t="str">
        <f t="shared" ref="AE16" si="27">IF(P16="","",IF(B16="お買い上げ型","無",IF(U16&lt;Z16,"無","有")))</f>
        <v/>
      </c>
      <c r="AF16" s="682" t="str">
        <f t="shared" ref="AF16" si="28">IF(P16="","",IF(AE16="無","",DATEDIF(Z16,U16,"y")))</f>
        <v/>
      </c>
      <c r="AG16" s="683" t="str">
        <f t="shared" ref="AG16" si="29">IF(P16="","",IF(AE16="無","",IF(YEAR(U16)&amp;MONTH(U16)=YEAR(Z16)&amp;MONTH(Z16),0,DATEDIF(Z16,U16,"m")-(12*AF16)+Y16+AD16-IF((DAY(Z16)-DAY(U16))&lt;=0,1,0))))</f>
        <v/>
      </c>
      <c r="AH16" s="683" t="str">
        <f t="shared" ref="AH16" si="30">IF(P16="","",IF(AE16="無","",IF(YEAR(U16)&amp;MONTH(U16)=YEAR(Z16)&amp;MONTH(Z16),AC16,IF(V16=X16,0,X16)+IF(AA16=AC16,0,AC16))))</f>
        <v/>
      </c>
      <c r="AI16" s="684" t="str">
        <f t="shared" ref="AI16" si="31">IF(P16="","",AF16&amp;"年"&amp;AG16&amp;"か月"&amp;AH16&amp;"日")</f>
        <v/>
      </c>
      <c r="AJ16" s="685" t="str">
        <f t="shared" ref="AJ16" si="32">IF(P16="","",IF(AE16="無",0,IF(YEAR(U16)&amp;MONTH(U16)=YEAR(Z16)&amp;MONTH(Z16),ROUNDDOWN(C16*AH16/V16,0),ROUNDDOWN(C16*IF(V16=X16,0,X16)/V16,0)+ROUNDDOWN(C16*IF(AA16=AC16,0,AC16)/AA16,0))))</f>
        <v/>
      </c>
      <c r="AK16" s="686" t="str">
        <f t="shared" ref="AK16" si="33">IF(P16="","",IF(AE16="無",0,ROUNDDOWN((C16*AG16)+(C16*AF16*12),0)))</f>
        <v/>
      </c>
      <c r="AL16" s="685" t="str">
        <f t="shared" ref="AL16" si="34">IF(P16="","",AJ16+AK16)</f>
        <v/>
      </c>
      <c r="AM16" s="685" t="str">
        <f t="shared" ref="AM16" si="35">IF(P16="","",IF(COUNTIF(B16,"LAN*")=1,AJ16+AK16,IF(AJ16+AK16&gt;=10000,10000,AJ16+AK16)))</f>
        <v/>
      </c>
      <c r="AR16" s="638">
        <v>10</v>
      </c>
      <c r="AS16" s="638">
        <v>10</v>
      </c>
      <c r="AT16" s="638">
        <v>10</v>
      </c>
      <c r="AV16" s="637"/>
      <c r="AW16" s="637"/>
      <c r="AX16" s="637"/>
      <c r="AY16" s="637"/>
      <c r="AZ16" s="637"/>
      <c r="BA16" s="637"/>
      <c r="BB16" s="637"/>
      <c r="BC16" s="637"/>
      <c r="BD16" s="637"/>
      <c r="BE16" s="637"/>
      <c r="BF16" s="637"/>
      <c r="BG16" s="637"/>
    </row>
    <row r="17" spans="1:59" ht="18" customHeight="1" x14ac:dyDescent="0.45">
      <c r="A17" s="672"/>
      <c r="B17" s="662"/>
      <c r="C17" s="662"/>
      <c r="D17" s="662"/>
      <c r="E17" s="662"/>
      <c r="F17" s="662"/>
      <c r="G17" s="662"/>
      <c r="H17" s="662"/>
      <c r="I17" s="662"/>
      <c r="J17" s="662"/>
      <c r="K17" s="662"/>
      <c r="L17" s="662"/>
      <c r="M17" s="662"/>
      <c r="N17" s="662"/>
      <c r="O17" s="637"/>
      <c r="AE17" s="689"/>
      <c r="AF17" s="689"/>
      <c r="AG17" s="689"/>
      <c r="AH17" s="689"/>
      <c r="AI17" s="689"/>
      <c r="AR17" s="638">
        <v>11</v>
      </c>
      <c r="AS17" s="638">
        <v>11</v>
      </c>
      <c r="AT17" s="638">
        <v>11</v>
      </c>
      <c r="AV17" s="637"/>
      <c r="AW17" s="637"/>
      <c r="AX17" s="637"/>
      <c r="AY17" s="637"/>
      <c r="AZ17" s="637"/>
      <c r="BA17" s="637"/>
      <c r="BB17" s="637"/>
      <c r="BC17" s="637"/>
      <c r="BD17" s="637"/>
      <c r="BE17" s="637"/>
      <c r="BF17" s="637"/>
      <c r="BG17" s="637"/>
    </row>
    <row r="18" spans="1:59" ht="20.100000000000001" customHeight="1" x14ac:dyDescent="0.45">
      <c r="A18" s="659">
        <v>5</v>
      </c>
      <c r="B18" s="660" t="s">
        <v>300</v>
      </c>
      <c r="C18" s="661"/>
      <c r="D18" s="662"/>
      <c r="E18" s="663" t="s">
        <v>301</v>
      </c>
      <c r="F18" s="663"/>
      <c r="G18" s="663"/>
      <c r="H18" s="663"/>
      <c r="I18" s="663"/>
      <c r="J18" s="663"/>
      <c r="K18" s="662"/>
      <c r="L18" s="660" t="s">
        <v>302</v>
      </c>
      <c r="M18" s="662"/>
      <c r="N18" s="660" t="s">
        <v>298</v>
      </c>
      <c r="O18" s="637"/>
      <c r="P18" s="664" t="s">
        <v>293</v>
      </c>
      <c r="Q18" s="665" t="s">
        <v>303</v>
      </c>
      <c r="R18" s="666" t="s">
        <v>304</v>
      </c>
      <c r="S18" s="667" t="s">
        <v>305</v>
      </c>
      <c r="T18" s="668" t="s">
        <v>306</v>
      </c>
      <c r="U18" s="664" t="s">
        <v>307</v>
      </c>
      <c r="V18" s="665" t="s">
        <v>303</v>
      </c>
      <c r="W18" s="666" t="s">
        <v>304</v>
      </c>
      <c r="X18" s="667" t="s">
        <v>308</v>
      </c>
      <c r="Y18" s="668" t="s">
        <v>306</v>
      </c>
      <c r="Z18" s="664" t="s">
        <v>295</v>
      </c>
      <c r="AA18" s="665" t="s">
        <v>303</v>
      </c>
      <c r="AB18" s="666" t="s">
        <v>304</v>
      </c>
      <c r="AC18" s="667" t="s">
        <v>308</v>
      </c>
      <c r="AD18" s="668" t="s">
        <v>306</v>
      </c>
      <c r="AE18" s="669" t="s">
        <v>309</v>
      </c>
      <c r="AF18" s="664" t="s">
        <v>310</v>
      </c>
      <c r="AG18" s="667" t="s">
        <v>311</v>
      </c>
      <c r="AH18" s="667" t="s">
        <v>312</v>
      </c>
      <c r="AI18" s="668" t="s">
        <v>297</v>
      </c>
      <c r="AJ18" s="670" t="s">
        <v>313</v>
      </c>
      <c r="AK18" s="670" t="s">
        <v>314</v>
      </c>
      <c r="AL18" s="670" t="s">
        <v>315</v>
      </c>
      <c r="AM18" s="670" t="s">
        <v>316</v>
      </c>
      <c r="AR18" s="638">
        <v>12</v>
      </c>
      <c r="AS18" s="638">
        <v>12</v>
      </c>
      <c r="AT18" s="638">
        <v>12</v>
      </c>
      <c r="AV18" s="637"/>
      <c r="AW18" s="637"/>
      <c r="AX18" s="637"/>
      <c r="AY18" s="637"/>
      <c r="AZ18" s="637"/>
      <c r="BA18" s="637"/>
      <c r="BB18" s="637"/>
      <c r="BC18" s="637"/>
      <c r="BD18" s="637"/>
      <c r="BE18" s="637"/>
      <c r="BF18" s="637"/>
      <c r="BG18" s="637"/>
    </row>
    <row r="19" spans="1:59" ht="20.100000000000001" customHeight="1" x14ac:dyDescent="0.45">
      <c r="A19" s="659"/>
      <c r="B19" s="671"/>
      <c r="C19" s="672" t="str">
        <f>IF(B19="","",VLOOKUP(B19,$AO$7:$AP$12,2,))</f>
        <v/>
      </c>
      <c r="D19" s="662"/>
      <c r="E19" s="671"/>
      <c r="F19" s="660" t="s">
        <v>24</v>
      </c>
      <c r="G19" s="673"/>
      <c r="H19" s="660" t="s">
        <v>320</v>
      </c>
      <c r="I19" s="673"/>
      <c r="J19" s="660" t="s">
        <v>317</v>
      </c>
      <c r="K19" s="662"/>
      <c r="L19" s="671"/>
      <c r="M19" s="662"/>
      <c r="N19" s="674" t="str">
        <f t="shared" si="19"/>
        <v/>
      </c>
      <c r="O19" s="637"/>
      <c r="P19" s="675" t="str">
        <f>IF(OR(E19="",G19="",I19=""),"",DATE(E19,G19,I19))</f>
        <v/>
      </c>
      <c r="Q19" s="676" t="str">
        <f>IF(P19="","",IF(OR(G19=1,G19=3,G19=5,G19=7,G19=8,G19=10,G19=12),31,IF(OR(G19=4,G19=6,G19=9,G19=11),30,IF(AND(E19=2020,G19=2),29,IF(AND(E19=2024,G19=2),29,28)))))</f>
        <v/>
      </c>
      <c r="R19" s="677" t="str">
        <f>IF(P19="","",EOMONTH(P19,0))</f>
        <v/>
      </c>
      <c r="S19" s="676" t="str">
        <f>IF(P19="","",R19-P19+1)</f>
        <v/>
      </c>
      <c r="T19" s="678" t="str">
        <f>IF(P19="","",IF(I19=1,1,0))</f>
        <v/>
      </c>
      <c r="U19" s="675" t="str">
        <f t="shared" ref="U19" si="36">IF(P19="","",IF(B19="LAN給電5年",DATE(YEAR(P19)+5,MONTH(P19),DAY(P19)-1),DATE(YEAR(P19)+2,MONTH(P19),DAY(P19)-1)))</f>
        <v/>
      </c>
      <c r="V19" s="676" t="str">
        <f t="shared" ref="V19" si="37">IF(P19="","",IF(OR(MONTH(U19)=1,MONTH(U19)=3,MONTH(U19)=5,MONTH(U19)=7,MONTH(U19)=8,MONTH(U19)=10,MONTH(U19)=12),31,IF(OR(MONTH(U19)=4,MONTH(U19)=6,MONTH(U19)=9,MONTH(U19)=11),30,IF(AND(YEAR(U19)=2020,MONTH(U19)=2),29,IF(AND(YEAR(U19)=2024,MONTH(U19)=2),29,28)))))</f>
        <v/>
      </c>
      <c r="W19" s="677" t="str">
        <f t="shared" ref="W19" si="38">IF(P19="","",EOMONTH(U19,-1)+1)</f>
        <v/>
      </c>
      <c r="X19" s="676" t="str">
        <f t="shared" ref="X19" si="39">IF(P19="","",U19-W19+1)</f>
        <v/>
      </c>
      <c r="Y19" s="678" t="str">
        <f t="shared" ref="Y19" si="40">IF(P19="","",IF(U19=EOMONTH(U19,0),1,0))</f>
        <v/>
      </c>
      <c r="Z19" s="675" t="str">
        <f>IF(P19="","",IF($L$2="","",$L$2))</f>
        <v/>
      </c>
      <c r="AA19" s="676" t="str">
        <f t="shared" ref="AA19" si="41">IF(P19="","",IF(OR(MONTH(Z19)=1,MONTH(Z19)=3,MONTH(Z19)=5,MONTH(Z19)=7,MONTH(Z19)=8,MONTH(Z19)=10,MONTH(Z19)=12),31,IF(OR(MONTH(Z19)=4,MONTH(Z19)=6,MONTH(Z19)=9,MONTH(Z19)=11),30,IF(AND(YEAR(Z19)=2020,MONTH(Z19)=2),29,IF(AND(YEAR(Z19)=2024,MONTH(Z19)=2),29,28)))))</f>
        <v/>
      </c>
      <c r="AB19" s="677" t="str">
        <f>IF(P19="","",IF($L$2="","",EOMONTH(Z19,0)))</f>
        <v/>
      </c>
      <c r="AC19" s="679" t="str">
        <f>IF(P19="","",IF($L$2="","",AB19-Z19)+1)</f>
        <v/>
      </c>
      <c r="AD19" s="680" t="str">
        <f t="shared" ref="AD19" si="42">IF(P19="","",IF(DAY(Z19)=1,1,0))</f>
        <v/>
      </c>
      <c r="AE19" s="681" t="str">
        <f t="shared" ref="AE19" si="43">IF(P19="","",IF(B19="お買い上げ型","無",IF(U19&lt;Z19,"無","有")))</f>
        <v/>
      </c>
      <c r="AF19" s="682" t="str">
        <f t="shared" ref="AF19" si="44">IF(P19="","",IF(AE19="無","",DATEDIF(Z19,U19,"y")))</f>
        <v/>
      </c>
      <c r="AG19" s="683" t="str">
        <f t="shared" ref="AG19" si="45">IF(P19="","",IF(AE19="無","",IF(YEAR(U19)&amp;MONTH(U19)=YEAR(Z19)&amp;MONTH(Z19),0,DATEDIF(Z19,U19,"m")-(12*AF19)+Y19+AD19-IF((DAY(Z19)-DAY(U19))&lt;=0,1,0))))</f>
        <v/>
      </c>
      <c r="AH19" s="683" t="str">
        <f t="shared" ref="AH19" si="46">IF(P19="","",IF(AE19="無","",IF(YEAR(U19)&amp;MONTH(U19)=YEAR(Z19)&amp;MONTH(Z19),AC19,IF(V19=X19,0,X19)+IF(AA19=AC19,0,AC19))))</f>
        <v/>
      </c>
      <c r="AI19" s="684" t="str">
        <f t="shared" ref="AI19" si="47">IF(P19="","",AF19&amp;"年"&amp;AG19&amp;"か月"&amp;AH19&amp;"日")</f>
        <v/>
      </c>
      <c r="AJ19" s="685" t="str">
        <f t="shared" ref="AJ19" si="48">IF(P19="","",IF(AE19="無",0,IF(YEAR(U19)&amp;MONTH(U19)=YEAR(Z19)&amp;MONTH(Z19),ROUNDDOWN(C19*AH19/V19,0),ROUNDDOWN(C19*IF(V19=X19,0,X19)/V19,0)+ROUNDDOWN(C19*IF(AA19=AC19,0,AC19)/AA19,0))))</f>
        <v/>
      </c>
      <c r="AK19" s="686" t="str">
        <f t="shared" ref="AK19" si="49">IF(P19="","",IF(AE19="無",0,ROUNDDOWN((C19*AG19)+(C19*AF19*12),0)))</f>
        <v/>
      </c>
      <c r="AL19" s="685" t="str">
        <f t="shared" ref="AL19" si="50">IF(P19="","",AJ19+AK19)</f>
        <v/>
      </c>
      <c r="AM19" s="685" t="str">
        <f t="shared" ref="AM19" si="51">IF(P19="","",IF(COUNTIF(B19,"LAN*")=1,AJ19+AK19,IF(AJ19+AK19&gt;=10000,10000,AJ19+AK19)))</f>
        <v/>
      </c>
      <c r="AS19" s="638">
        <v>13</v>
      </c>
      <c r="AT19" s="638">
        <v>13</v>
      </c>
      <c r="AV19" s="637"/>
      <c r="AW19" s="637"/>
      <c r="AX19" s="637"/>
      <c r="AY19" s="637"/>
      <c r="AZ19" s="637"/>
      <c r="BA19" s="637"/>
      <c r="BB19" s="637"/>
      <c r="BC19" s="637"/>
      <c r="BD19" s="637"/>
      <c r="BE19" s="637"/>
      <c r="BF19" s="637"/>
      <c r="BG19" s="637"/>
    </row>
    <row r="20" spans="1:59" ht="18" customHeight="1" x14ac:dyDescent="0.45">
      <c r="A20" s="672"/>
      <c r="B20" s="662"/>
      <c r="C20" s="662"/>
      <c r="D20" s="662"/>
      <c r="E20" s="662"/>
      <c r="F20" s="662"/>
      <c r="G20" s="662"/>
      <c r="H20" s="662"/>
      <c r="I20" s="662"/>
      <c r="J20" s="662"/>
      <c r="K20" s="662"/>
      <c r="L20" s="662"/>
      <c r="M20" s="662"/>
      <c r="N20" s="662"/>
      <c r="O20" s="637"/>
      <c r="AE20" s="689"/>
      <c r="AF20" s="689"/>
      <c r="AG20" s="689"/>
      <c r="AH20" s="689"/>
      <c r="AI20" s="689"/>
      <c r="AS20" s="638">
        <v>14</v>
      </c>
      <c r="AT20" s="638">
        <v>14</v>
      </c>
      <c r="AV20" s="637"/>
      <c r="AW20" s="637"/>
      <c r="AX20" s="637"/>
      <c r="AY20" s="637"/>
      <c r="AZ20" s="637"/>
      <c r="BA20" s="637"/>
      <c r="BB20" s="637"/>
      <c r="BC20" s="637"/>
      <c r="BD20" s="637"/>
      <c r="BE20" s="637"/>
      <c r="BF20" s="637"/>
      <c r="BG20" s="637"/>
    </row>
    <row r="21" spans="1:59" ht="20.100000000000001" customHeight="1" x14ac:dyDescent="0.45">
      <c r="A21" s="659">
        <v>6</v>
      </c>
      <c r="B21" s="660" t="s">
        <v>300</v>
      </c>
      <c r="C21" s="661"/>
      <c r="D21" s="662"/>
      <c r="E21" s="663" t="s">
        <v>301</v>
      </c>
      <c r="F21" s="663"/>
      <c r="G21" s="663"/>
      <c r="H21" s="663"/>
      <c r="I21" s="663"/>
      <c r="J21" s="663"/>
      <c r="K21" s="662"/>
      <c r="L21" s="660" t="s">
        <v>302</v>
      </c>
      <c r="M21" s="662"/>
      <c r="N21" s="660" t="s">
        <v>298</v>
      </c>
      <c r="O21" s="637"/>
      <c r="P21" s="664" t="s">
        <v>293</v>
      </c>
      <c r="Q21" s="665" t="s">
        <v>303</v>
      </c>
      <c r="R21" s="666" t="s">
        <v>304</v>
      </c>
      <c r="S21" s="667" t="s">
        <v>305</v>
      </c>
      <c r="T21" s="668" t="s">
        <v>306</v>
      </c>
      <c r="U21" s="664" t="s">
        <v>307</v>
      </c>
      <c r="V21" s="665" t="s">
        <v>303</v>
      </c>
      <c r="W21" s="666" t="s">
        <v>304</v>
      </c>
      <c r="X21" s="667" t="s">
        <v>308</v>
      </c>
      <c r="Y21" s="668" t="s">
        <v>306</v>
      </c>
      <c r="Z21" s="664" t="s">
        <v>295</v>
      </c>
      <c r="AA21" s="665" t="s">
        <v>303</v>
      </c>
      <c r="AB21" s="666" t="s">
        <v>304</v>
      </c>
      <c r="AC21" s="667" t="s">
        <v>308</v>
      </c>
      <c r="AD21" s="668" t="s">
        <v>306</v>
      </c>
      <c r="AE21" s="669" t="s">
        <v>309</v>
      </c>
      <c r="AF21" s="664" t="s">
        <v>310</v>
      </c>
      <c r="AG21" s="667" t="s">
        <v>311</v>
      </c>
      <c r="AH21" s="667" t="s">
        <v>312</v>
      </c>
      <c r="AI21" s="668" t="s">
        <v>297</v>
      </c>
      <c r="AJ21" s="670" t="s">
        <v>313</v>
      </c>
      <c r="AK21" s="670" t="s">
        <v>314</v>
      </c>
      <c r="AL21" s="670" t="s">
        <v>315</v>
      </c>
      <c r="AM21" s="670" t="s">
        <v>316</v>
      </c>
      <c r="AS21" s="638">
        <v>15</v>
      </c>
      <c r="AT21" s="638">
        <v>15</v>
      </c>
      <c r="AV21" s="637"/>
      <c r="AW21" s="637"/>
      <c r="AX21" s="637"/>
      <c r="AY21" s="637"/>
      <c r="AZ21" s="637"/>
      <c r="BA21" s="637"/>
      <c r="BB21" s="637"/>
      <c r="BC21" s="637"/>
      <c r="BD21" s="637"/>
      <c r="BE21" s="637"/>
      <c r="BF21" s="637"/>
      <c r="BG21" s="637"/>
    </row>
    <row r="22" spans="1:59" ht="20.100000000000001" customHeight="1" x14ac:dyDescent="0.45">
      <c r="A22" s="659"/>
      <c r="B22" s="671"/>
      <c r="C22" s="672" t="str">
        <f>IF(B22="","",VLOOKUP(B22,$AO$7:$AP$12,2,))</f>
        <v/>
      </c>
      <c r="D22" s="662"/>
      <c r="E22" s="671"/>
      <c r="F22" s="660" t="s">
        <v>24</v>
      </c>
      <c r="G22" s="673"/>
      <c r="H22" s="660" t="s">
        <v>320</v>
      </c>
      <c r="I22" s="673"/>
      <c r="J22" s="660" t="s">
        <v>317</v>
      </c>
      <c r="K22" s="662"/>
      <c r="L22" s="671"/>
      <c r="M22" s="662"/>
      <c r="N22" s="674" t="str">
        <f t="shared" si="19"/>
        <v/>
      </c>
      <c r="O22" s="637"/>
      <c r="P22" s="675" t="str">
        <f>IF(OR(E22="",G22="",I22=""),"",DATE(E22,G22,I22))</f>
        <v/>
      </c>
      <c r="Q22" s="676" t="str">
        <f>IF(P22="","",IF(OR(G22=1,G22=3,G22=5,G22=7,G22=8,G22=10,G22=12),31,IF(OR(G22=4,G22=6,G22=9,G22=11),30,IF(AND(E22=2020,G22=2),29,IF(AND(E22=2024,G22=2),29,28)))))</f>
        <v/>
      </c>
      <c r="R22" s="677" t="str">
        <f>IF(P22="","",EOMONTH(P22,0))</f>
        <v/>
      </c>
      <c r="S22" s="676" t="str">
        <f>IF(P22="","",R22-P22+1)</f>
        <v/>
      </c>
      <c r="T22" s="678" t="str">
        <f>IF(P22="","",IF(I22=1,1,0))</f>
        <v/>
      </c>
      <c r="U22" s="675" t="str">
        <f t="shared" ref="U22" si="52">IF(P22="","",IF(B22="LAN給電5年",DATE(YEAR(P22)+5,MONTH(P22),DAY(P22)-1),DATE(YEAR(P22)+2,MONTH(P22),DAY(P22)-1)))</f>
        <v/>
      </c>
      <c r="V22" s="676" t="str">
        <f t="shared" ref="V22" si="53">IF(P22="","",IF(OR(MONTH(U22)=1,MONTH(U22)=3,MONTH(U22)=5,MONTH(U22)=7,MONTH(U22)=8,MONTH(U22)=10,MONTH(U22)=12),31,IF(OR(MONTH(U22)=4,MONTH(U22)=6,MONTH(U22)=9,MONTH(U22)=11),30,IF(AND(YEAR(U22)=2020,MONTH(U22)=2),29,IF(AND(YEAR(U22)=2024,MONTH(U22)=2),29,28)))))</f>
        <v/>
      </c>
      <c r="W22" s="677" t="str">
        <f t="shared" ref="W22" si="54">IF(P22="","",EOMONTH(U22,-1)+1)</f>
        <v/>
      </c>
      <c r="X22" s="676" t="str">
        <f t="shared" ref="X22" si="55">IF(P22="","",U22-W22+1)</f>
        <v/>
      </c>
      <c r="Y22" s="678" t="str">
        <f t="shared" ref="Y22" si="56">IF(P22="","",IF(U22=EOMONTH(U22,0),1,0))</f>
        <v/>
      </c>
      <c r="Z22" s="675" t="str">
        <f>IF(P22="","",IF($L$2="","",$L$2))</f>
        <v/>
      </c>
      <c r="AA22" s="676" t="str">
        <f t="shared" ref="AA22" si="57">IF(P22="","",IF(OR(MONTH(Z22)=1,MONTH(Z22)=3,MONTH(Z22)=5,MONTH(Z22)=7,MONTH(Z22)=8,MONTH(Z22)=10,MONTH(Z22)=12),31,IF(OR(MONTH(Z22)=4,MONTH(Z22)=6,MONTH(Z22)=9,MONTH(Z22)=11),30,IF(AND(YEAR(Z22)=2020,MONTH(Z22)=2),29,IF(AND(YEAR(Z22)=2024,MONTH(Z22)=2),29,28)))))</f>
        <v/>
      </c>
      <c r="AB22" s="677" t="str">
        <f>IF(P22="","",IF($L$2="","",EOMONTH(Z22,0)))</f>
        <v/>
      </c>
      <c r="AC22" s="679" t="str">
        <f>IF(P22="","",IF($L$2="","",AB22-Z22)+1)</f>
        <v/>
      </c>
      <c r="AD22" s="680" t="str">
        <f t="shared" ref="AD22" si="58">IF(P22="","",IF(DAY(Z22)=1,1,0))</f>
        <v/>
      </c>
      <c r="AE22" s="681" t="str">
        <f t="shared" ref="AE22" si="59">IF(P22="","",IF(B22="お買い上げ型","無",IF(U22&lt;Z22,"無","有")))</f>
        <v/>
      </c>
      <c r="AF22" s="682" t="str">
        <f t="shared" ref="AF22" si="60">IF(P22="","",IF(AE22="無","",DATEDIF(Z22,U22,"y")))</f>
        <v/>
      </c>
      <c r="AG22" s="683" t="str">
        <f t="shared" ref="AG22" si="61">IF(P22="","",IF(AE22="無","",IF(YEAR(U22)&amp;MONTH(U22)=YEAR(Z22)&amp;MONTH(Z22),0,DATEDIF(Z22,U22,"m")-(12*AF22)+Y22+AD22-IF((DAY(Z22)-DAY(U22))&lt;=0,1,0))))</f>
        <v/>
      </c>
      <c r="AH22" s="683" t="str">
        <f t="shared" ref="AH22" si="62">IF(P22="","",IF(AE22="無","",IF(YEAR(U22)&amp;MONTH(U22)=YEAR(Z22)&amp;MONTH(Z22),AC22,IF(V22=X22,0,X22)+IF(AA22=AC22,0,AC22))))</f>
        <v/>
      </c>
      <c r="AI22" s="684" t="str">
        <f t="shared" ref="AI22" si="63">IF(P22="","",AF22&amp;"年"&amp;AG22&amp;"か月"&amp;AH22&amp;"日")</f>
        <v/>
      </c>
      <c r="AJ22" s="685" t="str">
        <f t="shared" ref="AJ22" si="64">IF(P22="","",IF(AE22="無",0,IF(YEAR(U22)&amp;MONTH(U22)=YEAR(Z22)&amp;MONTH(Z22),ROUNDDOWN(C22*AH22/V22,0),ROUNDDOWN(C22*IF(V22=X22,0,X22)/V22,0)+ROUNDDOWN(C22*IF(AA22=AC22,0,AC22)/AA22,0))))</f>
        <v/>
      </c>
      <c r="AK22" s="686" t="str">
        <f t="shared" ref="AK22" si="65">IF(P22="","",IF(AE22="無",0,ROUNDDOWN((C22*AG22)+(C22*AF22*12),0)))</f>
        <v/>
      </c>
      <c r="AL22" s="685" t="str">
        <f t="shared" ref="AL22" si="66">IF(P22="","",AJ22+AK22)</f>
        <v/>
      </c>
      <c r="AM22" s="685" t="str">
        <f t="shared" ref="AM22" si="67">IF(P22="","",IF(COUNTIF(B22,"LAN*")=1,AJ22+AK22,IF(AJ22+AK22&gt;=10000,10000,AJ22+AK22)))</f>
        <v/>
      </c>
      <c r="AS22" s="638">
        <v>16</v>
      </c>
      <c r="AT22" s="638">
        <v>16</v>
      </c>
      <c r="AV22" s="637"/>
      <c r="AW22" s="637"/>
      <c r="AX22" s="637"/>
      <c r="AY22" s="637"/>
      <c r="AZ22" s="637"/>
      <c r="BA22" s="637"/>
      <c r="BB22" s="637"/>
      <c r="BC22" s="637"/>
      <c r="BD22" s="637"/>
      <c r="BE22" s="637"/>
      <c r="BF22" s="637"/>
      <c r="BG22" s="637"/>
    </row>
    <row r="23" spans="1:59" ht="18" customHeight="1" x14ac:dyDescent="0.45">
      <c r="A23" s="672"/>
      <c r="B23" s="662"/>
      <c r="C23" s="662"/>
      <c r="D23" s="662"/>
      <c r="E23" s="662"/>
      <c r="F23" s="662"/>
      <c r="G23" s="662"/>
      <c r="H23" s="662"/>
      <c r="I23" s="662"/>
      <c r="J23" s="662"/>
      <c r="K23" s="662"/>
      <c r="L23" s="662"/>
      <c r="M23" s="662"/>
      <c r="N23" s="662"/>
      <c r="O23" s="637"/>
      <c r="AE23" s="689"/>
      <c r="AF23" s="689"/>
      <c r="AG23" s="689"/>
      <c r="AH23" s="689"/>
      <c r="AI23" s="689"/>
      <c r="AS23" s="638">
        <v>17</v>
      </c>
      <c r="AT23" s="638">
        <v>17</v>
      </c>
      <c r="AV23" s="637"/>
      <c r="AW23" s="637"/>
      <c r="AX23" s="637"/>
      <c r="AY23" s="637"/>
      <c r="AZ23" s="637"/>
      <c r="BA23" s="637"/>
      <c r="BB23" s="637"/>
      <c r="BC23" s="637"/>
      <c r="BD23" s="637"/>
      <c r="BE23" s="637"/>
      <c r="BF23" s="637"/>
      <c r="BG23" s="637"/>
    </row>
    <row r="24" spans="1:59" ht="20.100000000000001" customHeight="1" x14ac:dyDescent="0.45">
      <c r="A24" s="659">
        <v>7</v>
      </c>
      <c r="B24" s="660" t="s">
        <v>300</v>
      </c>
      <c r="C24" s="661"/>
      <c r="D24" s="662"/>
      <c r="E24" s="663" t="s">
        <v>301</v>
      </c>
      <c r="F24" s="663"/>
      <c r="G24" s="663"/>
      <c r="H24" s="663"/>
      <c r="I24" s="663"/>
      <c r="J24" s="663"/>
      <c r="K24" s="662"/>
      <c r="L24" s="660" t="s">
        <v>302</v>
      </c>
      <c r="M24" s="662"/>
      <c r="N24" s="660" t="s">
        <v>298</v>
      </c>
      <c r="O24" s="637"/>
      <c r="P24" s="664" t="s">
        <v>293</v>
      </c>
      <c r="Q24" s="665" t="s">
        <v>303</v>
      </c>
      <c r="R24" s="666" t="s">
        <v>304</v>
      </c>
      <c r="S24" s="667" t="s">
        <v>305</v>
      </c>
      <c r="T24" s="668" t="s">
        <v>306</v>
      </c>
      <c r="U24" s="664" t="s">
        <v>307</v>
      </c>
      <c r="V24" s="665" t="s">
        <v>303</v>
      </c>
      <c r="W24" s="666" t="s">
        <v>304</v>
      </c>
      <c r="X24" s="667" t="s">
        <v>308</v>
      </c>
      <c r="Y24" s="668" t="s">
        <v>306</v>
      </c>
      <c r="Z24" s="664" t="s">
        <v>295</v>
      </c>
      <c r="AA24" s="665" t="s">
        <v>303</v>
      </c>
      <c r="AB24" s="666" t="s">
        <v>304</v>
      </c>
      <c r="AC24" s="667" t="s">
        <v>308</v>
      </c>
      <c r="AD24" s="668" t="s">
        <v>306</v>
      </c>
      <c r="AE24" s="669" t="s">
        <v>309</v>
      </c>
      <c r="AF24" s="664" t="s">
        <v>310</v>
      </c>
      <c r="AG24" s="667" t="s">
        <v>311</v>
      </c>
      <c r="AH24" s="667" t="s">
        <v>312</v>
      </c>
      <c r="AI24" s="668" t="s">
        <v>297</v>
      </c>
      <c r="AJ24" s="670" t="s">
        <v>313</v>
      </c>
      <c r="AK24" s="670" t="s">
        <v>314</v>
      </c>
      <c r="AL24" s="670" t="s">
        <v>315</v>
      </c>
      <c r="AM24" s="670" t="s">
        <v>316</v>
      </c>
      <c r="AS24" s="638">
        <v>18</v>
      </c>
      <c r="AT24" s="638">
        <v>18</v>
      </c>
      <c r="AV24" s="637"/>
      <c r="AW24" s="637"/>
      <c r="AX24" s="637"/>
      <c r="AY24" s="637"/>
      <c r="AZ24" s="637"/>
      <c r="BA24" s="637"/>
      <c r="BB24" s="637"/>
      <c r="BC24" s="637"/>
      <c r="BD24" s="637"/>
      <c r="BE24" s="637"/>
      <c r="BF24" s="637"/>
      <c r="BG24" s="637"/>
    </row>
    <row r="25" spans="1:59" ht="20.100000000000001" customHeight="1" x14ac:dyDescent="0.45">
      <c r="A25" s="659"/>
      <c r="B25" s="671"/>
      <c r="C25" s="672" t="str">
        <f>IF(B25="","",VLOOKUP(B25,$AO$7:$AP$12,2,))</f>
        <v/>
      </c>
      <c r="D25" s="662"/>
      <c r="E25" s="671"/>
      <c r="F25" s="660" t="s">
        <v>24</v>
      </c>
      <c r="G25" s="673"/>
      <c r="H25" s="660" t="s">
        <v>320</v>
      </c>
      <c r="I25" s="673"/>
      <c r="J25" s="660" t="s">
        <v>317</v>
      </c>
      <c r="K25" s="662"/>
      <c r="L25" s="671"/>
      <c r="M25" s="662"/>
      <c r="N25" s="674" t="str">
        <f t="shared" si="19"/>
        <v/>
      </c>
      <c r="O25" s="637"/>
      <c r="P25" s="675" t="str">
        <f>IF(OR(E25="",G25="",I25=""),"",DATE(E25,G25,I25))</f>
        <v/>
      </c>
      <c r="Q25" s="676" t="str">
        <f>IF(P25="","",IF(OR(G25=1,G25=3,G25=5,G25=7,G25=8,G25=10,G25=12),31,IF(OR(G25=4,G25=6,G25=9,G25=11),30,IF(AND(E25=2020,G25=2),29,IF(AND(E25=2024,G25=2),29,28)))))</f>
        <v/>
      </c>
      <c r="R25" s="677" t="str">
        <f>IF(P25="","",EOMONTH(P25,0))</f>
        <v/>
      </c>
      <c r="S25" s="676" t="str">
        <f>IF(P25="","",R25-P25+1)</f>
        <v/>
      </c>
      <c r="T25" s="678" t="str">
        <f>IF(P25="","",IF(I25=1,1,0))</f>
        <v/>
      </c>
      <c r="U25" s="675" t="str">
        <f t="shared" ref="U25" si="68">IF(P25="","",IF(B25="LAN給電5年",DATE(YEAR(P25)+5,MONTH(P25),DAY(P25)-1),DATE(YEAR(P25)+2,MONTH(P25),DAY(P25)-1)))</f>
        <v/>
      </c>
      <c r="V25" s="676" t="str">
        <f t="shared" ref="V25" si="69">IF(P25="","",IF(OR(MONTH(U25)=1,MONTH(U25)=3,MONTH(U25)=5,MONTH(U25)=7,MONTH(U25)=8,MONTH(U25)=10,MONTH(U25)=12),31,IF(OR(MONTH(U25)=4,MONTH(U25)=6,MONTH(U25)=9,MONTH(U25)=11),30,IF(AND(YEAR(U25)=2020,MONTH(U25)=2),29,IF(AND(YEAR(U25)=2024,MONTH(U25)=2),29,28)))))</f>
        <v/>
      </c>
      <c r="W25" s="677" t="str">
        <f t="shared" ref="W25" si="70">IF(P25="","",EOMONTH(U25,-1)+1)</f>
        <v/>
      </c>
      <c r="X25" s="676" t="str">
        <f t="shared" ref="X25" si="71">IF(P25="","",U25-W25+1)</f>
        <v/>
      </c>
      <c r="Y25" s="678" t="str">
        <f t="shared" ref="Y25" si="72">IF(P25="","",IF(U25=EOMONTH(U25,0),1,0))</f>
        <v/>
      </c>
      <c r="Z25" s="675" t="str">
        <f>IF(P25="","",IF($L$2="","",$L$2))</f>
        <v/>
      </c>
      <c r="AA25" s="676" t="str">
        <f t="shared" ref="AA25" si="73">IF(P25="","",IF(OR(MONTH(Z25)=1,MONTH(Z25)=3,MONTH(Z25)=5,MONTH(Z25)=7,MONTH(Z25)=8,MONTH(Z25)=10,MONTH(Z25)=12),31,IF(OR(MONTH(Z25)=4,MONTH(Z25)=6,MONTH(Z25)=9,MONTH(Z25)=11),30,IF(AND(YEAR(Z25)=2020,MONTH(Z25)=2),29,IF(AND(YEAR(Z25)=2024,MONTH(Z25)=2),29,28)))))</f>
        <v/>
      </c>
      <c r="AB25" s="677" t="str">
        <f>IF(P25="","",IF($L$2="","",EOMONTH(Z25,0)))</f>
        <v/>
      </c>
      <c r="AC25" s="679" t="str">
        <f>IF(P25="","",IF($L$2="","",AB25-Z25)+1)</f>
        <v/>
      </c>
      <c r="AD25" s="680" t="str">
        <f t="shared" ref="AD25" si="74">IF(P25="","",IF(DAY(Z25)=1,1,0))</f>
        <v/>
      </c>
      <c r="AE25" s="681" t="str">
        <f t="shared" ref="AE25" si="75">IF(P25="","",IF(B25="お買い上げ型","無",IF(U25&lt;Z25,"無","有")))</f>
        <v/>
      </c>
      <c r="AF25" s="682" t="str">
        <f t="shared" ref="AF25" si="76">IF(P25="","",IF(AE25="無","",DATEDIF(Z25,U25,"y")))</f>
        <v/>
      </c>
      <c r="AG25" s="683" t="str">
        <f t="shared" ref="AG25" si="77">IF(P25="","",IF(AE25="無","",IF(YEAR(U25)&amp;MONTH(U25)=YEAR(Z25)&amp;MONTH(Z25),0,DATEDIF(Z25,U25,"m")-(12*AF25)+Y25+AD25-IF((DAY(Z25)-DAY(U25))&lt;=0,1,0))))</f>
        <v/>
      </c>
      <c r="AH25" s="683" t="str">
        <f t="shared" ref="AH25" si="78">IF(P25="","",IF(AE25="無","",IF(YEAR(U25)&amp;MONTH(U25)=YEAR(Z25)&amp;MONTH(Z25),AC25,IF(V25=X25,0,X25)+IF(AA25=AC25,0,AC25))))</f>
        <v/>
      </c>
      <c r="AI25" s="684" t="str">
        <f t="shared" ref="AI25" si="79">IF(P25="","",AF25&amp;"年"&amp;AG25&amp;"か月"&amp;AH25&amp;"日")</f>
        <v/>
      </c>
      <c r="AJ25" s="685" t="str">
        <f t="shared" ref="AJ25" si="80">IF(P25="","",IF(AE25="無",0,IF(YEAR(U25)&amp;MONTH(U25)=YEAR(Z25)&amp;MONTH(Z25),ROUNDDOWN(C25*AH25/V25,0),ROUNDDOWN(C25*IF(V25=X25,0,X25)/V25,0)+ROUNDDOWN(C25*IF(AA25=AC25,0,AC25)/AA25,0))))</f>
        <v/>
      </c>
      <c r="AK25" s="686" t="str">
        <f t="shared" ref="AK25" si="81">IF(P25="","",IF(AE25="無",0,ROUNDDOWN((C25*AG25)+(C25*AF25*12),0)))</f>
        <v/>
      </c>
      <c r="AL25" s="685" t="str">
        <f t="shared" ref="AL25" si="82">IF(P25="","",AJ25+AK25)</f>
        <v/>
      </c>
      <c r="AM25" s="685" t="str">
        <f t="shared" ref="AM25" si="83">IF(P25="","",IF(COUNTIF(B25,"LAN*")=1,AJ25+AK25,IF(AJ25+AK25&gt;=10000,10000,AJ25+AK25)))</f>
        <v/>
      </c>
      <c r="AS25" s="638">
        <v>19</v>
      </c>
      <c r="AT25" s="638">
        <v>19</v>
      </c>
      <c r="AV25" s="637"/>
      <c r="AW25" s="637"/>
      <c r="AX25" s="637"/>
      <c r="AY25" s="637"/>
      <c r="AZ25" s="637"/>
      <c r="BA25" s="637"/>
      <c r="BB25" s="637"/>
      <c r="BC25" s="637"/>
      <c r="BD25" s="637"/>
      <c r="BE25" s="637"/>
      <c r="BF25" s="637"/>
      <c r="BG25" s="637"/>
    </row>
    <row r="26" spans="1:59" ht="18" customHeight="1" x14ac:dyDescent="0.45">
      <c r="A26" s="672"/>
      <c r="B26" s="662"/>
      <c r="C26" s="662"/>
      <c r="D26" s="662"/>
      <c r="E26" s="662"/>
      <c r="F26" s="662"/>
      <c r="G26" s="662"/>
      <c r="H26" s="662"/>
      <c r="I26" s="662"/>
      <c r="J26" s="662"/>
      <c r="K26" s="662"/>
      <c r="L26" s="662"/>
      <c r="M26" s="662"/>
      <c r="N26" s="662"/>
      <c r="O26" s="637"/>
      <c r="AE26" s="689"/>
      <c r="AF26" s="689"/>
      <c r="AG26" s="689"/>
      <c r="AH26" s="689"/>
      <c r="AI26" s="689"/>
      <c r="AS26" s="638">
        <v>20</v>
      </c>
      <c r="AT26" s="638">
        <v>20</v>
      </c>
      <c r="AV26" s="637"/>
      <c r="AW26" s="637"/>
      <c r="AX26" s="637"/>
      <c r="AY26" s="637" t="s">
        <v>331</v>
      </c>
      <c r="AZ26" s="637"/>
      <c r="BA26" s="637"/>
      <c r="BB26" s="637"/>
      <c r="BC26" s="637"/>
      <c r="BD26" s="637"/>
      <c r="BE26" s="637"/>
      <c r="BF26" s="637"/>
      <c r="BG26" s="637"/>
    </row>
    <row r="27" spans="1:59" ht="20.100000000000001" customHeight="1" x14ac:dyDescent="0.45">
      <c r="A27" s="659">
        <v>8</v>
      </c>
      <c r="B27" s="660" t="s">
        <v>300</v>
      </c>
      <c r="C27" s="661"/>
      <c r="D27" s="662"/>
      <c r="E27" s="663" t="s">
        <v>301</v>
      </c>
      <c r="F27" s="663"/>
      <c r="G27" s="663"/>
      <c r="H27" s="663"/>
      <c r="I27" s="663"/>
      <c r="J27" s="663"/>
      <c r="K27" s="662"/>
      <c r="L27" s="660" t="s">
        <v>302</v>
      </c>
      <c r="M27" s="662"/>
      <c r="N27" s="660" t="s">
        <v>298</v>
      </c>
      <c r="O27" s="637"/>
      <c r="P27" s="664" t="s">
        <v>293</v>
      </c>
      <c r="Q27" s="665" t="s">
        <v>303</v>
      </c>
      <c r="R27" s="666" t="s">
        <v>304</v>
      </c>
      <c r="S27" s="667" t="s">
        <v>305</v>
      </c>
      <c r="T27" s="668" t="s">
        <v>306</v>
      </c>
      <c r="U27" s="664" t="s">
        <v>307</v>
      </c>
      <c r="V27" s="665" t="s">
        <v>303</v>
      </c>
      <c r="W27" s="666" t="s">
        <v>304</v>
      </c>
      <c r="X27" s="667" t="s">
        <v>308</v>
      </c>
      <c r="Y27" s="668" t="s">
        <v>306</v>
      </c>
      <c r="Z27" s="664" t="s">
        <v>295</v>
      </c>
      <c r="AA27" s="665" t="s">
        <v>303</v>
      </c>
      <c r="AB27" s="666" t="s">
        <v>304</v>
      </c>
      <c r="AC27" s="667" t="s">
        <v>308</v>
      </c>
      <c r="AD27" s="668" t="s">
        <v>306</v>
      </c>
      <c r="AE27" s="669" t="s">
        <v>309</v>
      </c>
      <c r="AF27" s="664" t="s">
        <v>310</v>
      </c>
      <c r="AG27" s="667" t="s">
        <v>311</v>
      </c>
      <c r="AH27" s="667" t="s">
        <v>312</v>
      </c>
      <c r="AI27" s="668" t="s">
        <v>297</v>
      </c>
      <c r="AJ27" s="670" t="s">
        <v>313</v>
      </c>
      <c r="AK27" s="670" t="s">
        <v>314</v>
      </c>
      <c r="AL27" s="670" t="s">
        <v>315</v>
      </c>
      <c r="AM27" s="670" t="s">
        <v>316</v>
      </c>
      <c r="AS27" s="638">
        <v>21</v>
      </c>
      <c r="AT27" s="638">
        <v>21</v>
      </c>
      <c r="AV27" s="637"/>
      <c r="AW27" s="637"/>
      <c r="AX27" s="637"/>
      <c r="AY27" s="637" t="s">
        <v>332</v>
      </c>
      <c r="AZ27" s="637"/>
      <c r="BA27" s="637"/>
      <c r="BB27" s="637"/>
      <c r="BC27" s="637"/>
      <c r="BD27" s="637"/>
      <c r="BE27" s="637"/>
      <c r="BF27" s="637"/>
      <c r="BG27" s="637"/>
    </row>
    <row r="28" spans="1:59" ht="20.100000000000001" customHeight="1" x14ac:dyDescent="0.45">
      <c r="A28" s="659"/>
      <c r="B28" s="671"/>
      <c r="C28" s="672" t="str">
        <f>IF(B28="","",VLOOKUP(B28,$AO$7:$AP$12,2,))</f>
        <v/>
      </c>
      <c r="D28" s="662"/>
      <c r="E28" s="671"/>
      <c r="F28" s="660" t="s">
        <v>24</v>
      </c>
      <c r="G28" s="673"/>
      <c r="H28" s="660" t="s">
        <v>320</v>
      </c>
      <c r="I28" s="673"/>
      <c r="J28" s="660" t="s">
        <v>317</v>
      </c>
      <c r="K28" s="662"/>
      <c r="L28" s="671"/>
      <c r="M28" s="662"/>
      <c r="N28" s="674" t="str">
        <f t="shared" si="19"/>
        <v/>
      </c>
      <c r="O28" s="637"/>
      <c r="P28" s="675" t="str">
        <f>IF(OR(E28="",G28="",I28=""),"",DATE(E28,G28,I28))</f>
        <v/>
      </c>
      <c r="Q28" s="676" t="str">
        <f>IF(P28="","",IF(OR(G28=1,G28=3,G28=5,G28=7,G28=8,G28=10,G28=12),31,IF(OR(G28=4,G28=6,G28=9,G28=11),30,IF(AND(E28=2020,G28=2),29,IF(AND(E28=2024,G28=2),29,28)))))</f>
        <v/>
      </c>
      <c r="R28" s="677" t="str">
        <f>IF(P28="","",EOMONTH(P28,0))</f>
        <v/>
      </c>
      <c r="S28" s="676" t="str">
        <f>IF(P28="","",R28-P28+1)</f>
        <v/>
      </c>
      <c r="T28" s="678" t="str">
        <f>IF(P28="","",IF(I28=1,1,0))</f>
        <v/>
      </c>
      <c r="U28" s="675" t="str">
        <f t="shared" ref="U28" si="84">IF(P28="","",IF(B28="LAN給電5年",DATE(YEAR(P28)+5,MONTH(P28),DAY(P28)-1),DATE(YEAR(P28)+2,MONTH(P28),DAY(P28)-1)))</f>
        <v/>
      </c>
      <c r="V28" s="676" t="str">
        <f t="shared" ref="V28" si="85">IF(P28="","",IF(OR(MONTH(U28)=1,MONTH(U28)=3,MONTH(U28)=5,MONTH(U28)=7,MONTH(U28)=8,MONTH(U28)=10,MONTH(U28)=12),31,IF(OR(MONTH(U28)=4,MONTH(U28)=6,MONTH(U28)=9,MONTH(U28)=11),30,IF(AND(YEAR(U28)=2020,MONTH(U28)=2),29,IF(AND(YEAR(U28)=2024,MONTH(U28)=2),29,28)))))</f>
        <v/>
      </c>
      <c r="W28" s="677" t="str">
        <f t="shared" ref="W28" si="86">IF(P28="","",EOMONTH(U28,-1)+1)</f>
        <v/>
      </c>
      <c r="X28" s="676" t="str">
        <f t="shared" ref="X28" si="87">IF(P28="","",U28-W28+1)</f>
        <v/>
      </c>
      <c r="Y28" s="678" t="str">
        <f t="shared" ref="Y28" si="88">IF(P28="","",IF(U28=EOMONTH(U28,0),1,0))</f>
        <v/>
      </c>
      <c r="Z28" s="675" t="str">
        <f>IF(P28="","",IF($L$2="","",$L$2))</f>
        <v/>
      </c>
      <c r="AA28" s="676" t="str">
        <f t="shared" ref="AA28" si="89">IF(P28="","",IF(OR(MONTH(Z28)=1,MONTH(Z28)=3,MONTH(Z28)=5,MONTH(Z28)=7,MONTH(Z28)=8,MONTH(Z28)=10,MONTH(Z28)=12),31,IF(OR(MONTH(Z28)=4,MONTH(Z28)=6,MONTH(Z28)=9,MONTH(Z28)=11),30,IF(AND(YEAR(Z28)=2020,MONTH(Z28)=2),29,IF(AND(YEAR(Z28)=2024,MONTH(Z28)=2),29,28)))))</f>
        <v/>
      </c>
      <c r="AB28" s="677" t="str">
        <f>IF(P28="","",IF($L$2="","",EOMONTH(Z28,0)))</f>
        <v/>
      </c>
      <c r="AC28" s="679" t="str">
        <f>IF(P28="","",IF($L$2="","",AB28-Z28)+1)</f>
        <v/>
      </c>
      <c r="AD28" s="680" t="str">
        <f t="shared" ref="AD28" si="90">IF(P28="","",IF(DAY(Z28)=1,1,0))</f>
        <v/>
      </c>
      <c r="AE28" s="681" t="str">
        <f t="shared" ref="AE28" si="91">IF(P28="","",IF(B28="お買い上げ型","無",IF(U28&lt;Z28,"無","有")))</f>
        <v/>
      </c>
      <c r="AF28" s="682" t="str">
        <f t="shared" ref="AF28" si="92">IF(P28="","",IF(AE28="無","",DATEDIF(Z28,U28,"y")))</f>
        <v/>
      </c>
      <c r="AG28" s="683" t="str">
        <f t="shared" ref="AG28" si="93">IF(P28="","",IF(AE28="無","",IF(YEAR(U28)&amp;MONTH(U28)=YEAR(Z28)&amp;MONTH(Z28),0,DATEDIF(Z28,U28,"m")-(12*AF28)+Y28+AD28-IF((DAY(Z28)-DAY(U28))&lt;=0,1,0))))</f>
        <v/>
      </c>
      <c r="AH28" s="683" t="str">
        <f t="shared" ref="AH28" si="94">IF(P28="","",IF(AE28="無","",IF(YEAR(U28)&amp;MONTH(U28)=YEAR(Z28)&amp;MONTH(Z28),AC28,IF(V28=X28,0,X28)+IF(AA28=AC28,0,AC28))))</f>
        <v/>
      </c>
      <c r="AI28" s="684" t="str">
        <f t="shared" ref="AI28" si="95">IF(P28="","",AF28&amp;"年"&amp;AG28&amp;"か月"&amp;AH28&amp;"日")</f>
        <v/>
      </c>
      <c r="AJ28" s="685" t="str">
        <f t="shared" ref="AJ28" si="96">IF(P28="","",IF(AE28="無",0,IF(YEAR(U28)&amp;MONTH(U28)=YEAR(Z28)&amp;MONTH(Z28),ROUNDDOWN(C28*AH28/V28,0),ROUNDDOWN(C28*IF(V28=X28,0,X28)/V28,0)+ROUNDDOWN(C28*IF(AA28=AC28,0,AC28)/AA28,0))))</f>
        <v/>
      </c>
      <c r="AK28" s="686" t="str">
        <f t="shared" ref="AK28" si="97">IF(P28="","",IF(AE28="無",0,ROUNDDOWN((C28*AG28)+(C28*AF28*12),0)))</f>
        <v/>
      </c>
      <c r="AL28" s="685" t="str">
        <f t="shared" ref="AL28" si="98">IF(P28="","",AJ28+AK28)</f>
        <v/>
      </c>
      <c r="AM28" s="685" t="str">
        <f t="shared" ref="AM28" si="99">IF(P28="","",IF(COUNTIF(B28,"LAN*")=1,AJ28+AK28,IF(AJ28+AK28&gt;=10000,10000,AJ28+AK28)))</f>
        <v/>
      </c>
      <c r="AS28" s="638">
        <v>22</v>
      </c>
      <c r="AT28" s="638">
        <v>22</v>
      </c>
      <c r="AV28" s="637"/>
      <c r="AW28" s="637"/>
      <c r="AX28" s="637"/>
      <c r="AY28" s="637"/>
      <c r="AZ28" s="637"/>
      <c r="BA28" s="637"/>
      <c r="BB28" s="637"/>
      <c r="BC28" s="637"/>
      <c r="BD28" s="637"/>
      <c r="BE28" s="637"/>
      <c r="BF28" s="637"/>
      <c r="BG28" s="637"/>
    </row>
    <row r="29" spans="1:59" ht="18" customHeight="1" x14ac:dyDescent="0.45">
      <c r="A29" s="672"/>
      <c r="B29" s="662"/>
      <c r="C29" s="662"/>
      <c r="D29" s="662"/>
      <c r="E29" s="662"/>
      <c r="F29" s="662"/>
      <c r="G29" s="662"/>
      <c r="H29" s="662"/>
      <c r="I29" s="662"/>
      <c r="J29" s="662"/>
      <c r="K29" s="662"/>
      <c r="L29" s="662"/>
      <c r="M29" s="662"/>
      <c r="N29" s="662"/>
      <c r="O29" s="637"/>
      <c r="AE29" s="689"/>
      <c r="AF29" s="689"/>
      <c r="AG29" s="689"/>
      <c r="AH29" s="689"/>
      <c r="AI29" s="689"/>
      <c r="AS29" s="638">
        <v>23</v>
      </c>
      <c r="AT29" s="638">
        <v>23</v>
      </c>
      <c r="AV29" s="637"/>
      <c r="AW29" s="637"/>
      <c r="AX29" s="637"/>
      <c r="AY29" s="637"/>
      <c r="AZ29" s="637"/>
      <c r="BA29" s="637"/>
      <c r="BB29" s="637"/>
      <c r="BC29" s="637"/>
      <c r="BD29" s="637"/>
      <c r="BE29" s="637"/>
      <c r="BF29" s="637"/>
      <c r="BG29" s="637"/>
    </row>
    <row r="30" spans="1:59" ht="20.100000000000001" customHeight="1" x14ac:dyDescent="0.45">
      <c r="A30" s="659">
        <v>9</v>
      </c>
      <c r="B30" s="660" t="s">
        <v>300</v>
      </c>
      <c r="C30" s="661"/>
      <c r="D30" s="662"/>
      <c r="E30" s="663" t="s">
        <v>301</v>
      </c>
      <c r="F30" s="663"/>
      <c r="G30" s="663"/>
      <c r="H30" s="663"/>
      <c r="I30" s="663"/>
      <c r="J30" s="663"/>
      <c r="K30" s="662"/>
      <c r="L30" s="660" t="s">
        <v>302</v>
      </c>
      <c r="M30" s="662"/>
      <c r="N30" s="660" t="s">
        <v>298</v>
      </c>
      <c r="O30" s="637"/>
      <c r="P30" s="664" t="s">
        <v>293</v>
      </c>
      <c r="Q30" s="665" t="s">
        <v>303</v>
      </c>
      <c r="R30" s="666" t="s">
        <v>304</v>
      </c>
      <c r="S30" s="667" t="s">
        <v>305</v>
      </c>
      <c r="T30" s="668" t="s">
        <v>306</v>
      </c>
      <c r="U30" s="664" t="s">
        <v>307</v>
      </c>
      <c r="V30" s="665" t="s">
        <v>303</v>
      </c>
      <c r="W30" s="666" t="s">
        <v>304</v>
      </c>
      <c r="X30" s="667" t="s">
        <v>308</v>
      </c>
      <c r="Y30" s="668" t="s">
        <v>306</v>
      </c>
      <c r="Z30" s="664" t="s">
        <v>295</v>
      </c>
      <c r="AA30" s="665" t="s">
        <v>303</v>
      </c>
      <c r="AB30" s="666" t="s">
        <v>304</v>
      </c>
      <c r="AC30" s="667" t="s">
        <v>308</v>
      </c>
      <c r="AD30" s="668" t="s">
        <v>306</v>
      </c>
      <c r="AE30" s="669" t="s">
        <v>309</v>
      </c>
      <c r="AF30" s="664" t="s">
        <v>310</v>
      </c>
      <c r="AG30" s="667" t="s">
        <v>311</v>
      </c>
      <c r="AH30" s="667" t="s">
        <v>312</v>
      </c>
      <c r="AI30" s="668" t="s">
        <v>297</v>
      </c>
      <c r="AJ30" s="670" t="s">
        <v>313</v>
      </c>
      <c r="AK30" s="670" t="s">
        <v>314</v>
      </c>
      <c r="AL30" s="670" t="s">
        <v>315</v>
      </c>
      <c r="AM30" s="670" t="s">
        <v>316</v>
      </c>
      <c r="AS30" s="638">
        <v>24</v>
      </c>
      <c r="AT30" s="638">
        <v>24</v>
      </c>
      <c r="AV30" s="637"/>
      <c r="AW30" s="637"/>
      <c r="AX30" s="637"/>
      <c r="AY30" s="637"/>
      <c r="AZ30" s="637"/>
      <c r="BA30" s="637"/>
      <c r="BB30" s="637"/>
      <c r="BC30" s="637"/>
      <c r="BD30" s="637"/>
      <c r="BE30" s="637"/>
      <c r="BF30" s="637"/>
      <c r="BG30" s="637"/>
    </row>
    <row r="31" spans="1:59" ht="20.100000000000001" customHeight="1" x14ac:dyDescent="0.45">
      <c r="A31" s="659"/>
      <c r="B31" s="671"/>
      <c r="C31" s="672" t="str">
        <f>IF(B31="","",VLOOKUP(B31,$AO$7:$AP$12,2,))</f>
        <v/>
      </c>
      <c r="D31" s="662"/>
      <c r="E31" s="671"/>
      <c r="F31" s="660" t="s">
        <v>24</v>
      </c>
      <c r="G31" s="673"/>
      <c r="H31" s="660" t="s">
        <v>320</v>
      </c>
      <c r="I31" s="673"/>
      <c r="J31" s="660" t="s">
        <v>317</v>
      </c>
      <c r="K31" s="662"/>
      <c r="L31" s="671"/>
      <c r="M31" s="662"/>
      <c r="N31" s="674" t="str">
        <f t="shared" si="19"/>
        <v/>
      </c>
      <c r="O31" s="637"/>
      <c r="P31" s="675" t="str">
        <f>IF(OR(E31="",G31="",I31=""),"",DATE(E31,G31,I31))</f>
        <v/>
      </c>
      <c r="Q31" s="676" t="str">
        <f>IF(P31="","",IF(OR(G31=1,G31=3,G31=5,G31=7,G31=8,G31=10,G31=12),31,IF(OR(G31=4,G31=6,G31=9,G31=11),30,IF(AND(E31=2020,G31=2),29,IF(AND(E31=2024,G31=2),29,28)))))</f>
        <v/>
      </c>
      <c r="R31" s="677" t="str">
        <f>IF(P31="","",EOMONTH(P31,0))</f>
        <v/>
      </c>
      <c r="S31" s="676" t="str">
        <f>IF(P31="","",R31-P31+1)</f>
        <v/>
      </c>
      <c r="T31" s="678" t="str">
        <f>IF(P31="","",IF(I31=1,1,0))</f>
        <v/>
      </c>
      <c r="U31" s="675" t="str">
        <f t="shared" ref="U31" si="100">IF(P31="","",IF(B31="LAN給電5年",DATE(YEAR(P31)+5,MONTH(P31),DAY(P31)-1),DATE(YEAR(P31)+2,MONTH(P31),DAY(P31)-1)))</f>
        <v/>
      </c>
      <c r="V31" s="676" t="str">
        <f t="shared" ref="V31" si="101">IF(P31="","",IF(OR(MONTH(U31)=1,MONTH(U31)=3,MONTH(U31)=5,MONTH(U31)=7,MONTH(U31)=8,MONTH(U31)=10,MONTH(U31)=12),31,IF(OR(MONTH(U31)=4,MONTH(U31)=6,MONTH(U31)=9,MONTH(U31)=11),30,IF(AND(YEAR(U31)=2020,MONTH(U31)=2),29,IF(AND(YEAR(U31)=2024,MONTH(U31)=2),29,28)))))</f>
        <v/>
      </c>
      <c r="W31" s="677" t="str">
        <f t="shared" ref="W31" si="102">IF(P31="","",EOMONTH(U31,-1)+1)</f>
        <v/>
      </c>
      <c r="X31" s="676" t="str">
        <f t="shared" ref="X31" si="103">IF(P31="","",U31-W31+1)</f>
        <v/>
      </c>
      <c r="Y31" s="678" t="str">
        <f t="shared" ref="Y31" si="104">IF(P31="","",IF(U31=EOMONTH(U31,0),1,0))</f>
        <v/>
      </c>
      <c r="Z31" s="675" t="str">
        <f>IF(P31="","",IF($L$2="","",$L$2))</f>
        <v/>
      </c>
      <c r="AA31" s="676" t="str">
        <f t="shared" ref="AA31" si="105">IF(P31="","",IF(OR(MONTH(Z31)=1,MONTH(Z31)=3,MONTH(Z31)=5,MONTH(Z31)=7,MONTH(Z31)=8,MONTH(Z31)=10,MONTH(Z31)=12),31,IF(OR(MONTH(Z31)=4,MONTH(Z31)=6,MONTH(Z31)=9,MONTH(Z31)=11),30,IF(AND(YEAR(Z31)=2020,MONTH(Z31)=2),29,IF(AND(YEAR(Z31)=2024,MONTH(Z31)=2),29,28)))))</f>
        <v/>
      </c>
      <c r="AB31" s="677" t="str">
        <f>IF(P31="","",IF($L$2="","",EOMONTH(Z31,0)))</f>
        <v/>
      </c>
      <c r="AC31" s="679" t="str">
        <f>IF(P31="","",IF($L$2="","",AB31-Z31)+1)</f>
        <v/>
      </c>
      <c r="AD31" s="680" t="str">
        <f t="shared" ref="AD31" si="106">IF(P31="","",IF(DAY(Z31)=1,1,0))</f>
        <v/>
      </c>
      <c r="AE31" s="681" t="str">
        <f t="shared" ref="AE31" si="107">IF(P31="","",IF(B31="お買い上げ型","無",IF(U31&lt;Z31,"無","有")))</f>
        <v/>
      </c>
      <c r="AF31" s="682" t="str">
        <f t="shared" ref="AF31" si="108">IF(P31="","",IF(AE31="無","",DATEDIF(Z31,U31,"y")))</f>
        <v/>
      </c>
      <c r="AG31" s="683" t="str">
        <f t="shared" ref="AG31" si="109">IF(P31="","",IF(AE31="無","",IF(YEAR(U31)&amp;MONTH(U31)=YEAR(Z31)&amp;MONTH(Z31),0,DATEDIF(Z31,U31,"m")-(12*AF31)+Y31+AD31-IF((DAY(Z31)-DAY(U31))&lt;=0,1,0))))</f>
        <v/>
      </c>
      <c r="AH31" s="683" t="str">
        <f t="shared" ref="AH31" si="110">IF(P31="","",IF(AE31="無","",IF(YEAR(U31)&amp;MONTH(U31)=YEAR(Z31)&amp;MONTH(Z31),AC31,IF(V31=X31,0,X31)+IF(AA31=AC31,0,AC31))))</f>
        <v/>
      </c>
      <c r="AI31" s="684" t="str">
        <f t="shared" ref="AI31" si="111">IF(P31="","",AF31&amp;"年"&amp;AG31&amp;"か月"&amp;AH31&amp;"日")</f>
        <v/>
      </c>
      <c r="AJ31" s="685" t="str">
        <f t="shared" ref="AJ31" si="112">IF(P31="","",IF(AE31="無",0,IF(YEAR(U31)&amp;MONTH(U31)=YEAR(Z31)&amp;MONTH(Z31),ROUNDDOWN(C31*AH31/V31,0),ROUNDDOWN(C31*IF(V31=X31,0,X31)/V31,0)+ROUNDDOWN(C31*IF(AA31=AC31,0,AC31)/AA31,0))))</f>
        <v/>
      </c>
      <c r="AK31" s="686" t="str">
        <f t="shared" ref="AK31" si="113">IF(P31="","",IF(AE31="無",0,ROUNDDOWN((C31*AG31)+(C31*AF31*12),0)))</f>
        <v/>
      </c>
      <c r="AL31" s="685" t="str">
        <f t="shared" ref="AL31" si="114">IF(P31="","",AJ31+AK31)</f>
        <v/>
      </c>
      <c r="AM31" s="685" t="str">
        <f t="shared" ref="AM31" si="115">IF(P31="","",IF(COUNTIF(B31,"LAN*")=1,AJ31+AK31,IF(AJ31+AK31&gt;=10000,10000,AJ31+AK31)))</f>
        <v/>
      </c>
      <c r="AS31" s="638">
        <v>25</v>
      </c>
      <c r="AT31" s="638">
        <v>25</v>
      </c>
      <c r="AV31" s="637"/>
      <c r="AW31" s="637"/>
      <c r="AX31" s="637"/>
      <c r="AY31" s="637"/>
      <c r="AZ31" s="637"/>
      <c r="BA31" s="637"/>
      <c r="BB31" s="637"/>
      <c r="BC31" s="637"/>
      <c r="BD31" s="637"/>
      <c r="BE31" s="637"/>
      <c r="BF31" s="637"/>
      <c r="BG31" s="637"/>
    </row>
    <row r="32" spans="1:59" ht="18" customHeight="1" x14ac:dyDescent="0.45">
      <c r="A32" s="672"/>
      <c r="B32" s="662"/>
      <c r="C32" s="662"/>
      <c r="D32" s="662"/>
      <c r="E32" s="662"/>
      <c r="F32" s="662"/>
      <c r="G32" s="662"/>
      <c r="H32" s="662"/>
      <c r="I32" s="662"/>
      <c r="J32" s="662"/>
      <c r="K32" s="662"/>
      <c r="L32" s="662"/>
      <c r="M32" s="662"/>
      <c r="N32" s="662"/>
      <c r="O32" s="637"/>
      <c r="AE32" s="689"/>
      <c r="AF32" s="689"/>
      <c r="AG32" s="689"/>
      <c r="AH32" s="689"/>
      <c r="AI32" s="689"/>
      <c r="AS32" s="638">
        <v>26</v>
      </c>
      <c r="AT32" s="638">
        <v>26</v>
      </c>
      <c r="AV32" s="637"/>
      <c r="AW32" s="637"/>
      <c r="AX32" s="637"/>
      <c r="AY32" s="637"/>
      <c r="AZ32" s="637"/>
      <c r="BA32" s="637"/>
      <c r="BB32" s="637"/>
      <c r="BC32" s="637"/>
      <c r="BD32" s="637"/>
      <c r="BE32" s="637"/>
      <c r="BF32" s="637"/>
      <c r="BG32" s="637"/>
    </row>
    <row r="33" spans="1:59" ht="20.100000000000001" customHeight="1" x14ac:dyDescent="0.45">
      <c r="A33" s="659">
        <v>10</v>
      </c>
      <c r="B33" s="660" t="s">
        <v>300</v>
      </c>
      <c r="C33" s="661"/>
      <c r="D33" s="662"/>
      <c r="E33" s="663" t="s">
        <v>301</v>
      </c>
      <c r="F33" s="663"/>
      <c r="G33" s="663"/>
      <c r="H33" s="663"/>
      <c r="I33" s="663"/>
      <c r="J33" s="663"/>
      <c r="K33" s="662"/>
      <c r="L33" s="660" t="s">
        <v>302</v>
      </c>
      <c r="M33" s="662"/>
      <c r="N33" s="660" t="s">
        <v>298</v>
      </c>
      <c r="O33" s="637"/>
      <c r="P33" s="664" t="s">
        <v>293</v>
      </c>
      <c r="Q33" s="665" t="s">
        <v>303</v>
      </c>
      <c r="R33" s="666" t="s">
        <v>304</v>
      </c>
      <c r="S33" s="667" t="s">
        <v>305</v>
      </c>
      <c r="T33" s="668" t="s">
        <v>306</v>
      </c>
      <c r="U33" s="664" t="s">
        <v>307</v>
      </c>
      <c r="V33" s="665" t="s">
        <v>303</v>
      </c>
      <c r="W33" s="666" t="s">
        <v>304</v>
      </c>
      <c r="X33" s="667" t="s">
        <v>308</v>
      </c>
      <c r="Y33" s="668" t="s">
        <v>306</v>
      </c>
      <c r="Z33" s="664" t="s">
        <v>295</v>
      </c>
      <c r="AA33" s="665" t="s">
        <v>303</v>
      </c>
      <c r="AB33" s="666" t="s">
        <v>304</v>
      </c>
      <c r="AC33" s="667" t="s">
        <v>308</v>
      </c>
      <c r="AD33" s="668" t="s">
        <v>306</v>
      </c>
      <c r="AE33" s="669" t="s">
        <v>309</v>
      </c>
      <c r="AF33" s="664" t="s">
        <v>310</v>
      </c>
      <c r="AG33" s="667" t="s">
        <v>311</v>
      </c>
      <c r="AH33" s="667" t="s">
        <v>312</v>
      </c>
      <c r="AI33" s="668" t="s">
        <v>297</v>
      </c>
      <c r="AJ33" s="670" t="s">
        <v>313</v>
      </c>
      <c r="AK33" s="670" t="s">
        <v>314</v>
      </c>
      <c r="AL33" s="670" t="s">
        <v>315</v>
      </c>
      <c r="AM33" s="670" t="s">
        <v>316</v>
      </c>
      <c r="AS33" s="638">
        <v>27</v>
      </c>
      <c r="AT33" s="638">
        <v>27</v>
      </c>
      <c r="AV33" s="637"/>
      <c r="AW33" s="637"/>
      <c r="AX33" s="637"/>
      <c r="AY33" s="637"/>
      <c r="AZ33" s="637"/>
      <c r="BA33" s="637"/>
      <c r="BB33" s="637"/>
      <c r="BC33" s="637"/>
      <c r="BD33" s="637"/>
      <c r="BE33" s="637"/>
      <c r="BF33" s="637"/>
      <c r="BG33" s="637"/>
    </row>
    <row r="34" spans="1:59" ht="20.100000000000001" customHeight="1" x14ac:dyDescent="0.45">
      <c r="A34" s="659"/>
      <c r="B34" s="671"/>
      <c r="C34" s="672" t="str">
        <f>IF(B34="","",VLOOKUP(B34,$AO$7:$AP$12,2,))</f>
        <v/>
      </c>
      <c r="D34" s="662"/>
      <c r="E34" s="671"/>
      <c r="F34" s="660" t="s">
        <v>24</v>
      </c>
      <c r="G34" s="673"/>
      <c r="H34" s="660" t="s">
        <v>320</v>
      </c>
      <c r="I34" s="673"/>
      <c r="J34" s="660" t="s">
        <v>317</v>
      </c>
      <c r="K34" s="662"/>
      <c r="L34" s="671"/>
      <c r="M34" s="662"/>
      <c r="N34" s="674" t="str">
        <f t="shared" si="19"/>
        <v/>
      </c>
      <c r="O34" s="637"/>
      <c r="P34" s="675" t="str">
        <f>IF(OR(E34="",G34="",I34=""),"",DATE(E34,G34,I34))</f>
        <v/>
      </c>
      <c r="Q34" s="676" t="str">
        <f>IF(P34="","",IF(OR(G34=1,G34=3,G34=5,G34=7,G34=8,G34=10,G34=12),31,IF(OR(G34=4,G34=6,G34=9,G34=11),30,IF(AND(E34=2020,G34=2),29,IF(AND(E34=2024,G34=2),29,28)))))</f>
        <v/>
      </c>
      <c r="R34" s="677" t="str">
        <f>IF(P34="","",EOMONTH(P34,0))</f>
        <v/>
      </c>
      <c r="S34" s="676" t="str">
        <f>IF(P34="","",R34-P34+1)</f>
        <v/>
      </c>
      <c r="T34" s="678" t="str">
        <f>IF(P34="","",IF(I34=1,1,0))</f>
        <v/>
      </c>
      <c r="U34" s="675" t="str">
        <f t="shared" ref="U34" si="116">IF(P34="","",IF(B34="LAN給電5年",DATE(YEAR(P34)+5,MONTH(P34),DAY(P34)-1),DATE(YEAR(P34)+2,MONTH(P34),DAY(P34)-1)))</f>
        <v/>
      </c>
      <c r="V34" s="676" t="str">
        <f t="shared" ref="V34" si="117">IF(P34="","",IF(OR(MONTH(U34)=1,MONTH(U34)=3,MONTH(U34)=5,MONTH(U34)=7,MONTH(U34)=8,MONTH(U34)=10,MONTH(U34)=12),31,IF(OR(MONTH(U34)=4,MONTH(U34)=6,MONTH(U34)=9,MONTH(U34)=11),30,IF(AND(YEAR(U34)=2020,MONTH(U34)=2),29,IF(AND(YEAR(U34)=2024,MONTH(U34)=2),29,28)))))</f>
        <v/>
      </c>
      <c r="W34" s="677" t="str">
        <f t="shared" ref="W34" si="118">IF(P34="","",EOMONTH(U34,-1)+1)</f>
        <v/>
      </c>
      <c r="X34" s="676" t="str">
        <f t="shared" ref="X34" si="119">IF(P34="","",U34-W34+1)</f>
        <v/>
      </c>
      <c r="Y34" s="678" t="str">
        <f t="shared" ref="Y34" si="120">IF(P34="","",IF(U34=EOMONTH(U34,0),1,0))</f>
        <v/>
      </c>
      <c r="Z34" s="675" t="str">
        <f>IF(P34="","",IF($L$2="","",$L$2))</f>
        <v/>
      </c>
      <c r="AA34" s="676" t="str">
        <f t="shared" ref="AA34" si="121">IF(P34="","",IF(OR(MONTH(Z34)=1,MONTH(Z34)=3,MONTH(Z34)=5,MONTH(Z34)=7,MONTH(Z34)=8,MONTH(Z34)=10,MONTH(Z34)=12),31,IF(OR(MONTH(Z34)=4,MONTH(Z34)=6,MONTH(Z34)=9,MONTH(Z34)=11),30,IF(AND(YEAR(Z34)=2020,MONTH(Z34)=2),29,IF(AND(YEAR(Z34)=2024,MONTH(Z34)=2),29,28)))))</f>
        <v/>
      </c>
      <c r="AB34" s="677" t="str">
        <f>IF(P34="","",IF($L$2="","",EOMONTH(Z34,0)))</f>
        <v/>
      </c>
      <c r="AC34" s="679" t="str">
        <f>IF(P34="","",IF($L$2="","",AB34-Z34)+1)</f>
        <v/>
      </c>
      <c r="AD34" s="680" t="str">
        <f t="shared" ref="AD34" si="122">IF(P34="","",IF(DAY(Z34)=1,1,0))</f>
        <v/>
      </c>
      <c r="AE34" s="681" t="str">
        <f t="shared" ref="AE34" si="123">IF(P34="","",IF(B34="お買い上げ型","無",IF(U34&lt;Z34,"無","有")))</f>
        <v/>
      </c>
      <c r="AF34" s="682" t="str">
        <f t="shared" ref="AF34" si="124">IF(P34="","",IF(AE34="無","",DATEDIF(Z34,U34,"y")))</f>
        <v/>
      </c>
      <c r="AG34" s="683" t="str">
        <f t="shared" ref="AG34" si="125">IF(P34="","",IF(AE34="無","",IF(YEAR(U34)&amp;MONTH(U34)=YEAR(Z34)&amp;MONTH(Z34),0,DATEDIF(Z34,U34,"m")-(12*AF34)+Y34+AD34-IF((DAY(Z34)-DAY(U34))&lt;=0,1,0))))</f>
        <v/>
      </c>
      <c r="AH34" s="683" t="str">
        <f t="shared" ref="AH34" si="126">IF(P34="","",IF(AE34="無","",IF(YEAR(U34)&amp;MONTH(U34)=YEAR(Z34)&amp;MONTH(Z34),AC34,IF(V34=X34,0,X34)+IF(AA34=AC34,0,AC34))))</f>
        <v/>
      </c>
      <c r="AI34" s="684" t="str">
        <f t="shared" ref="AI34" si="127">IF(P34="","",AF34&amp;"年"&amp;AG34&amp;"か月"&amp;AH34&amp;"日")</f>
        <v/>
      </c>
      <c r="AJ34" s="685" t="str">
        <f t="shared" ref="AJ34" si="128">IF(P34="","",IF(AE34="無",0,IF(YEAR(U34)&amp;MONTH(U34)=YEAR(Z34)&amp;MONTH(Z34),ROUNDDOWN(C34*AH34/V34,0),ROUNDDOWN(C34*IF(V34=X34,0,X34)/V34,0)+ROUNDDOWN(C34*IF(AA34=AC34,0,AC34)/AA34,0))))</f>
        <v/>
      </c>
      <c r="AK34" s="686" t="str">
        <f t="shared" ref="AK34" si="129">IF(P34="","",IF(AE34="無",0,ROUNDDOWN((C34*AG34)+(C34*AF34*12),0)))</f>
        <v/>
      </c>
      <c r="AL34" s="685" t="str">
        <f t="shared" ref="AL34" si="130">IF(P34="","",AJ34+AK34)</f>
        <v/>
      </c>
      <c r="AM34" s="685" t="str">
        <f t="shared" ref="AM34" si="131">IF(P34="","",IF(COUNTIF(B34,"LAN*")=1,AJ34+AK34,IF(AJ34+AK34&gt;=10000,10000,AJ34+AK34)))</f>
        <v/>
      </c>
      <c r="AS34" s="638">
        <v>28</v>
      </c>
      <c r="AT34" s="638">
        <v>28</v>
      </c>
      <c r="AV34" s="637"/>
      <c r="AW34" s="637"/>
      <c r="AX34" s="637"/>
      <c r="AY34" s="637"/>
      <c r="AZ34" s="637"/>
      <c r="BA34" s="637"/>
      <c r="BB34" s="637"/>
      <c r="BC34" s="637"/>
      <c r="BD34" s="637"/>
      <c r="BE34" s="637"/>
      <c r="BF34" s="637"/>
      <c r="BG34" s="637"/>
    </row>
    <row r="35" spans="1:59" ht="18" hidden="1" customHeight="1" x14ac:dyDescent="0.45">
      <c r="B35" s="637"/>
      <c r="C35" s="637"/>
      <c r="D35" s="637"/>
      <c r="E35" s="637"/>
      <c r="F35" s="637"/>
      <c r="G35" s="637"/>
      <c r="H35" s="637"/>
      <c r="I35" s="637"/>
      <c r="J35" s="637"/>
      <c r="K35" s="637"/>
      <c r="L35" s="637"/>
      <c r="M35" s="637"/>
      <c r="N35" s="662"/>
      <c r="O35" s="637"/>
      <c r="AE35" s="689"/>
      <c r="AF35" s="689"/>
      <c r="AG35" s="689"/>
      <c r="AH35" s="689"/>
      <c r="AI35" s="689"/>
      <c r="AS35" s="638">
        <v>29</v>
      </c>
      <c r="AT35" s="638">
        <v>29</v>
      </c>
      <c r="AV35" s="637"/>
      <c r="AW35" s="637"/>
      <c r="AX35" s="637"/>
      <c r="AY35" s="637"/>
      <c r="AZ35" s="637"/>
      <c r="BA35" s="637"/>
      <c r="BB35" s="637"/>
      <c r="BC35" s="637"/>
      <c r="BD35" s="637"/>
      <c r="BE35" s="637"/>
      <c r="BF35" s="637"/>
      <c r="BG35" s="637"/>
    </row>
    <row r="36" spans="1:59" ht="18" customHeight="1" x14ac:dyDescent="0.45">
      <c r="A36" s="637"/>
      <c r="B36" s="637"/>
      <c r="C36" s="637"/>
      <c r="D36" s="637"/>
      <c r="E36" s="637"/>
      <c r="F36" s="637"/>
      <c r="G36" s="637"/>
      <c r="H36" s="637"/>
      <c r="I36" s="637"/>
      <c r="J36" s="637"/>
      <c r="K36" s="637"/>
      <c r="L36" s="637"/>
      <c r="M36" s="637"/>
      <c r="N36" s="637"/>
      <c r="O36" s="637"/>
      <c r="P36" s="691"/>
      <c r="Q36" s="692"/>
      <c r="R36" s="691"/>
      <c r="S36" s="691"/>
      <c r="T36" s="691"/>
      <c r="U36" s="691"/>
      <c r="V36" s="691"/>
      <c r="W36" s="691"/>
      <c r="X36" s="691"/>
      <c r="Y36" s="691"/>
      <c r="Z36" s="691"/>
      <c r="AA36" s="691"/>
      <c r="AB36" s="637"/>
      <c r="AC36" s="637"/>
      <c r="AD36" s="637"/>
      <c r="AE36" s="637"/>
      <c r="AF36" s="637"/>
      <c r="AG36" s="637"/>
      <c r="AH36" s="637"/>
      <c r="AI36" s="637"/>
      <c r="AJ36" s="637"/>
      <c r="AK36" s="637"/>
      <c r="AL36" s="637"/>
      <c r="AM36" s="637"/>
      <c r="AN36" s="637"/>
      <c r="AO36" s="637"/>
      <c r="AP36" s="637"/>
      <c r="AQ36" s="637"/>
      <c r="AR36" s="637"/>
      <c r="AS36" s="637">
        <v>30</v>
      </c>
      <c r="AT36" s="637">
        <v>30</v>
      </c>
      <c r="AU36" s="637"/>
      <c r="AV36" s="637"/>
      <c r="AW36" s="637"/>
      <c r="AX36" s="637"/>
      <c r="AY36" s="637"/>
      <c r="AZ36" s="637"/>
      <c r="BA36" s="637"/>
      <c r="BB36" s="637"/>
      <c r="BC36" s="637"/>
      <c r="BD36" s="637"/>
      <c r="BE36" s="637"/>
      <c r="BF36" s="637"/>
      <c r="BG36" s="637"/>
    </row>
    <row r="37" spans="1:59" x14ac:dyDescent="0.45">
      <c r="A37" s="637"/>
      <c r="B37" s="637"/>
      <c r="C37" s="637"/>
      <c r="D37" s="637"/>
      <c r="E37" s="637"/>
      <c r="F37" s="637"/>
      <c r="G37" s="637"/>
      <c r="H37" s="637"/>
      <c r="I37" s="637"/>
      <c r="J37" s="637"/>
      <c r="K37" s="637"/>
      <c r="L37" s="637"/>
      <c r="M37" s="637"/>
      <c r="N37" s="637"/>
      <c r="O37" s="637"/>
      <c r="P37" s="691"/>
      <c r="Q37" s="692"/>
      <c r="R37" s="691"/>
      <c r="S37" s="691"/>
      <c r="T37" s="691"/>
      <c r="U37" s="691"/>
      <c r="V37" s="691"/>
      <c r="W37" s="691"/>
      <c r="X37" s="691"/>
      <c r="Y37" s="691"/>
      <c r="Z37" s="691"/>
      <c r="AA37" s="691"/>
      <c r="AB37" s="637"/>
      <c r="AC37" s="637"/>
      <c r="AD37" s="637"/>
      <c r="AE37" s="637"/>
      <c r="AF37" s="637"/>
      <c r="AG37" s="637"/>
      <c r="AH37" s="637"/>
      <c r="AI37" s="637"/>
      <c r="AJ37" s="637"/>
      <c r="AK37" s="637"/>
      <c r="AL37" s="637"/>
      <c r="AM37" s="637"/>
      <c r="AN37" s="637"/>
      <c r="AO37" s="637"/>
      <c r="AP37" s="637"/>
      <c r="AQ37" s="637"/>
      <c r="AR37" s="637"/>
      <c r="AS37" s="637">
        <v>31</v>
      </c>
      <c r="AT37" s="637">
        <v>31</v>
      </c>
      <c r="AU37" s="637"/>
      <c r="AV37" s="637"/>
      <c r="AW37" s="637"/>
      <c r="AX37" s="637"/>
      <c r="AY37" s="637"/>
      <c r="AZ37" s="637"/>
      <c r="BA37" s="637"/>
      <c r="BB37" s="637"/>
      <c r="BC37" s="637"/>
      <c r="BD37" s="637"/>
      <c r="BE37" s="637"/>
      <c r="BF37" s="637"/>
      <c r="BG37" s="637"/>
    </row>
    <row r="38" spans="1:59" x14ac:dyDescent="0.45">
      <c r="A38" s="637"/>
      <c r="B38" s="637"/>
      <c r="C38" s="637"/>
      <c r="D38" s="637"/>
      <c r="E38" s="637"/>
      <c r="F38" s="637"/>
      <c r="G38" s="637"/>
      <c r="H38" s="637"/>
      <c r="I38" s="637"/>
      <c r="J38" s="637"/>
      <c r="K38" s="637"/>
      <c r="L38" s="637"/>
      <c r="M38" s="637"/>
      <c r="N38" s="637"/>
      <c r="O38" s="637"/>
      <c r="P38" s="691"/>
      <c r="Q38" s="692"/>
      <c r="R38" s="691"/>
      <c r="S38" s="691"/>
      <c r="T38" s="691"/>
      <c r="U38" s="691"/>
      <c r="V38" s="691"/>
      <c r="W38" s="691"/>
      <c r="X38" s="691"/>
      <c r="Y38" s="691"/>
      <c r="Z38" s="691"/>
      <c r="AA38" s="691"/>
      <c r="AB38" s="637"/>
      <c r="AC38" s="637"/>
      <c r="AD38" s="637"/>
      <c r="AE38" s="637"/>
      <c r="AF38" s="637"/>
      <c r="AG38" s="637"/>
      <c r="AH38" s="637"/>
      <c r="AI38" s="637"/>
      <c r="AJ38" s="637"/>
      <c r="AK38" s="637"/>
      <c r="AL38" s="637"/>
      <c r="AM38" s="637"/>
      <c r="AN38" s="637"/>
      <c r="AO38" s="637"/>
      <c r="AP38" s="637"/>
      <c r="AQ38" s="637"/>
      <c r="AR38" s="637"/>
      <c r="AS38" s="637"/>
      <c r="AT38" s="637">
        <v>32</v>
      </c>
      <c r="AU38" s="637"/>
      <c r="AV38" s="637"/>
      <c r="AW38" s="637"/>
      <c r="AX38" s="637"/>
      <c r="AY38" s="637"/>
      <c r="AZ38" s="637"/>
      <c r="BA38" s="637"/>
      <c r="BB38" s="637"/>
      <c r="BC38" s="637"/>
      <c r="BD38" s="637"/>
      <c r="BE38" s="637"/>
      <c r="BF38" s="637"/>
      <c r="BG38" s="637"/>
    </row>
    <row r="39" spans="1:59" x14ac:dyDescent="0.45">
      <c r="A39" s="637"/>
      <c r="B39" s="637"/>
      <c r="C39" s="637"/>
      <c r="D39" s="637"/>
      <c r="E39" s="637"/>
      <c r="F39" s="637"/>
      <c r="G39" s="637"/>
      <c r="H39" s="637"/>
      <c r="I39" s="637"/>
      <c r="J39" s="637"/>
      <c r="K39" s="637"/>
      <c r="L39" s="637"/>
      <c r="M39" s="637"/>
      <c r="N39" s="637"/>
      <c r="O39" s="637"/>
      <c r="P39" s="691"/>
      <c r="Q39" s="692"/>
      <c r="R39" s="691"/>
      <c r="S39" s="691"/>
      <c r="T39" s="691"/>
      <c r="U39" s="691"/>
      <c r="V39" s="691"/>
      <c r="W39" s="691"/>
      <c r="X39" s="691"/>
      <c r="Y39" s="691"/>
      <c r="Z39" s="691"/>
      <c r="AA39" s="691"/>
      <c r="AB39" s="637"/>
      <c r="AC39" s="637"/>
      <c r="AD39" s="637"/>
      <c r="AE39" s="637"/>
      <c r="AF39" s="637"/>
      <c r="AG39" s="637"/>
      <c r="AH39" s="637"/>
      <c r="AI39" s="637"/>
      <c r="AJ39" s="637"/>
      <c r="AK39" s="637"/>
      <c r="AL39" s="637"/>
      <c r="AM39" s="637"/>
      <c r="AN39" s="637"/>
      <c r="AO39" s="637"/>
      <c r="AP39" s="637"/>
      <c r="AQ39" s="637"/>
      <c r="AR39" s="637"/>
      <c r="AS39" s="637"/>
      <c r="AT39" s="637">
        <v>33</v>
      </c>
      <c r="AU39" s="637"/>
      <c r="AV39" s="637"/>
      <c r="AW39" s="637"/>
      <c r="AX39" s="637"/>
      <c r="AY39" s="637"/>
      <c r="AZ39" s="637"/>
      <c r="BA39" s="637"/>
      <c r="BB39" s="637"/>
      <c r="BC39" s="637"/>
      <c r="BD39" s="637"/>
      <c r="BE39" s="637"/>
      <c r="BF39" s="637"/>
      <c r="BG39" s="637"/>
    </row>
    <row r="40" spans="1:59" x14ac:dyDescent="0.45">
      <c r="A40" s="637"/>
      <c r="B40" s="637"/>
      <c r="C40" s="637"/>
      <c r="D40" s="637"/>
      <c r="E40" s="637"/>
      <c r="F40" s="637"/>
      <c r="G40" s="637"/>
      <c r="H40" s="637"/>
      <c r="I40" s="637"/>
      <c r="J40" s="637"/>
      <c r="K40" s="637"/>
      <c r="L40" s="637"/>
      <c r="M40" s="637"/>
      <c r="N40" s="637"/>
      <c r="O40" s="637"/>
      <c r="P40" s="691"/>
      <c r="Q40" s="692"/>
      <c r="R40" s="691"/>
      <c r="S40" s="691"/>
      <c r="T40" s="691"/>
      <c r="U40" s="691"/>
      <c r="V40" s="691"/>
      <c r="W40" s="691"/>
      <c r="X40" s="691"/>
      <c r="Y40" s="691"/>
      <c r="Z40" s="691"/>
      <c r="AA40" s="691"/>
      <c r="AB40" s="637"/>
      <c r="AC40" s="637"/>
      <c r="AD40" s="637"/>
      <c r="AE40" s="637"/>
      <c r="AF40" s="637"/>
      <c r="AG40" s="637"/>
      <c r="AH40" s="637"/>
      <c r="AI40" s="637"/>
      <c r="AJ40" s="637"/>
      <c r="AK40" s="637"/>
      <c r="AL40" s="637"/>
      <c r="AM40" s="637"/>
      <c r="AN40" s="637"/>
      <c r="AO40" s="637"/>
      <c r="AP40" s="637"/>
      <c r="AQ40" s="637"/>
      <c r="AR40" s="637"/>
      <c r="AS40" s="637"/>
      <c r="AT40" s="637">
        <v>34</v>
      </c>
      <c r="AU40" s="637"/>
      <c r="AV40" s="637"/>
      <c r="AW40" s="637"/>
      <c r="AX40" s="637"/>
      <c r="AY40" s="637"/>
      <c r="AZ40" s="637"/>
      <c r="BA40" s="637"/>
      <c r="BB40" s="637"/>
      <c r="BC40" s="637"/>
      <c r="BD40" s="637"/>
      <c r="BE40" s="637"/>
      <c r="BF40" s="637"/>
      <c r="BG40" s="637"/>
    </row>
    <row r="41" spans="1:59" x14ac:dyDescent="0.45">
      <c r="A41" s="637"/>
      <c r="B41" s="637"/>
      <c r="C41" s="637"/>
      <c r="D41" s="637"/>
      <c r="E41" s="637"/>
      <c r="F41" s="637"/>
      <c r="G41" s="637"/>
      <c r="H41" s="637"/>
      <c r="I41" s="637"/>
      <c r="J41" s="637"/>
      <c r="K41" s="637"/>
      <c r="L41" s="637"/>
      <c r="M41" s="637"/>
      <c r="N41" s="637"/>
      <c r="O41" s="637"/>
      <c r="P41" s="691"/>
      <c r="Q41" s="692"/>
      <c r="R41" s="691"/>
      <c r="S41" s="691"/>
      <c r="T41" s="691"/>
      <c r="U41" s="691"/>
      <c r="V41" s="691"/>
      <c r="W41" s="691"/>
      <c r="X41" s="691"/>
      <c r="Y41" s="691"/>
      <c r="Z41" s="691"/>
      <c r="AA41" s="691"/>
      <c r="AB41" s="637"/>
      <c r="AC41" s="637"/>
      <c r="AD41" s="637"/>
      <c r="AE41" s="637"/>
      <c r="AF41" s="637"/>
      <c r="AG41" s="637"/>
      <c r="AH41" s="637"/>
      <c r="AI41" s="637"/>
      <c r="AJ41" s="637"/>
      <c r="AK41" s="637"/>
      <c r="AL41" s="637"/>
      <c r="AM41" s="637"/>
      <c r="AN41" s="637"/>
      <c r="AO41" s="637"/>
      <c r="AP41" s="637"/>
      <c r="AQ41" s="637"/>
      <c r="AR41" s="637"/>
      <c r="AS41" s="637"/>
      <c r="AT41" s="637">
        <v>35</v>
      </c>
      <c r="AU41" s="637"/>
      <c r="AV41" s="637"/>
      <c r="AW41" s="637"/>
      <c r="AX41" s="637"/>
      <c r="AY41" s="637"/>
      <c r="AZ41" s="637"/>
      <c r="BA41" s="637"/>
      <c r="BB41" s="637"/>
      <c r="BC41" s="637"/>
      <c r="BD41" s="637"/>
      <c r="BE41" s="637"/>
      <c r="BF41" s="637"/>
      <c r="BG41" s="637"/>
    </row>
    <row r="42" spans="1:59" x14ac:dyDescent="0.45">
      <c r="A42" s="637"/>
      <c r="B42" s="637"/>
      <c r="C42" s="637"/>
      <c r="D42" s="637"/>
      <c r="E42" s="637"/>
      <c r="F42" s="637"/>
      <c r="G42" s="637"/>
      <c r="H42" s="637"/>
      <c r="I42" s="637"/>
      <c r="J42" s="637"/>
      <c r="K42" s="637"/>
      <c r="L42" s="637"/>
      <c r="M42" s="637"/>
      <c r="N42" s="637"/>
      <c r="O42" s="637"/>
      <c r="P42" s="691"/>
      <c r="Q42" s="692"/>
      <c r="R42" s="691"/>
      <c r="S42" s="691"/>
      <c r="T42" s="691"/>
      <c r="U42" s="691"/>
      <c r="V42" s="691"/>
      <c r="W42" s="691"/>
      <c r="X42" s="691"/>
      <c r="Y42" s="691"/>
      <c r="Z42" s="691"/>
      <c r="AA42" s="691"/>
      <c r="AB42" s="637"/>
      <c r="AC42" s="637"/>
      <c r="AD42" s="637"/>
      <c r="AE42" s="637"/>
      <c r="AF42" s="637"/>
      <c r="AG42" s="637"/>
      <c r="AH42" s="637"/>
      <c r="AI42" s="637"/>
      <c r="AJ42" s="637"/>
      <c r="AK42" s="637"/>
      <c r="AL42" s="637"/>
      <c r="AM42" s="637"/>
      <c r="AN42" s="637"/>
      <c r="AO42" s="637"/>
      <c r="AP42" s="637"/>
      <c r="AQ42" s="637"/>
      <c r="AR42" s="637"/>
      <c r="AS42" s="637"/>
      <c r="AT42" s="637">
        <v>36</v>
      </c>
      <c r="AU42" s="637"/>
      <c r="AV42" s="637"/>
      <c r="AW42" s="637"/>
      <c r="AX42" s="637"/>
      <c r="AY42" s="637"/>
      <c r="AZ42" s="637"/>
      <c r="BA42" s="637"/>
      <c r="BB42" s="637"/>
      <c r="BC42" s="637"/>
      <c r="BD42" s="637"/>
      <c r="BE42" s="637"/>
      <c r="BF42" s="637"/>
      <c r="BG42" s="637"/>
    </row>
    <row r="43" spans="1:59" x14ac:dyDescent="0.45">
      <c r="A43" s="637"/>
      <c r="B43" s="637"/>
      <c r="C43" s="637"/>
      <c r="D43" s="637"/>
      <c r="E43" s="637"/>
      <c r="F43" s="637"/>
      <c r="G43" s="637"/>
      <c r="H43" s="637"/>
      <c r="I43" s="637"/>
      <c r="J43" s="637"/>
      <c r="K43" s="637"/>
      <c r="L43" s="637"/>
      <c r="M43" s="637"/>
      <c r="N43" s="637"/>
      <c r="O43" s="637"/>
      <c r="P43" s="691"/>
      <c r="Q43" s="692"/>
      <c r="R43" s="691"/>
      <c r="S43" s="691"/>
      <c r="T43" s="691"/>
      <c r="U43" s="691"/>
      <c r="V43" s="691"/>
      <c r="W43" s="691"/>
      <c r="X43" s="691"/>
      <c r="Y43" s="691"/>
      <c r="Z43" s="691"/>
      <c r="AA43" s="691"/>
      <c r="AB43" s="637"/>
      <c r="AC43" s="637"/>
      <c r="AD43" s="637"/>
      <c r="AE43" s="637"/>
      <c r="AF43" s="637"/>
      <c r="AG43" s="637"/>
      <c r="AH43" s="637"/>
      <c r="AI43" s="637"/>
      <c r="AJ43" s="637"/>
      <c r="AK43" s="637"/>
      <c r="AL43" s="637"/>
      <c r="AM43" s="637"/>
      <c r="AN43" s="637"/>
      <c r="AO43" s="637"/>
      <c r="AP43" s="637"/>
      <c r="AQ43" s="637"/>
      <c r="AR43" s="637"/>
      <c r="AS43" s="637"/>
      <c r="AT43" s="637">
        <v>37</v>
      </c>
      <c r="AU43" s="637"/>
      <c r="AV43" s="637"/>
      <c r="AW43" s="637"/>
      <c r="AX43" s="637"/>
      <c r="AY43" s="637"/>
      <c r="AZ43" s="637"/>
      <c r="BA43" s="637"/>
      <c r="BB43" s="637"/>
      <c r="BC43" s="637"/>
      <c r="BD43" s="637"/>
      <c r="BE43" s="637"/>
      <c r="BF43" s="637"/>
      <c r="BG43" s="637"/>
    </row>
    <row r="44" spans="1:59" x14ac:dyDescent="0.45">
      <c r="A44" s="637"/>
      <c r="B44" s="637"/>
      <c r="C44" s="637"/>
      <c r="D44" s="637"/>
      <c r="E44" s="637"/>
      <c r="F44" s="637"/>
      <c r="G44" s="637"/>
      <c r="H44" s="637"/>
      <c r="I44" s="637"/>
      <c r="J44" s="637"/>
      <c r="K44" s="637"/>
      <c r="L44" s="637"/>
      <c r="M44" s="637"/>
      <c r="N44" s="637"/>
      <c r="O44" s="637"/>
      <c r="P44" s="691"/>
      <c r="Q44" s="692"/>
      <c r="R44" s="691"/>
      <c r="S44" s="691"/>
      <c r="T44" s="691"/>
      <c r="U44" s="691"/>
      <c r="V44" s="691"/>
      <c r="W44" s="691"/>
      <c r="X44" s="691"/>
      <c r="Y44" s="691"/>
      <c r="Z44" s="691"/>
      <c r="AA44" s="691"/>
      <c r="AB44" s="637"/>
      <c r="AC44" s="637"/>
      <c r="AD44" s="637"/>
      <c r="AE44" s="637"/>
      <c r="AF44" s="637"/>
      <c r="AG44" s="637"/>
      <c r="AH44" s="637"/>
      <c r="AI44" s="637"/>
      <c r="AJ44" s="637"/>
      <c r="AK44" s="637"/>
      <c r="AL44" s="637"/>
      <c r="AM44" s="637"/>
      <c r="AN44" s="637"/>
      <c r="AO44" s="637"/>
      <c r="AP44" s="637"/>
      <c r="AQ44" s="637"/>
      <c r="AR44" s="637"/>
      <c r="AS44" s="637"/>
      <c r="AT44" s="637">
        <v>38</v>
      </c>
      <c r="AU44" s="637"/>
      <c r="AV44" s="637"/>
      <c r="AW44" s="637"/>
      <c r="AX44" s="637"/>
      <c r="AY44" s="637"/>
      <c r="AZ44" s="637"/>
      <c r="BA44" s="637"/>
      <c r="BB44" s="637"/>
      <c r="BC44" s="637"/>
      <c r="BD44" s="637"/>
      <c r="BE44" s="637"/>
      <c r="BF44" s="637"/>
      <c r="BG44" s="637"/>
    </row>
    <row r="45" spans="1:59" x14ac:dyDescent="0.45">
      <c r="A45" s="637"/>
      <c r="B45" s="637"/>
      <c r="C45" s="637"/>
      <c r="D45" s="637"/>
      <c r="E45" s="637"/>
      <c r="F45" s="637"/>
      <c r="G45" s="637"/>
      <c r="H45" s="637"/>
      <c r="I45" s="637"/>
      <c r="J45" s="637"/>
      <c r="K45" s="637"/>
      <c r="L45" s="637"/>
      <c r="M45" s="637"/>
      <c r="N45" s="637"/>
      <c r="O45" s="637"/>
      <c r="P45" s="691"/>
      <c r="Q45" s="692"/>
      <c r="R45" s="691"/>
      <c r="S45" s="691"/>
      <c r="T45" s="691"/>
      <c r="U45" s="691"/>
      <c r="V45" s="691"/>
      <c r="W45" s="691"/>
      <c r="X45" s="691"/>
      <c r="Y45" s="691"/>
      <c r="Z45" s="691"/>
      <c r="AA45" s="691"/>
      <c r="AB45" s="637"/>
      <c r="AC45" s="637"/>
      <c r="AD45" s="637"/>
      <c r="AE45" s="637"/>
      <c r="AF45" s="637"/>
      <c r="AG45" s="637"/>
      <c r="AH45" s="637"/>
      <c r="AI45" s="637"/>
      <c r="AJ45" s="637"/>
      <c r="AK45" s="637"/>
      <c r="AL45" s="637"/>
      <c r="AM45" s="637"/>
      <c r="AN45" s="637"/>
      <c r="AO45" s="637"/>
      <c r="AP45" s="637"/>
      <c r="AQ45" s="637"/>
      <c r="AR45" s="637"/>
      <c r="AS45" s="637"/>
      <c r="AT45" s="637">
        <v>39</v>
      </c>
      <c r="AU45" s="637"/>
      <c r="AV45" s="637"/>
      <c r="AW45" s="637"/>
      <c r="AX45" s="637"/>
      <c r="AY45" s="637"/>
      <c r="AZ45" s="637"/>
      <c r="BA45" s="637"/>
      <c r="BB45" s="637"/>
      <c r="BC45" s="637"/>
      <c r="BD45" s="637"/>
      <c r="BE45" s="637"/>
      <c r="BF45" s="637"/>
      <c r="BG45" s="637"/>
    </row>
    <row r="46" spans="1:59" x14ac:dyDescent="0.45">
      <c r="A46" s="637"/>
      <c r="B46" s="637"/>
      <c r="C46" s="637"/>
      <c r="D46" s="637"/>
      <c r="E46" s="637"/>
      <c r="F46" s="637"/>
      <c r="G46" s="637"/>
      <c r="H46" s="637"/>
      <c r="I46" s="637"/>
      <c r="J46" s="637"/>
      <c r="K46" s="637"/>
      <c r="L46" s="637"/>
      <c r="M46" s="637"/>
      <c r="N46" s="637"/>
      <c r="O46" s="637"/>
      <c r="P46" s="691"/>
      <c r="Q46" s="692"/>
      <c r="R46" s="691"/>
      <c r="S46" s="691"/>
      <c r="T46" s="691"/>
      <c r="U46" s="691"/>
      <c r="V46" s="691"/>
      <c r="W46" s="691"/>
      <c r="X46" s="691"/>
      <c r="Y46" s="691"/>
      <c r="Z46" s="691"/>
      <c r="AA46" s="691"/>
      <c r="AB46" s="637"/>
      <c r="AC46" s="637"/>
      <c r="AD46" s="637"/>
      <c r="AE46" s="637"/>
      <c r="AF46" s="637"/>
      <c r="AG46" s="637"/>
      <c r="AH46" s="637"/>
      <c r="AI46" s="637"/>
      <c r="AJ46" s="637"/>
      <c r="AK46" s="637"/>
      <c r="AL46" s="637"/>
      <c r="AM46" s="637"/>
      <c r="AN46" s="637"/>
      <c r="AO46" s="637"/>
      <c r="AP46" s="637"/>
      <c r="AQ46" s="637"/>
      <c r="AR46" s="637"/>
      <c r="AS46" s="637"/>
      <c r="AT46" s="637">
        <v>40</v>
      </c>
      <c r="AU46" s="637"/>
      <c r="AV46" s="637"/>
      <c r="AW46" s="637"/>
      <c r="AX46" s="637"/>
      <c r="AY46" s="637"/>
      <c r="AZ46" s="637"/>
      <c r="BA46" s="637"/>
      <c r="BB46" s="637"/>
      <c r="BC46" s="637"/>
      <c r="BD46" s="637"/>
      <c r="BE46" s="637"/>
      <c r="BF46" s="637"/>
      <c r="BG46" s="637"/>
    </row>
    <row r="47" spans="1:59" x14ac:dyDescent="0.45">
      <c r="A47" s="637"/>
      <c r="B47" s="637"/>
      <c r="C47" s="637"/>
      <c r="D47" s="637"/>
      <c r="E47" s="637"/>
      <c r="F47" s="637"/>
      <c r="G47" s="637"/>
      <c r="H47" s="637"/>
      <c r="I47" s="637"/>
      <c r="J47" s="637"/>
      <c r="K47" s="637"/>
      <c r="L47" s="637"/>
      <c r="M47" s="637"/>
      <c r="N47" s="637"/>
      <c r="O47" s="637"/>
      <c r="P47" s="691"/>
      <c r="Q47" s="692"/>
      <c r="R47" s="691"/>
      <c r="S47" s="691"/>
      <c r="T47" s="691"/>
      <c r="U47" s="691"/>
      <c r="V47" s="691"/>
      <c r="W47" s="691"/>
      <c r="X47" s="691"/>
      <c r="Y47" s="691"/>
      <c r="Z47" s="691"/>
      <c r="AA47" s="691"/>
      <c r="AB47" s="637"/>
      <c r="AC47" s="637"/>
      <c r="AD47" s="637"/>
      <c r="AE47" s="637"/>
      <c r="AF47" s="637"/>
      <c r="AG47" s="637"/>
      <c r="AH47" s="637"/>
      <c r="AI47" s="637"/>
      <c r="AJ47" s="637"/>
      <c r="AK47" s="637"/>
      <c r="AL47" s="637"/>
      <c r="AM47" s="637"/>
      <c r="AN47" s="637"/>
      <c r="AO47" s="637"/>
      <c r="AP47" s="637"/>
      <c r="AQ47" s="637"/>
      <c r="AR47" s="637"/>
      <c r="AS47" s="637"/>
      <c r="AT47" s="637">
        <v>41</v>
      </c>
      <c r="AU47" s="637"/>
      <c r="AV47" s="637"/>
      <c r="AW47" s="637"/>
      <c r="AX47" s="637"/>
      <c r="AY47" s="637"/>
      <c r="AZ47" s="637"/>
      <c r="BA47" s="637"/>
      <c r="BB47" s="637"/>
      <c r="BC47" s="637"/>
      <c r="BD47" s="637"/>
      <c r="BE47" s="637"/>
      <c r="BF47" s="637"/>
      <c r="BG47" s="637"/>
    </row>
    <row r="48" spans="1:59" x14ac:dyDescent="0.45">
      <c r="A48" s="637"/>
      <c r="B48" s="637"/>
      <c r="C48" s="637"/>
      <c r="D48" s="637"/>
      <c r="E48" s="637"/>
      <c r="F48" s="637"/>
      <c r="G48" s="637"/>
      <c r="H48" s="637"/>
      <c r="I48" s="637"/>
      <c r="J48" s="637"/>
      <c r="K48" s="637"/>
      <c r="L48" s="637"/>
      <c r="M48" s="637"/>
      <c r="N48" s="637"/>
      <c r="O48" s="637"/>
      <c r="P48" s="691"/>
      <c r="Q48" s="692"/>
      <c r="R48" s="691"/>
      <c r="S48" s="691"/>
      <c r="T48" s="691"/>
      <c r="U48" s="691"/>
      <c r="V48" s="691"/>
      <c r="W48" s="691"/>
      <c r="X48" s="691"/>
      <c r="Y48" s="691"/>
      <c r="Z48" s="691"/>
      <c r="AA48" s="691"/>
      <c r="AB48" s="637"/>
      <c r="AC48" s="637"/>
      <c r="AD48" s="637"/>
      <c r="AE48" s="637"/>
      <c r="AF48" s="637"/>
      <c r="AG48" s="637"/>
      <c r="AH48" s="637"/>
      <c r="AI48" s="637"/>
      <c r="AJ48" s="637"/>
      <c r="AK48" s="637"/>
      <c r="AL48" s="637"/>
      <c r="AM48" s="637"/>
      <c r="AN48" s="637"/>
      <c r="AO48" s="637"/>
      <c r="AP48" s="637"/>
      <c r="AQ48" s="637"/>
      <c r="AR48" s="637"/>
      <c r="AS48" s="637"/>
      <c r="AT48" s="637">
        <v>42</v>
      </c>
      <c r="AU48" s="637"/>
      <c r="AV48" s="637"/>
      <c r="AW48" s="637"/>
      <c r="AX48" s="637"/>
      <c r="AY48" s="637"/>
      <c r="AZ48" s="637"/>
      <c r="BA48" s="637"/>
      <c r="BB48" s="637"/>
      <c r="BC48" s="637"/>
      <c r="BD48" s="637"/>
      <c r="BE48" s="637"/>
      <c r="BF48" s="637"/>
      <c r="BG48" s="637"/>
    </row>
    <row r="49" spans="1:59" x14ac:dyDescent="0.45">
      <c r="A49" s="637"/>
      <c r="B49" s="637"/>
      <c r="C49" s="637"/>
      <c r="D49" s="637"/>
      <c r="E49" s="637"/>
      <c r="F49" s="637"/>
      <c r="G49" s="637"/>
      <c r="H49" s="637"/>
      <c r="I49" s="637"/>
      <c r="J49" s="637"/>
      <c r="K49" s="637"/>
      <c r="L49" s="637"/>
      <c r="M49" s="637"/>
      <c r="N49" s="637"/>
      <c r="O49" s="637"/>
      <c r="P49" s="691"/>
      <c r="Q49" s="692"/>
      <c r="R49" s="691"/>
      <c r="S49" s="691"/>
      <c r="T49" s="691"/>
      <c r="U49" s="691"/>
      <c r="V49" s="691"/>
      <c r="W49" s="691"/>
      <c r="X49" s="691"/>
      <c r="Y49" s="691"/>
      <c r="Z49" s="691"/>
      <c r="AA49" s="691"/>
      <c r="AB49" s="637"/>
      <c r="AC49" s="637"/>
      <c r="AD49" s="637"/>
      <c r="AE49" s="637"/>
      <c r="AF49" s="637"/>
      <c r="AG49" s="637"/>
      <c r="AH49" s="637"/>
      <c r="AI49" s="637"/>
      <c r="AJ49" s="637"/>
      <c r="AK49" s="637"/>
      <c r="AL49" s="637"/>
      <c r="AM49" s="637"/>
      <c r="AN49" s="637"/>
      <c r="AO49" s="637"/>
      <c r="AP49" s="637"/>
      <c r="AQ49" s="637"/>
      <c r="AR49" s="637"/>
      <c r="AS49" s="637"/>
      <c r="AT49" s="637">
        <v>43</v>
      </c>
      <c r="AU49" s="637"/>
      <c r="AV49" s="637"/>
      <c r="AW49" s="637"/>
      <c r="AX49" s="637"/>
      <c r="AY49" s="637"/>
      <c r="AZ49" s="637"/>
      <c r="BA49" s="637"/>
      <c r="BB49" s="637"/>
      <c r="BC49" s="637"/>
      <c r="BD49" s="637"/>
      <c r="BE49" s="637"/>
      <c r="BF49" s="637"/>
      <c r="BG49" s="637"/>
    </row>
    <row r="50" spans="1:59" x14ac:dyDescent="0.45">
      <c r="A50" s="637"/>
      <c r="B50" s="637"/>
      <c r="C50" s="637"/>
      <c r="D50" s="637"/>
      <c r="E50" s="637"/>
      <c r="F50" s="637"/>
      <c r="G50" s="637"/>
      <c r="H50" s="637"/>
      <c r="I50" s="637"/>
      <c r="J50" s="637"/>
      <c r="K50" s="637"/>
      <c r="L50" s="637"/>
      <c r="M50" s="637"/>
      <c r="N50" s="637"/>
      <c r="O50" s="637"/>
      <c r="P50" s="691"/>
      <c r="Q50" s="692"/>
      <c r="R50" s="691"/>
      <c r="S50" s="691"/>
      <c r="T50" s="691"/>
      <c r="U50" s="691"/>
      <c r="V50" s="691"/>
      <c r="W50" s="691"/>
      <c r="X50" s="691"/>
      <c r="Y50" s="691"/>
      <c r="Z50" s="691"/>
      <c r="AA50" s="691"/>
      <c r="AB50" s="637"/>
      <c r="AC50" s="637"/>
      <c r="AD50" s="637"/>
      <c r="AE50" s="637"/>
      <c r="AF50" s="637"/>
      <c r="AG50" s="637"/>
      <c r="AH50" s="637"/>
      <c r="AI50" s="637"/>
      <c r="AJ50" s="637"/>
      <c r="AK50" s="637"/>
      <c r="AL50" s="637"/>
      <c r="AM50" s="637"/>
      <c r="AN50" s="637"/>
      <c r="AO50" s="637"/>
      <c r="AP50" s="637"/>
      <c r="AQ50" s="637"/>
      <c r="AR50" s="637"/>
      <c r="AS50" s="637"/>
      <c r="AT50" s="637">
        <v>44</v>
      </c>
      <c r="AU50" s="637"/>
      <c r="AV50" s="637"/>
      <c r="AW50" s="637"/>
      <c r="AX50" s="637"/>
      <c r="AY50" s="637"/>
      <c r="AZ50" s="637"/>
      <c r="BA50" s="637"/>
      <c r="BB50" s="637"/>
      <c r="BC50" s="637"/>
      <c r="BD50" s="637"/>
      <c r="BE50" s="637"/>
      <c r="BF50" s="637"/>
      <c r="BG50" s="637"/>
    </row>
    <row r="51" spans="1:59" x14ac:dyDescent="0.45">
      <c r="A51" s="637"/>
      <c r="B51" s="637"/>
      <c r="C51" s="637"/>
      <c r="D51" s="637"/>
      <c r="E51" s="637"/>
      <c r="F51" s="637"/>
      <c r="G51" s="637"/>
      <c r="H51" s="637"/>
      <c r="I51" s="637"/>
      <c r="J51" s="637"/>
      <c r="K51" s="637"/>
      <c r="L51" s="637"/>
      <c r="M51" s="637"/>
      <c r="N51" s="637"/>
      <c r="O51" s="637"/>
      <c r="P51" s="691"/>
      <c r="Q51" s="692"/>
      <c r="R51" s="691"/>
      <c r="S51" s="691"/>
      <c r="T51" s="691"/>
      <c r="U51" s="691"/>
      <c r="V51" s="691"/>
      <c r="W51" s="691"/>
      <c r="X51" s="691"/>
      <c r="Y51" s="691"/>
      <c r="Z51" s="691"/>
      <c r="AA51" s="691"/>
      <c r="AB51" s="637"/>
      <c r="AC51" s="637"/>
      <c r="AD51" s="637"/>
      <c r="AE51" s="637"/>
      <c r="AF51" s="637"/>
      <c r="AG51" s="637"/>
      <c r="AH51" s="637"/>
      <c r="AI51" s="637"/>
      <c r="AJ51" s="637"/>
      <c r="AK51" s="637"/>
      <c r="AL51" s="637"/>
      <c r="AM51" s="637"/>
      <c r="AN51" s="637"/>
      <c r="AO51" s="637"/>
      <c r="AP51" s="637"/>
      <c r="AQ51" s="637"/>
      <c r="AR51" s="637"/>
      <c r="AS51" s="637"/>
      <c r="AT51" s="637">
        <v>45</v>
      </c>
      <c r="AU51" s="637"/>
      <c r="AV51" s="637"/>
      <c r="AW51" s="637"/>
      <c r="AX51" s="637"/>
      <c r="AY51" s="637"/>
      <c r="AZ51" s="637"/>
      <c r="BA51" s="637"/>
      <c r="BB51" s="637"/>
      <c r="BC51" s="637"/>
      <c r="BD51" s="637"/>
      <c r="BE51" s="637"/>
      <c r="BF51" s="637"/>
      <c r="BG51" s="637"/>
    </row>
    <row r="52" spans="1:59" x14ac:dyDescent="0.45">
      <c r="A52" s="637"/>
      <c r="B52" s="637"/>
      <c r="C52" s="637"/>
      <c r="D52" s="637"/>
      <c r="E52" s="637"/>
      <c r="F52" s="637"/>
      <c r="G52" s="637"/>
      <c r="H52" s="637"/>
      <c r="I52" s="637"/>
      <c r="J52" s="637"/>
      <c r="K52" s="637"/>
      <c r="L52" s="637"/>
      <c r="M52" s="637"/>
      <c r="N52" s="637"/>
      <c r="O52" s="637"/>
      <c r="P52" s="691"/>
      <c r="Q52" s="692"/>
      <c r="R52" s="691"/>
      <c r="S52" s="691"/>
      <c r="T52" s="691"/>
      <c r="U52" s="691"/>
      <c r="V52" s="691"/>
      <c r="W52" s="691"/>
      <c r="X52" s="691"/>
      <c r="Y52" s="691"/>
      <c r="Z52" s="691"/>
      <c r="AA52" s="691"/>
      <c r="AB52" s="637"/>
      <c r="AC52" s="637"/>
      <c r="AD52" s="637"/>
      <c r="AE52" s="637"/>
      <c r="AF52" s="637"/>
      <c r="AG52" s="637"/>
      <c r="AH52" s="637"/>
      <c r="AI52" s="637"/>
      <c r="AJ52" s="637"/>
      <c r="AK52" s="637"/>
      <c r="AL52" s="637"/>
      <c r="AM52" s="637"/>
      <c r="AN52" s="637"/>
      <c r="AO52" s="637"/>
      <c r="AP52" s="637"/>
      <c r="AQ52" s="637"/>
      <c r="AR52" s="637"/>
      <c r="AS52" s="637"/>
      <c r="AT52" s="637">
        <v>46</v>
      </c>
      <c r="AU52" s="637"/>
      <c r="AV52" s="637"/>
      <c r="AW52" s="637"/>
      <c r="AX52" s="637"/>
      <c r="AY52" s="637"/>
      <c r="AZ52" s="637"/>
      <c r="BA52" s="637"/>
      <c r="BB52" s="637"/>
      <c r="BC52" s="637"/>
      <c r="BD52" s="637"/>
      <c r="BE52" s="637"/>
      <c r="BF52" s="637"/>
      <c r="BG52" s="637"/>
    </row>
    <row r="53" spans="1:59" x14ac:dyDescent="0.45">
      <c r="A53" s="637"/>
      <c r="B53" s="637"/>
      <c r="C53" s="637"/>
      <c r="D53" s="637"/>
      <c r="E53" s="637"/>
      <c r="F53" s="637"/>
      <c r="G53" s="637"/>
      <c r="H53" s="637"/>
      <c r="I53" s="637"/>
      <c r="J53" s="637"/>
      <c r="K53" s="637"/>
      <c r="L53" s="637"/>
      <c r="M53" s="637"/>
      <c r="N53" s="637"/>
      <c r="O53" s="637"/>
      <c r="P53" s="691"/>
      <c r="Q53" s="692"/>
      <c r="R53" s="691"/>
      <c r="S53" s="691"/>
      <c r="T53" s="691"/>
      <c r="U53" s="691"/>
      <c r="V53" s="691"/>
      <c r="W53" s="691"/>
      <c r="X53" s="691"/>
      <c r="Y53" s="691"/>
      <c r="Z53" s="691"/>
      <c r="AA53" s="691"/>
      <c r="AB53" s="637"/>
      <c r="AC53" s="637"/>
      <c r="AD53" s="637"/>
      <c r="AE53" s="637"/>
      <c r="AF53" s="637"/>
      <c r="AG53" s="637"/>
      <c r="AH53" s="637"/>
      <c r="AI53" s="637"/>
      <c r="AJ53" s="637"/>
      <c r="AK53" s="637"/>
      <c r="AL53" s="637"/>
      <c r="AM53" s="637"/>
      <c r="AN53" s="637"/>
      <c r="AO53" s="637"/>
      <c r="AP53" s="637"/>
      <c r="AQ53" s="637"/>
      <c r="AR53" s="637"/>
      <c r="AS53" s="637"/>
      <c r="AT53" s="637">
        <v>47</v>
      </c>
      <c r="AU53" s="637"/>
      <c r="AV53" s="637"/>
      <c r="AW53" s="637"/>
      <c r="AX53" s="637"/>
      <c r="AY53" s="637"/>
      <c r="AZ53" s="637"/>
      <c r="BA53" s="637"/>
      <c r="BB53" s="637"/>
      <c r="BC53" s="637"/>
      <c r="BD53" s="637"/>
      <c r="BE53" s="637"/>
      <c r="BF53" s="637"/>
      <c r="BG53" s="637"/>
    </row>
    <row r="54" spans="1:59" x14ac:dyDescent="0.45">
      <c r="A54" s="637"/>
      <c r="B54" s="637"/>
      <c r="C54" s="637"/>
      <c r="D54" s="637"/>
      <c r="E54" s="637"/>
      <c r="F54" s="637"/>
      <c r="G54" s="637"/>
      <c r="H54" s="637"/>
      <c r="I54" s="637"/>
      <c r="J54" s="637"/>
      <c r="K54" s="637"/>
      <c r="L54" s="637"/>
      <c r="M54" s="637"/>
      <c r="N54" s="637"/>
      <c r="O54" s="637"/>
      <c r="P54" s="691"/>
      <c r="Q54" s="692"/>
      <c r="R54" s="691"/>
      <c r="S54" s="691"/>
      <c r="T54" s="691"/>
      <c r="U54" s="691"/>
      <c r="V54" s="691"/>
      <c r="W54" s="691"/>
      <c r="X54" s="691"/>
      <c r="Y54" s="691"/>
      <c r="Z54" s="691"/>
      <c r="AA54" s="691"/>
      <c r="AB54" s="637"/>
      <c r="AC54" s="637"/>
      <c r="AD54" s="637"/>
      <c r="AE54" s="637"/>
      <c r="AF54" s="637"/>
      <c r="AG54" s="637"/>
      <c r="AH54" s="637"/>
      <c r="AI54" s="637"/>
      <c r="AJ54" s="637"/>
      <c r="AK54" s="637"/>
      <c r="AL54" s="637"/>
      <c r="AM54" s="637"/>
      <c r="AN54" s="637"/>
      <c r="AO54" s="637"/>
      <c r="AP54" s="637"/>
      <c r="AQ54" s="637"/>
      <c r="AR54" s="637"/>
      <c r="AS54" s="637"/>
      <c r="AT54" s="637">
        <v>48</v>
      </c>
      <c r="AU54" s="637"/>
      <c r="AV54" s="637"/>
      <c r="AW54" s="637"/>
      <c r="AX54" s="637"/>
      <c r="AY54" s="637"/>
      <c r="AZ54" s="637"/>
      <c r="BA54" s="637"/>
      <c r="BB54" s="637"/>
      <c r="BC54" s="637"/>
      <c r="BD54" s="637"/>
      <c r="BE54" s="637"/>
      <c r="BF54" s="637"/>
      <c r="BG54" s="637"/>
    </row>
    <row r="55" spans="1:59" x14ac:dyDescent="0.45">
      <c r="A55" s="637"/>
      <c r="B55" s="637"/>
      <c r="C55" s="637"/>
      <c r="D55" s="637"/>
      <c r="E55" s="637"/>
      <c r="F55" s="637"/>
      <c r="G55" s="637"/>
      <c r="H55" s="637"/>
      <c r="I55" s="637"/>
      <c r="J55" s="637"/>
      <c r="K55" s="637"/>
      <c r="L55" s="637"/>
      <c r="M55" s="637"/>
      <c r="N55" s="637"/>
      <c r="O55" s="637"/>
      <c r="P55" s="691"/>
      <c r="Q55" s="692"/>
      <c r="R55" s="691"/>
      <c r="S55" s="691"/>
      <c r="T55" s="691"/>
      <c r="U55" s="691"/>
      <c r="V55" s="691"/>
      <c r="W55" s="691"/>
      <c r="X55" s="691"/>
      <c r="Y55" s="691"/>
      <c r="Z55" s="691"/>
      <c r="AA55" s="691"/>
      <c r="AB55" s="637"/>
      <c r="AC55" s="637"/>
      <c r="AD55" s="637"/>
      <c r="AE55" s="637"/>
      <c r="AF55" s="637"/>
      <c r="AG55" s="637"/>
      <c r="AH55" s="637"/>
      <c r="AI55" s="637"/>
      <c r="AJ55" s="637"/>
      <c r="AK55" s="637"/>
      <c r="AL55" s="637"/>
      <c r="AM55" s="637"/>
      <c r="AN55" s="637"/>
      <c r="AO55" s="637"/>
      <c r="AP55" s="637"/>
      <c r="AQ55" s="637"/>
      <c r="AR55" s="637"/>
      <c r="AS55" s="637"/>
      <c r="AT55" s="637">
        <v>49</v>
      </c>
      <c r="AU55" s="637"/>
      <c r="AV55" s="637"/>
      <c r="AW55" s="637"/>
      <c r="AX55" s="637"/>
      <c r="AY55" s="637"/>
      <c r="AZ55" s="637"/>
      <c r="BA55" s="637"/>
      <c r="BB55" s="637"/>
      <c r="BC55" s="637"/>
      <c r="BD55" s="637"/>
      <c r="BE55" s="637"/>
      <c r="BF55" s="637"/>
      <c r="BG55" s="637"/>
    </row>
    <row r="56" spans="1:59" x14ac:dyDescent="0.45">
      <c r="A56" s="637"/>
      <c r="B56" s="637"/>
      <c r="C56" s="637"/>
      <c r="D56" s="637"/>
      <c r="E56" s="637"/>
      <c r="F56" s="637"/>
      <c r="G56" s="637"/>
      <c r="H56" s="637"/>
      <c r="I56" s="637"/>
      <c r="J56" s="637"/>
      <c r="K56" s="637"/>
      <c r="L56" s="637"/>
      <c r="M56" s="637"/>
      <c r="N56" s="637"/>
      <c r="O56" s="637"/>
      <c r="P56" s="691"/>
      <c r="Q56" s="692"/>
      <c r="R56" s="691"/>
      <c r="S56" s="691"/>
      <c r="T56" s="691"/>
      <c r="U56" s="691"/>
      <c r="V56" s="691"/>
      <c r="W56" s="691"/>
      <c r="X56" s="691"/>
      <c r="Y56" s="691"/>
      <c r="Z56" s="691"/>
      <c r="AA56" s="691"/>
      <c r="AB56" s="637"/>
      <c r="AC56" s="637"/>
      <c r="AD56" s="637"/>
      <c r="AE56" s="637"/>
      <c r="AF56" s="637"/>
      <c r="AG56" s="637"/>
      <c r="AH56" s="637"/>
      <c r="AI56" s="637"/>
      <c r="AJ56" s="637"/>
      <c r="AK56" s="637"/>
      <c r="AL56" s="637"/>
      <c r="AM56" s="637"/>
      <c r="AN56" s="637"/>
      <c r="AO56" s="637"/>
      <c r="AP56" s="637"/>
      <c r="AQ56" s="637"/>
      <c r="AR56" s="637"/>
      <c r="AS56" s="637"/>
      <c r="AT56" s="637">
        <v>50</v>
      </c>
      <c r="AU56" s="637"/>
      <c r="AV56" s="637"/>
      <c r="AW56" s="637"/>
      <c r="AX56" s="637"/>
      <c r="AY56" s="637"/>
      <c r="AZ56" s="637"/>
      <c r="BA56" s="637"/>
      <c r="BB56" s="637"/>
      <c r="BC56" s="637"/>
      <c r="BD56" s="637"/>
      <c r="BE56" s="637"/>
      <c r="BF56" s="637"/>
      <c r="BG56" s="637"/>
    </row>
    <row r="57" spans="1:59" x14ac:dyDescent="0.45">
      <c r="A57" s="637"/>
      <c r="B57" s="637"/>
      <c r="C57" s="637"/>
      <c r="D57" s="637"/>
      <c r="E57" s="637"/>
      <c r="F57" s="637"/>
      <c r="G57" s="637"/>
      <c r="H57" s="637"/>
      <c r="I57" s="637"/>
      <c r="J57" s="637"/>
      <c r="K57" s="637"/>
      <c r="L57" s="637"/>
      <c r="M57" s="637"/>
      <c r="N57" s="637"/>
      <c r="O57" s="637"/>
      <c r="P57" s="691"/>
      <c r="Q57" s="692"/>
      <c r="R57" s="691"/>
      <c r="S57" s="691"/>
      <c r="T57" s="691"/>
      <c r="U57" s="691"/>
      <c r="V57" s="691"/>
      <c r="W57" s="691"/>
      <c r="X57" s="691"/>
      <c r="Y57" s="691"/>
      <c r="Z57" s="691"/>
      <c r="AA57" s="691"/>
      <c r="AB57" s="637"/>
      <c r="AC57" s="637"/>
      <c r="AD57" s="637"/>
      <c r="AE57" s="637"/>
      <c r="AF57" s="637"/>
      <c r="AG57" s="637"/>
      <c r="AH57" s="637"/>
      <c r="AI57" s="637"/>
      <c r="AJ57" s="637"/>
      <c r="AK57" s="637"/>
      <c r="AL57" s="637"/>
      <c r="AM57" s="637"/>
      <c r="AN57" s="637"/>
      <c r="AO57" s="637"/>
      <c r="AP57" s="637"/>
      <c r="AQ57" s="637"/>
      <c r="AR57" s="637"/>
      <c r="AS57" s="637"/>
      <c r="AT57" s="637">
        <v>51</v>
      </c>
      <c r="AU57" s="637"/>
      <c r="AV57" s="637"/>
      <c r="AW57" s="637"/>
      <c r="AX57" s="637"/>
      <c r="AY57" s="637"/>
      <c r="AZ57" s="637"/>
      <c r="BA57" s="637"/>
      <c r="BB57" s="637"/>
      <c r="BC57" s="637"/>
      <c r="BD57" s="637"/>
      <c r="BE57" s="637"/>
      <c r="BF57" s="637"/>
      <c r="BG57" s="637"/>
    </row>
    <row r="58" spans="1:59" x14ac:dyDescent="0.45">
      <c r="A58" s="637"/>
      <c r="B58" s="637"/>
      <c r="C58" s="637"/>
      <c r="D58" s="637"/>
      <c r="E58" s="637"/>
      <c r="F58" s="637"/>
      <c r="G58" s="637"/>
      <c r="H58" s="637"/>
      <c r="I58" s="637"/>
      <c r="J58" s="637"/>
      <c r="K58" s="637"/>
      <c r="L58" s="637"/>
      <c r="M58" s="637"/>
      <c r="N58" s="637"/>
      <c r="O58" s="637"/>
      <c r="P58" s="691"/>
      <c r="Q58" s="692"/>
      <c r="R58" s="691"/>
      <c r="S58" s="691"/>
      <c r="T58" s="691"/>
      <c r="U58" s="691"/>
      <c r="V58" s="691"/>
      <c r="W58" s="691"/>
      <c r="X58" s="691"/>
      <c r="Y58" s="691"/>
      <c r="Z58" s="691"/>
      <c r="AA58" s="691"/>
      <c r="AB58" s="637"/>
      <c r="AC58" s="637"/>
      <c r="AD58" s="637"/>
      <c r="AE58" s="637"/>
      <c r="AF58" s="637"/>
      <c r="AG58" s="637"/>
      <c r="AH58" s="637"/>
      <c r="AI58" s="637"/>
      <c r="AJ58" s="637"/>
      <c r="AK58" s="637"/>
      <c r="AL58" s="637"/>
      <c r="AM58" s="637"/>
      <c r="AN58" s="637"/>
      <c r="AO58" s="637"/>
      <c r="AP58" s="637"/>
      <c r="AQ58" s="637"/>
      <c r="AR58" s="637"/>
      <c r="AS58" s="637"/>
      <c r="AT58" s="637">
        <v>52</v>
      </c>
      <c r="AU58" s="637"/>
      <c r="AV58" s="637"/>
      <c r="AW58" s="637"/>
      <c r="AX58" s="637"/>
      <c r="AY58" s="637"/>
      <c r="AZ58" s="637"/>
      <c r="BA58" s="637"/>
      <c r="BB58" s="637"/>
      <c r="BC58" s="637"/>
      <c r="BD58" s="637"/>
      <c r="BE58" s="637"/>
      <c r="BF58" s="637"/>
      <c r="BG58" s="637"/>
    </row>
    <row r="59" spans="1:59" x14ac:dyDescent="0.45">
      <c r="A59" s="637"/>
      <c r="B59" s="637"/>
      <c r="C59" s="637"/>
      <c r="D59" s="637"/>
      <c r="E59" s="637"/>
      <c r="F59" s="637"/>
      <c r="G59" s="637"/>
      <c r="H59" s="637"/>
      <c r="I59" s="637"/>
      <c r="J59" s="637"/>
      <c r="K59" s="637"/>
      <c r="L59" s="637"/>
      <c r="M59" s="637"/>
      <c r="N59" s="637"/>
      <c r="O59" s="637"/>
      <c r="P59" s="691"/>
      <c r="Q59" s="692"/>
      <c r="R59" s="691"/>
      <c r="S59" s="691"/>
      <c r="T59" s="691"/>
      <c r="U59" s="691"/>
      <c r="V59" s="691"/>
      <c r="W59" s="691"/>
      <c r="X59" s="691"/>
      <c r="Y59" s="691"/>
      <c r="Z59" s="691"/>
      <c r="AA59" s="691"/>
      <c r="AB59" s="637"/>
      <c r="AC59" s="637"/>
      <c r="AD59" s="637"/>
      <c r="AE59" s="637"/>
      <c r="AF59" s="637"/>
      <c r="AG59" s="637"/>
      <c r="AH59" s="637"/>
      <c r="AI59" s="637"/>
      <c r="AJ59" s="637"/>
      <c r="AK59" s="637"/>
      <c r="AL59" s="637"/>
      <c r="AM59" s="637"/>
      <c r="AN59" s="637"/>
      <c r="AO59" s="637"/>
      <c r="AP59" s="637"/>
      <c r="AQ59" s="637"/>
      <c r="AR59" s="637"/>
      <c r="AS59" s="637"/>
      <c r="AT59" s="637">
        <v>53</v>
      </c>
      <c r="AU59" s="637"/>
      <c r="AV59" s="637"/>
      <c r="AW59" s="637"/>
      <c r="AX59" s="637"/>
      <c r="AY59" s="637"/>
      <c r="AZ59" s="637"/>
      <c r="BA59" s="637"/>
      <c r="BB59" s="637"/>
      <c r="BC59" s="637"/>
      <c r="BD59" s="637"/>
      <c r="BE59" s="637"/>
      <c r="BF59" s="637"/>
      <c r="BG59" s="637"/>
    </row>
    <row r="60" spans="1:59" x14ac:dyDescent="0.45">
      <c r="A60" s="637"/>
      <c r="B60" s="637"/>
      <c r="C60" s="637"/>
      <c r="D60" s="637"/>
      <c r="E60" s="637"/>
      <c r="F60" s="637"/>
      <c r="G60" s="637"/>
      <c r="H60" s="637"/>
      <c r="I60" s="637"/>
      <c r="J60" s="637"/>
      <c r="K60" s="637"/>
      <c r="L60" s="637"/>
      <c r="M60" s="637"/>
      <c r="N60" s="637"/>
      <c r="O60" s="637"/>
      <c r="P60" s="691"/>
      <c r="Q60" s="692"/>
      <c r="R60" s="691"/>
      <c r="S60" s="691"/>
      <c r="T60" s="691"/>
      <c r="U60" s="691"/>
      <c r="V60" s="691"/>
      <c r="W60" s="691"/>
      <c r="X60" s="691"/>
      <c r="Y60" s="691"/>
      <c r="Z60" s="691"/>
      <c r="AA60" s="691"/>
      <c r="AB60" s="637"/>
      <c r="AC60" s="637"/>
      <c r="AD60" s="637"/>
      <c r="AE60" s="637"/>
      <c r="AF60" s="637"/>
      <c r="AG60" s="637"/>
      <c r="AH60" s="637"/>
      <c r="AI60" s="637"/>
      <c r="AJ60" s="637"/>
      <c r="AK60" s="637"/>
      <c r="AL60" s="637"/>
      <c r="AM60" s="637"/>
      <c r="AN60" s="637"/>
      <c r="AO60" s="637"/>
      <c r="AP60" s="637"/>
      <c r="AQ60" s="637"/>
      <c r="AR60" s="637"/>
      <c r="AS60" s="637"/>
      <c r="AT60" s="637">
        <v>54</v>
      </c>
      <c r="AU60" s="637"/>
      <c r="AV60" s="637"/>
      <c r="AW60" s="637"/>
      <c r="AX60" s="637"/>
      <c r="AY60" s="637"/>
      <c r="AZ60" s="637"/>
      <c r="BA60" s="637"/>
      <c r="BB60" s="637"/>
      <c r="BC60" s="637"/>
      <c r="BD60" s="637"/>
      <c r="BE60" s="637"/>
      <c r="BF60" s="637"/>
      <c r="BG60" s="637"/>
    </row>
    <row r="61" spans="1:59" x14ac:dyDescent="0.45">
      <c r="A61" s="637"/>
      <c r="B61" s="637"/>
      <c r="C61" s="637"/>
      <c r="D61" s="637"/>
      <c r="E61" s="637"/>
      <c r="F61" s="637"/>
      <c r="G61" s="637"/>
      <c r="H61" s="637"/>
      <c r="I61" s="637"/>
      <c r="J61" s="637"/>
      <c r="K61" s="637"/>
      <c r="L61" s="637"/>
      <c r="M61" s="637"/>
      <c r="N61" s="637"/>
      <c r="O61" s="637"/>
      <c r="P61" s="691"/>
      <c r="Q61" s="692"/>
      <c r="R61" s="691"/>
      <c r="S61" s="691"/>
      <c r="T61" s="691"/>
      <c r="U61" s="691"/>
      <c r="V61" s="691"/>
      <c r="W61" s="691"/>
      <c r="X61" s="691"/>
      <c r="Y61" s="691"/>
      <c r="Z61" s="691"/>
      <c r="AA61" s="691"/>
      <c r="AB61" s="637"/>
      <c r="AC61" s="637"/>
      <c r="AD61" s="637"/>
      <c r="AE61" s="637"/>
      <c r="AF61" s="637"/>
      <c r="AG61" s="637"/>
      <c r="AH61" s="637"/>
      <c r="AI61" s="637"/>
      <c r="AJ61" s="637"/>
      <c r="AK61" s="637"/>
      <c r="AL61" s="637"/>
      <c r="AM61" s="637"/>
      <c r="AN61" s="637"/>
      <c r="AO61" s="637"/>
      <c r="AP61" s="637"/>
      <c r="AQ61" s="637"/>
      <c r="AR61" s="637"/>
      <c r="AS61" s="637"/>
      <c r="AT61" s="637">
        <v>55</v>
      </c>
      <c r="AU61" s="637"/>
      <c r="AV61" s="637"/>
      <c r="AW61" s="637"/>
      <c r="AX61" s="637"/>
      <c r="AY61" s="637"/>
      <c r="AZ61" s="637"/>
      <c r="BA61" s="637"/>
      <c r="BB61" s="637"/>
      <c r="BC61" s="637"/>
      <c r="BD61" s="637"/>
      <c r="BE61" s="637"/>
      <c r="BF61" s="637"/>
      <c r="BG61" s="637"/>
    </row>
    <row r="62" spans="1:59" x14ac:dyDescent="0.45">
      <c r="A62" s="637"/>
      <c r="B62" s="637"/>
      <c r="C62" s="637"/>
      <c r="D62" s="637"/>
      <c r="E62" s="637"/>
      <c r="F62" s="637"/>
      <c r="G62" s="637"/>
      <c r="H62" s="637"/>
      <c r="I62" s="637"/>
      <c r="J62" s="637"/>
      <c r="K62" s="637"/>
      <c r="L62" s="637"/>
      <c r="M62" s="637"/>
      <c r="N62" s="637"/>
      <c r="O62" s="637"/>
      <c r="P62" s="691"/>
      <c r="Q62" s="692"/>
      <c r="R62" s="691"/>
      <c r="S62" s="691"/>
      <c r="T62" s="691"/>
      <c r="U62" s="691"/>
      <c r="V62" s="691"/>
      <c r="W62" s="691"/>
      <c r="X62" s="691"/>
      <c r="Y62" s="691"/>
      <c r="Z62" s="691"/>
      <c r="AA62" s="691"/>
      <c r="AB62" s="637"/>
      <c r="AC62" s="637"/>
      <c r="AD62" s="637"/>
      <c r="AE62" s="637"/>
      <c r="AF62" s="637"/>
      <c r="AG62" s="637"/>
      <c r="AH62" s="637"/>
      <c r="AI62" s="637"/>
      <c r="AJ62" s="637"/>
      <c r="AK62" s="637"/>
      <c r="AL62" s="637"/>
      <c r="AM62" s="637"/>
      <c r="AN62" s="637"/>
      <c r="AO62" s="637"/>
      <c r="AP62" s="637"/>
      <c r="AQ62" s="637"/>
      <c r="AR62" s="637"/>
      <c r="AS62" s="637"/>
      <c r="AT62" s="637">
        <v>56</v>
      </c>
      <c r="AU62" s="637"/>
      <c r="AV62" s="637"/>
      <c r="AW62" s="637"/>
      <c r="AX62" s="637"/>
      <c r="AY62" s="637"/>
      <c r="AZ62" s="637"/>
      <c r="BA62" s="637"/>
      <c r="BB62" s="637"/>
      <c r="BC62" s="637"/>
      <c r="BD62" s="637"/>
      <c r="BE62" s="637"/>
      <c r="BF62" s="637"/>
      <c r="BG62" s="637"/>
    </row>
    <row r="63" spans="1:59" x14ac:dyDescent="0.45">
      <c r="A63" s="637"/>
      <c r="B63" s="637"/>
      <c r="C63" s="637"/>
      <c r="D63" s="637"/>
      <c r="E63" s="637"/>
      <c r="F63" s="637"/>
      <c r="G63" s="637"/>
      <c r="H63" s="637"/>
      <c r="I63" s="637"/>
      <c r="J63" s="637"/>
      <c r="K63" s="637"/>
      <c r="L63" s="637"/>
      <c r="M63" s="637"/>
      <c r="N63" s="637"/>
      <c r="O63" s="637"/>
      <c r="P63" s="691"/>
      <c r="Q63" s="692"/>
      <c r="R63" s="691"/>
      <c r="S63" s="691"/>
      <c r="T63" s="691"/>
      <c r="U63" s="691"/>
      <c r="V63" s="691"/>
      <c r="W63" s="691"/>
      <c r="X63" s="691"/>
      <c r="Y63" s="691"/>
      <c r="Z63" s="691"/>
      <c r="AA63" s="691"/>
      <c r="AB63" s="637"/>
      <c r="AC63" s="637"/>
      <c r="AD63" s="637"/>
      <c r="AE63" s="637"/>
      <c r="AF63" s="637"/>
      <c r="AG63" s="637"/>
      <c r="AH63" s="637"/>
      <c r="AI63" s="637"/>
      <c r="AJ63" s="637"/>
      <c r="AK63" s="637"/>
      <c r="AL63" s="637"/>
      <c r="AM63" s="637"/>
      <c r="AN63" s="637"/>
      <c r="AO63" s="637"/>
      <c r="AP63" s="637"/>
      <c r="AQ63" s="637"/>
      <c r="AR63" s="637"/>
      <c r="AS63" s="637"/>
      <c r="AT63" s="637">
        <v>57</v>
      </c>
      <c r="AU63" s="637"/>
      <c r="AV63" s="637"/>
      <c r="AW63" s="637"/>
      <c r="AX63" s="637"/>
      <c r="AY63" s="637"/>
      <c r="AZ63" s="637"/>
      <c r="BA63" s="637"/>
      <c r="BB63" s="637"/>
      <c r="BC63" s="637"/>
      <c r="BD63" s="637"/>
      <c r="BE63" s="637"/>
      <c r="BF63" s="637"/>
      <c r="BG63" s="637"/>
    </row>
    <row r="64" spans="1:59" x14ac:dyDescent="0.45">
      <c r="A64" s="637"/>
      <c r="B64" s="637"/>
      <c r="C64" s="637"/>
      <c r="D64" s="637"/>
      <c r="E64" s="637"/>
      <c r="F64" s="637"/>
      <c r="G64" s="637"/>
      <c r="H64" s="637"/>
      <c r="I64" s="637"/>
      <c r="J64" s="637"/>
      <c r="K64" s="637"/>
      <c r="L64" s="637"/>
      <c r="M64" s="637"/>
      <c r="N64" s="637"/>
      <c r="O64" s="637"/>
      <c r="P64" s="691"/>
      <c r="Q64" s="692"/>
      <c r="R64" s="691"/>
      <c r="S64" s="691"/>
      <c r="T64" s="691"/>
      <c r="U64" s="691"/>
      <c r="V64" s="691"/>
      <c r="W64" s="691"/>
      <c r="X64" s="691"/>
      <c r="Y64" s="691"/>
      <c r="Z64" s="691"/>
      <c r="AA64" s="691"/>
      <c r="AB64" s="637"/>
      <c r="AC64" s="637"/>
      <c r="AD64" s="637"/>
      <c r="AE64" s="637"/>
      <c r="AF64" s="637"/>
      <c r="AG64" s="637"/>
      <c r="AH64" s="637"/>
      <c r="AI64" s="637"/>
      <c r="AJ64" s="637"/>
      <c r="AK64" s="637"/>
      <c r="AL64" s="637"/>
      <c r="AM64" s="637"/>
      <c r="AN64" s="637"/>
      <c r="AO64" s="637"/>
      <c r="AP64" s="637"/>
      <c r="AQ64" s="637"/>
      <c r="AR64" s="637"/>
      <c r="AS64" s="637"/>
      <c r="AT64" s="637">
        <v>58</v>
      </c>
      <c r="AU64" s="637"/>
      <c r="AV64" s="637"/>
      <c r="AW64" s="637"/>
      <c r="AX64" s="637"/>
      <c r="AY64" s="637"/>
      <c r="AZ64" s="637"/>
      <c r="BA64" s="637"/>
      <c r="BB64" s="637"/>
      <c r="BC64" s="637"/>
      <c r="BD64" s="637"/>
      <c r="BE64" s="637"/>
      <c r="BF64" s="637"/>
      <c r="BG64" s="637"/>
    </row>
    <row r="65" spans="1:59" x14ac:dyDescent="0.45">
      <c r="A65" s="637"/>
      <c r="B65" s="637"/>
      <c r="C65" s="637"/>
      <c r="D65" s="637"/>
      <c r="E65" s="637"/>
      <c r="F65" s="637"/>
      <c r="G65" s="637"/>
      <c r="H65" s="637"/>
      <c r="I65" s="637"/>
      <c r="J65" s="637"/>
      <c r="K65" s="637"/>
      <c r="L65" s="637"/>
      <c r="M65" s="637"/>
      <c r="N65" s="637"/>
      <c r="O65" s="637"/>
      <c r="P65" s="691"/>
      <c r="Q65" s="692"/>
      <c r="R65" s="691"/>
      <c r="S65" s="691"/>
      <c r="T65" s="691"/>
      <c r="U65" s="691"/>
      <c r="V65" s="691"/>
      <c r="W65" s="691"/>
      <c r="X65" s="691"/>
      <c r="Y65" s="691"/>
      <c r="Z65" s="691"/>
      <c r="AA65" s="691"/>
      <c r="AB65" s="637"/>
      <c r="AC65" s="637"/>
      <c r="AD65" s="637"/>
      <c r="AE65" s="637"/>
      <c r="AF65" s="637"/>
      <c r="AG65" s="637"/>
      <c r="AH65" s="637"/>
      <c r="AI65" s="637"/>
      <c r="AJ65" s="637"/>
      <c r="AK65" s="637"/>
      <c r="AL65" s="637"/>
      <c r="AM65" s="637"/>
      <c r="AN65" s="637"/>
      <c r="AO65" s="637"/>
      <c r="AP65" s="637"/>
      <c r="AQ65" s="637"/>
      <c r="AR65" s="637"/>
      <c r="AS65" s="637"/>
      <c r="AT65" s="637">
        <v>59</v>
      </c>
      <c r="AU65" s="637"/>
      <c r="AV65" s="637"/>
      <c r="AW65" s="637"/>
      <c r="AX65" s="637"/>
      <c r="AY65" s="637"/>
      <c r="AZ65" s="637"/>
      <c r="BA65" s="637"/>
      <c r="BB65" s="637"/>
      <c r="BC65" s="637"/>
      <c r="BD65" s="637"/>
      <c r="BE65" s="637"/>
      <c r="BF65" s="637"/>
      <c r="BG65" s="637"/>
    </row>
    <row r="66" spans="1:59" x14ac:dyDescent="0.45">
      <c r="A66" s="637"/>
      <c r="B66" s="637"/>
      <c r="C66" s="637"/>
      <c r="D66" s="637"/>
      <c r="E66" s="637"/>
      <c r="F66" s="637"/>
      <c r="G66" s="637"/>
      <c r="H66" s="637"/>
      <c r="I66" s="637"/>
      <c r="J66" s="637"/>
      <c r="K66" s="637"/>
      <c r="L66" s="637"/>
      <c r="M66" s="637"/>
      <c r="N66" s="637"/>
      <c r="O66" s="637"/>
      <c r="P66" s="691"/>
      <c r="Q66" s="692"/>
      <c r="R66" s="691"/>
      <c r="S66" s="691"/>
      <c r="T66" s="691"/>
      <c r="U66" s="691"/>
      <c r="V66" s="691"/>
      <c r="W66" s="691"/>
      <c r="X66" s="691"/>
      <c r="Y66" s="691"/>
      <c r="Z66" s="691"/>
      <c r="AA66" s="691"/>
      <c r="AB66" s="637"/>
      <c r="AC66" s="637"/>
      <c r="AD66" s="637"/>
      <c r="AE66" s="637"/>
      <c r="AF66" s="637"/>
      <c r="AG66" s="637"/>
      <c r="AH66" s="637"/>
      <c r="AI66" s="637"/>
      <c r="AJ66" s="637"/>
      <c r="AK66" s="637"/>
      <c r="AL66" s="637"/>
      <c r="AM66" s="637"/>
      <c r="AN66" s="637"/>
      <c r="AO66" s="637"/>
      <c r="AP66" s="637"/>
      <c r="AQ66" s="637"/>
      <c r="AR66" s="637"/>
      <c r="AS66" s="637"/>
      <c r="AT66" s="637">
        <v>60</v>
      </c>
      <c r="AU66" s="637"/>
      <c r="AV66" s="637"/>
      <c r="AW66" s="637"/>
      <c r="AX66" s="637"/>
      <c r="AY66" s="637"/>
      <c r="AZ66" s="637"/>
      <c r="BA66" s="637"/>
      <c r="BB66" s="637"/>
      <c r="BC66" s="637"/>
      <c r="BD66" s="637"/>
      <c r="BE66" s="637"/>
      <c r="BF66" s="637"/>
      <c r="BG66" s="637"/>
    </row>
    <row r="67" spans="1:59" x14ac:dyDescent="0.45">
      <c r="A67" s="637"/>
      <c r="B67" s="637"/>
      <c r="C67" s="637"/>
      <c r="D67" s="637"/>
      <c r="E67" s="637"/>
      <c r="F67" s="637"/>
      <c r="G67" s="637"/>
      <c r="H67" s="637"/>
      <c r="I67" s="637"/>
      <c r="J67" s="637"/>
      <c r="K67" s="637"/>
      <c r="L67" s="637"/>
      <c r="M67" s="637"/>
      <c r="N67" s="637"/>
      <c r="O67" s="637"/>
      <c r="P67" s="691"/>
      <c r="Q67" s="692"/>
      <c r="R67" s="691"/>
      <c r="S67" s="691"/>
      <c r="T67" s="691"/>
      <c r="U67" s="691"/>
      <c r="V67" s="691"/>
      <c r="W67" s="691"/>
      <c r="X67" s="691"/>
      <c r="Y67" s="691"/>
      <c r="Z67" s="691"/>
      <c r="AA67" s="691"/>
      <c r="AB67" s="637"/>
      <c r="AC67" s="637"/>
      <c r="AD67" s="637"/>
      <c r="AE67" s="637"/>
      <c r="AF67" s="637"/>
      <c r="AG67" s="637"/>
      <c r="AH67" s="637"/>
      <c r="AI67" s="637"/>
      <c r="AJ67" s="637"/>
      <c r="AK67" s="637"/>
      <c r="AL67" s="637"/>
      <c r="AM67" s="637"/>
      <c r="AN67" s="637"/>
      <c r="AO67" s="637"/>
      <c r="AP67" s="637"/>
      <c r="AQ67" s="637"/>
      <c r="AR67" s="637"/>
      <c r="AS67" s="637"/>
      <c r="AT67" s="637">
        <v>61</v>
      </c>
      <c r="AU67" s="637"/>
      <c r="AV67" s="637"/>
      <c r="AW67" s="637"/>
      <c r="AX67" s="637"/>
      <c r="AY67" s="637"/>
      <c r="AZ67" s="637"/>
      <c r="BA67" s="637"/>
      <c r="BB67" s="637"/>
      <c r="BC67" s="637"/>
      <c r="BD67" s="637"/>
      <c r="BE67" s="637"/>
      <c r="BF67" s="637"/>
      <c r="BG67" s="637"/>
    </row>
    <row r="68" spans="1:59" x14ac:dyDescent="0.45">
      <c r="A68" s="637"/>
      <c r="B68" s="637"/>
      <c r="C68" s="637"/>
      <c r="D68" s="637"/>
      <c r="E68" s="637"/>
      <c r="F68" s="637"/>
      <c r="G68" s="637"/>
      <c r="H68" s="637"/>
      <c r="I68" s="637"/>
      <c r="J68" s="637"/>
      <c r="K68" s="637"/>
      <c r="L68" s="637"/>
      <c r="M68" s="637"/>
      <c r="N68" s="637"/>
      <c r="O68" s="637"/>
      <c r="P68" s="691"/>
      <c r="Q68" s="692"/>
      <c r="R68" s="691"/>
      <c r="S68" s="691"/>
      <c r="T68" s="691"/>
      <c r="U68" s="691"/>
      <c r="V68" s="691"/>
      <c r="W68" s="691"/>
      <c r="X68" s="691"/>
      <c r="Y68" s="691"/>
      <c r="Z68" s="691"/>
      <c r="AA68" s="691"/>
      <c r="AB68" s="637"/>
      <c r="AC68" s="637"/>
      <c r="AD68" s="637"/>
      <c r="AE68" s="637"/>
      <c r="AF68" s="637"/>
      <c r="AG68" s="637"/>
      <c r="AH68" s="637"/>
      <c r="AI68" s="637"/>
      <c r="AJ68" s="637"/>
      <c r="AK68" s="637"/>
      <c r="AL68" s="637"/>
      <c r="AM68" s="637"/>
      <c r="AN68" s="637"/>
      <c r="AO68" s="637"/>
      <c r="AP68" s="637"/>
      <c r="AQ68" s="637"/>
      <c r="AR68" s="637"/>
      <c r="AS68" s="637"/>
      <c r="AT68" s="637">
        <v>62</v>
      </c>
      <c r="AU68" s="637"/>
      <c r="AV68" s="637"/>
      <c r="AW68" s="637"/>
      <c r="AX68" s="637"/>
      <c r="AY68" s="637"/>
      <c r="AZ68" s="637"/>
      <c r="BA68" s="637"/>
      <c r="BB68" s="637"/>
      <c r="BC68" s="637"/>
      <c r="BD68" s="637"/>
      <c r="BE68" s="637"/>
      <c r="BF68" s="637"/>
      <c r="BG68" s="637"/>
    </row>
    <row r="69" spans="1:59" x14ac:dyDescent="0.45">
      <c r="A69" s="637"/>
      <c r="B69" s="637"/>
      <c r="C69" s="637"/>
      <c r="D69" s="637"/>
      <c r="E69" s="637"/>
      <c r="F69" s="637"/>
      <c r="G69" s="637"/>
      <c r="H69" s="637"/>
      <c r="I69" s="637"/>
      <c r="J69" s="637"/>
      <c r="K69" s="637"/>
      <c r="L69" s="637"/>
      <c r="M69" s="637"/>
      <c r="N69" s="637"/>
      <c r="O69" s="637"/>
      <c r="P69" s="691"/>
      <c r="Q69" s="692"/>
      <c r="R69" s="691"/>
      <c r="S69" s="691"/>
      <c r="T69" s="691"/>
      <c r="U69" s="691"/>
      <c r="V69" s="691"/>
      <c r="W69" s="691"/>
      <c r="X69" s="691"/>
      <c r="Y69" s="691"/>
      <c r="Z69" s="691"/>
      <c r="AA69" s="691"/>
      <c r="AB69" s="637"/>
      <c r="AC69" s="637"/>
      <c r="AD69" s="637"/>
      <c r="AE69" s="637"/>
      <c r="AF69" s="637"/>
      <c r="AG69" s="637"/>
      <c r="AH69" s="637"/>
      <c r="AI69" s="637"/>
      <c r="AJ69" s="637"/>
      <c r="AK69" s="637"/>
      <c r="AL69" s="637"/>
      <c r="AM69" s="637"/>
      <c r="AN69" s="637"/>
      <c r="AO69" s="637"/>
      <c r="AP69" s="637"/>
      <c r="AQ69" s="637"/>
      <c r="AR69" s="637"/>
      <c r="AS69" s="637"/>
      <c r="AT69" s="637">
        <v>63</v>
      </c>
      <c r="AU69" s="637"/>
      <c r="AV69" s="637"/>
      <c r="AW69" s="637"/>
      <c r="AX69" s="637"/>
      <c r="AY69" s="637"/>
      <c r="AZ69" s="637"/>
      <c r="BA69" s="637"/>
      <c r="BB69" s="637"/>
      <c r="BC69" s="637"/>
      <c r="BD69" s="637"/>
      <c r="BE69" s="637"/>
      <c r="BF69" s="637"/>
      <c r="BG69" s="637"/>
    </row>
    <row r="70" spans="1:59" x14ac:dyDescent="0.45">
      <c r="A70" s="637"/>
      <c r="B70" s="637"/>
      <c r="C70" s="637"/>
      <c r="D70" s="637"/>
      <c r="E70" s="637"/>
      <c r="F70" s="637"/>
      <c r="G70" s="637"/>
      <c r="H70" s="637"/>
      <c r="I70" s="637"/>
      <c r="J70" s="637"/>
      <c r="K70" s="637"/>
      <c r="L70" s="637"/>
      <c r="M70" s="637"/>
      <c r="N70" s="637"/>
      <c r="O70" s="637"/>
      <c r="P70" s="691"/>
      <c r="Q70" s="692"/>
      <c r="R70" s="691"/>
      <c r="S70" s="691"/>
      <c r="T70" s="691"/>
      <c r="U70" s="691"/>
      <c r="V70" s="691"/>
      <c r="W70" s="691"/>
      <c r="X70" s="691"/>
      <c r="Y70" s="691"/>
      <c r="Z70" s="691"/>
      <c r="AA70" s="691"/>
      <c r="AB70" s="637"/>
      <c r="AC70" s="637"/>
      <c r="AD70" s="637"/>
      <c r="AE70" s="637"/>
      <c r="AF70" s="637"/>
      <c r="AG70" s="637"/>
      <c r="AH70" s="637"/>
      <c r="AI70" s="637"/>
      <c r="AJ70" s="637"/>
      <c r="AK70" s="637"/>
      <c r="AL70" s="637"/>
      <c r="AM70" s="637"/>
      <c r="AN70" s="637"/>
      <c r="AO70" s="637"/>
      <c r="AP70" s="637"/>
      <c r="AQ70" s="637"/>
      <c r="AR70" s="637"/>
      <c r="AS70" s="637"/>
      <c r="AT70" s="637">
        <v>64</v>
      </c>
      <c r="AU70" s="637"/>
      <c r="AV70" s="637"/>
      <c r="AW70" s="637"/>
      <c r="AX70" s="637"/>
      <c r="AY70" s="637"/>
      <c r="AZ70" s="637"/>
      <c r="BA70" s="637"/>
      <c r="BB70" s="637"/>
      <c r="BC70" s="637"/>
      <c r="BD70" s="637"/>
      <c r="BE70" s="637"/>
      <c r="BF70" s="637"/>
      <c r="BG70" s="637"/>
    </row>
    <row r="71" spans="1:59" x14ac:dyDescent="0.45">
      <c r="A71" s="637"/>
      <c r="B71" s="637"/>
      <c r="C71" s="637"/>
      <c r="D71" s="637"/>
      <c r="E71" s="637"/>
      <c r="F71" s="637"/>
      <c r="G71" s="637"/>
      <c r="H71" s="637"/>
      <c r="I71" s="637"/>
      <c r="J71" s="637"/>
      <c r="K71" s="637"/>
      <c r="L71" s="637"/>
      <c r="M71" s="637"/>
      <c r="N71" s="637"/>
      <c r="O71" s="637"/>
      <c r="P71" s="691"/>
      <c r="Q71" s="692"/>
      <c r="R71" s="691"/>
      <c r="S71" s="691"/>
      <c r="T71" s="691"/>
      <c r="U71" s="691"/>
      <c r="V71" s="691"/>
      <c r="W71" s="691"/>
      <c r="X71" s="691"/>
      <c r="Y71" s="691"/>
      <c r="Z71" s="691"/>
      <c r="AA71" s="691"/>
      <c r="AB71" s="637"/>
      <c r="AC71" s="637"/>
      <c r="AD71" s="637"/>
      <c r="AE71" s="637"/>
      <c r="AF71" s="637"/>
      <c r="AG71" s="637"/>
      <c r="AH71" s="637"/>
      <c r="AI71" s="637"/>
      <c r="AJ71" s="637"/>
      <c r="AK71" s="637"/>
      <c r="AL71" s="637"/>
      <c r="AM71" s="637"/>
      <c r="AN71" s="637"/>
      <c r="AO71" s="637"/>
      <c r="AP71" s="637"/>
      <c r="AQ71" s="637"/>
      <c r="AR71" s="637"/>
      <c r="AS71" s="637"/>
      <c r="AT71" s="637">
        <v>65</v>
      </c>
      <c r="AU71" s="637"/>
      <c r="AV71" s="637"/>
      <c r="AW71" s="637"/>
      <c r="AX71" s="637"/>
      <c r="AY71" s="637"/>
      <c r="AZ71" s="637"/>
      <c r="BA71" s="637"/>
      <c r="BB71" s="637"/>
      <c r="BC71" s="637"/>
      <c r="BD71" s="637"/>
      <c r="BE71" s="637"/>
      <c r="BF71" s="637"/>
      <c r="BG71" s="637"/>
    </row>
    <row r="72" spans="1:59" x14ac:dyDescent="0.45">
      <c r="A72" s="637"/>
      <c r="B72" s="637"/>
      <c r="C72" s="637"/>
      <c r="D72" s="637"/>
      <c r="E72" s="637"/>
      <c r="F72" s="637"/>
      <c r="G72" s="637"/>
      <c r="H72" s="637"/>
      <c r="I72" s="637"/>
      <c r="J72" s="637"/>
      <c r="K72" s="637"/>
      <c r="L72" s="637"/>
      <c r="M72" s="637"/>
      <c r="N72" s="637"/>
      <c r="O72" s="637"/>
      <c r="P72" s="691"/>
      <c r="Q72" s="692"/>
      <c r="R72" s="691"/>
      <c r="S72" s="691"/>
      <c r="T72" s="691"/>
      <c r="U72" s="691"/>
      <c r="V72" s="691"/>
      <c r="W72" s="691"/>
      <c r="X72" s="691"/>
      <c r="Y72" s="691"/>
      <c r="Z72" s="691"/>
      <c r="AA72" s="691"/>
      <c r="AB72" s="637"/>
      <c r="AC72" s="637"/>
      <c r="AD72" s="637"/>
      <c r="AE72" s="637"/>
      <c r="AF72" s="637"/>
      <c r="AG72" s="637"/>
      <c r="AH72" s="637"/>
      <c r="AI72" s="637"/>
      <c r="AJ72" s="637"/>
      <c r="AK72" s="637"/>
      <c r="AL72" s="637"/>
      <c r="AM72" s="637"/>
      <c r="AN72" s="637"/>
      <c r="AO72" s="637"/>
      <c r="AP72" s="637"/>
      <c r="AQ72" s="637"/>
      <c r="AR72" s="637"/>
      <c r="AS72" s="637"/>
      <c r="AT72" s="637">
        <v>66</v>
      </c>
      <c r="AU72" s="637"/>
      <c r="AV72" s="637"/>
      <c r="AW72" s="637"/>
      <c r="AX72" s="637"/>
      <c r="AY72" s="637"/>
      <c r="AZ72" s="637"/>
      <c r="BA72" s="637"/>
      <c r="BB72" s="637"/>
      <c r="BC72" s="637"/>
      <c r="BD72" s="637"/>
      <c r="BE72" s="637"/>
      <c r="BF72" s="637"/>
      <c r="BG72" s="637"/>
    </row>
    <row r="73" spans="1:59" x14ac:dyDescent="0.45">
      <c r="A73" s="637"/>
      <c r="B73" s="637"/>
      <c r="C73" s="637"/>
      <c r="D73" s="637"/>
      <c r="E73" s="637"/>
      <c r="F73" s="637"/>
      <c r="G73" s="637"/>
      <c r="H73" s="637"/>
      <c r="I73" s="637"/>
      <c r="J73" s="637"/>
      <c r="K73" s="637"/>
      <c r="L73" s="637"/>
      <c r="M73" s="637"/>
      <c r="N73" s="637"/>
      <c r="O73" s="637"/>
      <c r="P73" s="691"/>
      <c r="Q73" s="692"/>
      <c r="R73" s="691"/>
      <c r="S73" s="691"/>
      <c r="T73" s="691"/>
      <c r="U73" s="691"/>
      <c r="V73" s="691"/>
      <c r="W73" s="691"/>
      <c r="X73" s="691"/>
      <c r="Y73" s="691"/>
      <c r="Z73" s="691"/>
      <c r="AA73" s="691"/>
      <c r="AB73" s="637"/>
      <c r="AC73" s="637"/>
      <c r="AD73" s="637"/>
      <c r="AE73" s="637"/>
      <c r="AF73" s="637"/>
      <c r="AG73" s="637"/>
      <c r="AH73" s="637"/>
      <c r="AI73" s="637"/>
      <c r="AJ73" s="637"/>
      <c r="AK73" s="637"/>
      <c r="AL73" s="637"/>
      <c r="AM73" s="637"/>
      <c r="AN73" s="637"/>
      <c r="AO73" s="637"/>
      <c r="AP73" s="637"/>
      <c r="AQ73" s="637"/>
      <c r="AR73" s="637"/>
      <c r="AS73" s="637"/>
      <c r="AT73" s="637">
        <v>67</v>
      </c>
      <c r="AU73" s="637"/>
      <c r="AV73" s="637"/>
      <c r="AW73" s="637"/>
      <c r="AX73" s="637"/>
      <c r="AY73" s="637"/>
      <c r="AZ73" s="637"/>
      <c r="BA73" s="637"/>
      <c r="BB73" s="637"/>
      <c r="BC73" s="637"/>
      <c r="BD73" s="637"/>
      <c r="BE73" s="637"/>
      <c r="BF73" s="637"/>
      <c r="BG73" s="637"/>
    </row>
    <row r="74" spans="1:59" x14ac:dyDescent="0.45">
      <c r="A74" s="637"/>
      <c r="B74" s="637"/>
      <c r="C74" s="637"/>
      <c r="D74" s="637"/>
      <c r="E74" s="637"/>
      <c r="F74" s="637"/>
      <c r="G74" s="637"/>
      <c r="H74" s="637"/>
      <c r="I74" s="637"/>
      <c r="J74" s="637"/>
      <c r="K74" s="637"/>
      <c r="L74" s="637"/>
      <c r="M74" s="637"/>
      <c r="N74" s="637"/>
      <c r="O74" s="637"/>
      <c r="P74" s="691"/>
      <c r="Q74" s="692"/>
      <c r="R74" s="691"/>
      <c r="S74" s="691"/>
      <c r="T74" s="691"/>
      <c r="U74" s="691"/>
      <c r="V74" s="691"/>
      <c r="W74" s="691"/>
      <c r="X74" s="691"/>
      <c r="Y74" s="691"/>
      <c r="Z74" s="691"/>
      <c r="AA74" s="691"/>
      <c r="AB74" s="637"/>
      <c r="AC74" s="637"/>
      <c r="AD74" s="637"/>
      <c r="AE74" s="637"/>
      <c r="AF74" s="637"/>
      <c r="AG74" s="637"/>
      <c r="AH74" s="637"/>
      <c r="AI74" s="637"/>
      <c r="AJ74" s="637"/>
      <c r="AK74" s="637"/>
      <c r="AL74" s="637"/>
      <c r="AM74" s="637"/>
      <c r="AN74" s="637"/>
      <c r="AO74" s="637"/>
      <c r="AP74" s="637"/>
      <c r="AQ74" s="637"/>
      <c r="AR74" s="637"/>
      <c r="AS74" s="637"/>
      <c r="AT74" s="637">
        <v>68</v>
      </c>
      <c r="AU74" s="637"/>
      <c r="AV74" s="637"/>
      <c r="AW74" s="637"/>
      <c r="AX74" s="637"/>
      <c r="AY74" s="637"/>
      <c r="AZ74" s="637"/>
      <c r="BA74" s="637"/>
      <c r="BB74" s="637"/>
      <c r="BC74" s="637"/>
      <c r="BD74" s="637"/>
      <c r="BE74" s="637"/>
      <c r="BF74" s="637"/>
      <c r="BG74" s="637"/>
    </row>
    <row r="75" spans="1:59" x14ac:dyDescent="0.45">
      <c r="A75" s="637"/>
      <c r="B75" s="637"/>
      <c r="C75" s="637"/>
      <c r="D75" s="637"/>
      <c r="E75" s="637"/>
      <c r="F75" s="637"/>
      <c r="G75" s="637"/>
      <c r="H75" s="637"/>
      <c r="I75" s="637"/>
      <c r="J75" s="637"/>
      <c r="K75" s="637"/>
      <c r="L75" s="637"/>
      <c r="M75" s="637"/>
      <c r="N75" s="637"/>
      <c r="O75" s="637"/>
      <c r="P75" s="691"/>
      <c r="Q75" s="692"/>
      <c r="R75" s="691"/>
      <c r="S75" s="691"/>
      <c r="T75" s="691"/>
      <c r="U75" s="691"/>
      <c r="V75" s="691"/>
      <c r="W75" s="691"/>
      <c r="X75" s="691"/>
      <c r="Y75" s="691"/>
      <c r="Z75" s="691"/>
      <c r="AA75" s="691"/>
      <c r="AB75" s="637"/>
      <c r="AC75" s="637"/>
      <c r="AD75" s="637"/>
      <c r="AE75" s="637"/>
      <c r="AF75" s="637"/>
      <c r="AG75" s="637"/>
      <c r="AH75" s="637"/>
      <c r="AI75" s="637"/>
      <c r="AJ75" s="637"/>
      <c r="AK75" s="637"/>
      <c r="AL75" s="637"/>
      <c r="AM75" s="637"/>
      <c r="AN75" s="637"/>
      <c r="AO75" s="637"/>
      <c r="AP75" s="637"/>
      <c r="AQ75" s="637"/>
      <c r="AR75" s="637"/>
      <c r="AS75" s="637"/>
      <c r="AT75" s="637">
        <v>69</v>
      </c>
      <c r="AU75" s="637"/>
      <c r="AV75" s="637"/>
      <c r="AW75" s="637"/>
      <c r="AX75" s="637"/>
      <c r="AY75" s="637"/>
      <c r="AZ75" s="637"/>
      <c r="BA75" s="637"/>
      <c r="BB75" s="637"/>
      <c r="BC75" s="637"/>
      <c r="BD75" s="637"/>
      <c r="BE75" s="637"/>
      <c r="BF75" s="637"/>
      <c r="BG75" s="637"/>
    </row>
    <row r="76" spans="1:59" x14ac:dyDescent="0.45">
      <c r="A76" s="637"/>
      <c r="B76" s="637"/>
      <c r="C76" s="637"/>
      <c r="D76" s="637"/>
      <c r="E76" s="637"/>
      <c r="F76" s="637"/>
      <c r="G76" s="637"/>
      <c r="H76" s="637"/>
      <c r="I76" s="637"/>
      <c r="J76" s="637"/>
      <c r="K76" s="637"/>
      <c r="L76" s="637"/>
      <c r="M76" s="637"/>
      <c r="N76" s="637"/>
      <c r="O76" s="637"/>
      <c r="P76" s="691"/>
      <c r="Q76" s="692"/>
      <c r="R76" s="691"/>
      <c r="S76" s="691"/>
      <c r="T76" s="691"/>
      <c r="U76" s="691"/>
      <c r="V76" s="691"/>
      <c r="W76" s="691"/>
      <c r="X76" s="691"/>
      <c r="Y76" s="691"/>
      <c r="Z76" s="691"/>
      <c r="AA76" s="691"/>
      <c r="AB76" s="637"/>
      <c r="AC76" s="637"/>
      <c r="AD76" s="637"/>
      <c r="AE76" s="637"/>
      <c r="AF76" s="637"/>
      <c r="AG76" s="637"/>
      <c r="AH76" s="637"/>
      <c r="AI76" s="637"/>
      <c r="AJ76" s="637"/>
      <c r="AK76" s="637"/>
      <c r="AL76" s="637"/>
      <c r="AM76" s="637"/>
      <c r="AN76" s="637"/>
      <c r="AO76" s="637"/>
      <c r="AP76" s="637"/>
      <c r="AQ76" s="637"/>
      <c r="AR76" s="637"/>
      <c r="AS76" s="637"/>
      <c r="AT76" s="637">
        <v>70</v>
      </c>
      <c r="AU76" s="637"/>
      <c r="AV76" s="637"/>
      <c r="AW76" s="637"/>
      <c r="AX76" s="637"/>
      <c r="AY76" s="637"/>
      <c r="AZ76" s="637"/>
      <c r="BA76" s="637"/>
      <c r="BB76" s="637"/>
      <c r="BC76" s="637"/>
      <c r="BD76" s="637"/>
      <c r="BE76" s="637"/>
      <c r="BF76" s="637"/>
      <c r="BG76" s="637"/>
    </row>
    <row r="77" spans="1:59" x14ac:dyDescent="0.45">
      <c r="A77" s="637"/>
      <c r="B77" s="637"/>
      <c r="C77" s="637"/>
      <c r="D77" s="637"/>
      <c r="E77" s="637"/>
      <c r="F77" s="637"/>
      <c r="G77" s="637"/>
      <c r="H77" s="637"/>
      <c r="I77" s="637"/>
      <c r="J77" s="637"/>
      <c r="K77" s="637"/>
      <c r="L77" s="637"/>
      <c r="M77" s="637"/>
      <c r="N77" s="637"/>
      <c r="O77" s="637"/>
      <c r="P77" s="691"/>
      <c r="Q77" s="692"/>
      <c r="R77" s="691"/>
      <c r="S77" s="691"/>
      <c r="T77" s="691"/>
      <c r="U77" s="691"/>
      <c r="V77" s="691"/>
      <c r="W77" s="691"/>
      <c r="X77" s="691"/>
      <c r="Y77" s="691"/>
      <c r="Z77" s="691"/>
      <c r="AA77" s="691"/>
      <c r="AB77" s="637"/>
      <c r="AC77" s="637"/>
      <c r="AD77" s="637"/>
      <c r="AE77" s="637"/>
      <c r="AF77" s="637"/>
      <c r="AG77" s="637"/>
      <c r="AH77" s="637"/>
      <c r="AI77" s="637"/>
      <c r="AJ77" s="637"/>
      <c r="AK77" s="637"/>
      <c r="AL77" s="637"/>
      <c r="AM77" s="637"/>
      <c r="AN77" s="637"/>
      <c r="AO77" s="637"/>
      <c r="AP77" s="637"/>
      <c r="AQ77" s="637"/>
      <c r="AR77" s="637"/>
      <c r="AS77" s="637"/>
      <c r="AT77" s="637">
        <v>71</v>
      </c>
      <c r="AU77" s="637"/>
      <c r="AV77" s="637"/>
      <c r="AW77" s="637"/>
      <c r="AX77" s="637"/>
      <c r="AY77" s="637"/>
      <c r="AZ77" s="637"/>
      <c r="BA77" s="637"/>
      <c r="BB77" s="637"/>
      <c r="BC77" s="637"/>
      <c r="BD77" s="637"/>
      <c r="BE77" s="637"/>
      <c r="BF77" s="637"/>
      <c r="BG77" s="637"/>
    </row>
    <row r="78" spans="1:59" x14ac:dyDescent="0.45">
      <c r="A78" s="637"/>
      <c r="B78" s="637"/>
      <c r="C78" s="637"/>
      <c r="D78" s="637"/>
      <c r="E78" s="637"/>
      <c r="F78" s="637"/>
      <c r="G78" s="637"/>
      <c r="H78" s="637"/>
      <c r="I78" s="637"/>
      <c r="J78" s="637"/>
      <c r="K78" s="637"/>
      <c r="L78" s="637"/>
      <c r="M78" s="637"/>
      <c r="N78" s="637"/>
      <c r="O78" s="637"/>
      <c r="P78" s="691"/>
      <c r="Q78" s="692"/>
      <c r="R78" s="691"/>
      <c r="S78" s="691"/>
      <c r="T78" s="691"/>
      <c r="U78" s="691"/>
      <c r="V78" s="691"/>
      <c r="W78" s="691"/>
      <c r="X78" s="691"/>
      <c r="Y78" s="691"/>
      <c r="Z78" s="691"/>
      <c r="AA78" s="691"/>
      <c r="AB78" s="637"/>
      <c r="AC78" s="637"/>
      <c r="AD78" s="637"/>
      <c r="AE78" s="637"/>
      <c r="AF78" s="637"/>
      <c r="AG78" s="637"/>
      <c r="AH78" s="637"/>
      <c r="AI78" s="637"/>
      <c r="AJ78" s="637"/>
      <c r="AK78" s="637"/>
      <c r="AL78" s="637"/>
      <c r="AM78" s="637"/>
      <c r="AN78" s="637"/>
      <c r="AO78" s="637"/>
      <c r="AP78" s="637"/>
      <c r="AQ78" s="637"/>
      <c r="AR78" s="637"/>
      <c r="AS78" s="637"/>
      <c r="AT78" s="637">
        <v>72</v>
      </c>
      <c r="AU78" s="637"/>
      <c r="AV78" s="637"/>
      <c r="AW78" s="637"/>
      <c r="AX78" s="637"/>
      <c r="AY78" s="637"/>
      <c r="AZ78" s="637"/>
      <c r="BA78" s="637"/>
      <c r="BB78" s="637"/>
      <c r="BC78" s="637"/>
      <c r="BD78" s="637"/>
      <c r="BE78" s="637"/>
      <c r="BF78" s="637"/>
      <c r="BG78" s="637"/>
    </row>
    <row r="79" spans="1:59" x14ac:dyDescent="0.45">
      <c r="A79" s="637"/>
      <c r="B79" s="637"/>
      <c r="C79" s="637"/>
      <c r="D79" s="637"/>
      <c r="E79" s="637"/>
      <c r="F79" s="637"/>
      <c r="G79" s="637"/>
      <c r="H79" s="637"/>
      <c r="I79" s="637"/>
      <c r="J79" s="637"/>
      <c r="K79" s="637"/>
      <c r="L79" s="637"/>
      <c r="M79" s="637"/>
      <c r="N79" s="637"/>
      <c r="O79" s="637"/>
      <c r="P79" s="691"/>
      <c r="Q79" s="692"/>
      <c r="R79" s="691"/>
      <c r="S79" s="691"/>
      <c r="T79" s="691"/>
      <c r="U79" s="691"/>
      <c r="V79" s="691"/>
      <c r="W79" s="691"/>
      <c r="X79" s="691"/>
      <c r="Y79" s="691"/>
      <c r="Z79" s="691"/>
      <c r="AA79" s="691"/>
      <c r="AB79" s="637"/>
      <c r="AC79" s="637"/>
      <c r="AD79" s="637"/>
      <c r="AE79" s="637"/>
      <c r="AF79" s="637"/>
      <c r="AG79" s="637"/>
      <c r="AH79" s="637"/>
      <c r="AI79" s="637"/>
      <c r="AJ79" s="637"/>
      <c r="AK79" s="637"/>
      <c r="AL79" s="637"/>
      <c r="AM79" s="637"/>
      <c r="AN79" s="637"/>
      <c r="AO79" s="637"/>
      <c r="AP79" s="637"/>
      <c r="AQ79" s="637"/>
      <c r="AR79" s="637"/>
      <c r="AS79" s="637"/>
      <c r="AT79" s="637">
        <v>73</v>
      </c>
      <c r="AU79" s="637"/>
      <c r="AV79" s="637"/>
      <c r="AW79" s="637"/>
      <c r="AX79" s="637"/>
      <c r="AY79" s="637"/>
      <c r="AZ79" s="637"/>
      <c r="BA79" s="637"/>
      <c r="BB79" s="637"/>
      <c r="BC79" s="637"/>
      <c r="BD79" s="637"/>
      <c r="BE79" s="637"/>
      <c r="BF79" s="637"/>
      <c r="BG79" s="637"/>
    </row>
    <row r="80" spans="1:59" x14ac:dyDescent="0.45">
      <c r="A80" s="637"/>
      <c r="B80" s="637"/>
      <c r="C80" s="637"/>
      <c r="D80" s="637"/>
      <c r="E80" s="637"/>
      <c r="F80" s="637"/>
      <c r="G80" s="637"/>
      <c r="H80" s="637"/>
      <c r="I80" s="637"/>
      <c r="J80" s="637"/>
      <c r="K80" s="637"/>
      <c r="L80" s="637"/>
      <c r="M80" s="637"/>
      <c r="N80" s="637"/>
      <c r="O80" s="637"/>
      <c r="P80" s="691"/>
      <c r="Q80" s="692"/>
      <c r="R80" s="691"/>
      <c r="S80" s="691"/>
      <c r="T80" s="691"/>
      <c r="U80" s="691"/>
      <c r="V80" s="691"/>
      <c r="W80" s="691"/>
      <c r="X80" s="691"/>
      <c r="Y80" s="691"/>
      <c r="Z80" s="691"/>
      <c r="AA80" s="691"/>
      <c r="AB80" s="637"/>
      <c r="AC80" s="637"/>
      <c r="AD80" s="637"/>
      <c r="AE80" s="637"/>
      <c r="AF80" s="637"/>
      <c r="AG80" s="637"/>
      <c r="AH80" s="637"/>
      <c r="AI80" s="637"/>
      <c r="AJ80" s="637"/>
      <c r="AK80" s="637"/>
      <c r="AL80" s="637"/>
      <c r="AM80" s="637"/>
      <c r="AN80" s="637"/>
      <c r="AO80" s="637"/>
      <c r="AP80" s="637"/>
      <c r="AQ80" s="637"/>
      <c r="AR80" s="637"/>
      <c r="AS80" s="637"/>
      <c r="AT80" s="637">
        <v>74</v>
      </c>
      <c r="AU80" s="637"/>
      <c r="AV80" s="637"/>
      <c r="AW80" s="637"/>
      <c r="AX80" s="637"/>
      <c r="AY80" s="637"/>
      <c r="AZ80" s="637"/>
      <c r="BA80" s="637"/>
      <c r="BB80" s="637"/>
      <c r="BC80" s="637"/>
      <c r="BD80" s="637"/>
      <c r="BE80" s="637"/>
      <c r="BF80" s="637"/>
      <c r="BG80" s="637"/>
    </row>
    <row r="81" spans="1:59" x14ac:dyDescent="0.45">
      <c r="A81" s="637"/>
      <c r="B81" s="637"/>
      <c r="C81" s="637"/>
      <c r="D81" s="637"/>
      <c r="E81" s="637"/>
      <c r="F81" s="637"/>
      <c r="G81" s="637"/>
      <c r="H81" s="637"/>
      <c r="I81" s="637"/>
      <c r="J81" s="637"/>
      <c r="K81" s="637"/>
      <c r="L81" s="637"/>
      <c r="M81" s="637"/>
      <c r="N81" s="637"/>
      <c r="O81" s="637"/>
      <c r="P81" s="691"/>
      <c r="Q81" s="692"/>
      <c r="R81" s="691"/>
      <c r="S81" s="691"/>
      <c r="T81" s="691"/>
      <c r="U81" s="691"/>
      <c r="V81" s="691"/>
      <c r="W81" s="691"/>
      <c r="X81" s="691"/>
      <c r="Y81" s="691"/>
      <c r="Z81" s="691"/>
      <c r="AA81" s="691"/>
      <c r="AB81" s="637"/>
      <c r="AC81" s="637"/>
      <c r="AD81" s="637"/>
      <c r="AE81" s="637"/>
      <c r="AF81" s="637"/>
      <c r="AG81" s="637"/>
      <c r="AH81" s="637"/>
      <c r="AI81" s="637"/>
      <c r="AJ81" s="637"/>
      <c r="AK81" s="637"/>
      <c r="AL81" s="637"/>
      <c r="AM81" s="637"/>
      <c r="AN81" s="637"/>
      <c r="AO81" s="637"/>
      <c r="AP81" s="637"/>
      <c r="AQ81" s="637"/>
      <c r="AR81" s="637"/>
      <c r="AS81" s="637"/>
      <c r="AT81" s="637">
        <v>75</v>
      </c>
      <c r="AU81" s="637"/>
      <c r="AV81" s="637"/>
      <c r="AW81" s="637"/>
      <c r="AX81" s="637"/>
      <c r="AY81" s="637"/>
      <c r="AZ81" s="637"/>
      <c r="BA81" s="637"/>
      <c r="BB81" s="637"/>
      <c r="BC81" s="637"/>
      <c r="BD81" s="637"/>
      <c r="BE81" s="637"/>
      <c r="BF81" s="637"/>
      <c r="BG81" s="637"/>
    </row>
    <row r="82" spans="1:59" x14ac:dyDescent="0.45">
      <c r="A82" s="637"/>
      <c r="B82" s="637"/>
      <c r="C82" s="637"/>
      <c r="D82" s="637"/>
      <c r="E82" s="637"/>
      <c r="F82" s="637"/>
      <c r="G82" s="637"/>
      <c r="H82" s="637"/>
      <c r="I82" s="637"/>
      <c r="J82" s="637"/>
      <c r="K82" s="637"/>
      <c r="L82" s="637"/>
      <c r="M82" s="637"/>
      <c r="N82" s="637"/>
      <c r="O82" s="637"/>
      <c r="P82" s="691"/>
      <c r="Q82" s="692"/>
      <c r="R82" s="691"/>
      <c r="S82" s="691"/>
      <c r="T82" s="691"/>
      <c r="U82" s="691"/>
      <c r="V82" s="691"/>
      <c r="W82" s="691"/>
      <c r="X82" s="691"/>
      <c r="Y82" s="691"/>
      <c r="Z82" s="691"/>
      <c r="AA82" s="691"/>
      <c r="AB82" s="637"/>
      <c r="AC82" s="637"/>
      <c r="AD82" s="637"/>
      <c r="AE82" s="637"/>
      <c r="AF82" s="637"/>
      <c r="AG82" s="637"/>
      <c r="AH82" s="637"/>
      <c r="AI82" s="637"/>
      <c r="AJ82" s="637"/>
      <c r="AK82" s="637"/>
      <c r="AL82" s="637"/>
      <c r="AM82" s="637"/>
      <c r="AN82" s="637"/>
      <c r="AO82" s="637"/>
      <c r="AP82" s="637"/>
      <c r="AQ82" s="637"/>
      <c r="AR82" s="637"/>
      <c r="AS82" s="637"/>
      <c r="AT82" s="637">
        <v>76</v>
      </c>
      <c r="AU82" s="637"/>
      <c r="AV82" s="637"/>
      <c r="AW82" s="637"/>
      <c r="AX82" s="637"/>
      <c r="AY82" s="637"/>
      <c r="AZ82" s="637"/>
      <c r="BA82" s="637"/>
      <c r="BB82" s="637"/>
      <c r="BC82" s="637"/>
      <c r="BD82" s="637"/>
      <c r="BE82" s="637"/>
      <c r="BF82" s="637"/>
      <c r="BG82" s="637"/>
    </row>
    <row r="83" spans="1:59" x14ac:dyDescent="0.45">
      <c r="A83" s="637"/>
      <c r="B83" s="637"/>
      <c r="C83" s="637"/>
      <c r="D83" s="637"/>
      <c r="E83" s="637"/>
      <c r="F83" s="637"/>
      <c r="G83" s="637"/>
      <c r="H83" s="637"/>
      <c r="I83" s="637"/>
      <c r="J83" s="637"/>
      <c r="K83" s="637"/>
      <c r="L83" s="637"/>
      <c r="M83" s="637"/>
      <c r="N83" s="637"/>
      <c r="O83" s="637"/>
      <c r="P83" s="691"/>
      <c r="Q83" s="692"/>
      <c r="R83" s="691"/>
      <c r="S83" s="691"/>
      <c r="T83" s="691"/>
      <c r="U83" s="691"/>
      <c r="V83" s="691"/>
      <c r="W83" s="691"/>
      <c r="X83" s="691"/>
      <c r="Y83" s="691"/>
      <c r="Z83" s="691"/>
      <c r="AA83" s="691"/>
      <c r="AB83" s="637"/>
      <c r="AC83" s="637"/>
      <c r="AD83" s="637"/>
      <c r="AE83" s="637"/>
      <c r="AF83" s="637"/>
      <c r="AG83" s="637"/>
      <c r="AH83" s="637"/>
      <c r="AI83" s="637"/>
      <c r="AJ83" s="637"/>
      <c r="AK83" s="637"/>
      <c r="AL83" s="637"/>
      <c r="AM83" s="637"/>
      <c r="AN83" s="637"/>
      <c r="AO83" s="637"/>
      <c r="AP83" s="637"/>
      <c r="AQ83" s="637"/>
      <c r="AR83" s="637"/>
      <c r="AS83" s="637"/>
      <c r="AT83" s="637">
        <v>77</v>
      </c>
      <c r="AU83" s="637"/>
      <c r="AV83" s="637"/>
      <c r="AW83" s="637"/>
      <c r="AX83" s="637"/>
      <c r="AY83" s="637"/>
      <c r="AZ83" s="637"/>
      <c r="BA83" s="637"/>
      <c r="BB83" s="637"/>
      <c r="BC83" s="637"/>
      <c r="BD83" s="637"/>
      <c r="BE83" s="637"/>
      <c r="BF83" s="637"/>
      <c r="BG83" s="637"/>
    </row>
    <row r="84" spans="1:59" x14ac:dyDescent="0.45">
      <c r="A84" s="637"/>
      <c r="B84" s="637"/>
      <c r="C84" s="637"/>
      <c r="D84" s="637"/>
      <c r="E84" s="637"/>
      <c r="F84" s="637"/>
      <c r="G84" s="637"/>
      <c r="H84" s="637"/>
      <c r="I84" s="637"/>
      <c r="J84" s="637"/>
      <c r="K84" s="637"/>
      <c r="L84" s="637"/>
      <c r="M84" s="637"/>
      <c r="N84" s="637"/>
      <c r="O84" s="637"/>
      <c r="P84" s="691"/>
      <c r="Q84" s="692"/>
      <c r="R84" s="691"/>
      <c r="S84" s="691"/>
      <c r="T84" s="691"/>
      <c r="U84" s="691"/>
      <c r="V84" s="691"/>
      <c r="W84" s="691"/>
      <c r="X84" s="691"/>
      <c r="Y84" s="691"/>
      <c r="Z84" s="691"/>
      <c r="AA84" s="691"/>
      <c r="AB84" s="637"/>
      <c r="AC84" s="637"/>
      <c r="AD84" s="637"/>
      <c r="AE84" s="637"/>
      <c r="AF84" s="637"/>
      <c r="AG84" s="637"/>
      <c r="AH84" s="637"/>
      <c r="AI84" s="637"/>
      <c r="AJ84" s="637"/>
      <c r="AK84" s="637"/>
      <c r="AL84" s="637"/>
      <c r="AM84" s="637"/>
      <c r="AN84" s="637"/>
      <c r="AO84" s="637"/>
      <c r="AP84" s="637"/>
      <c r="AQ84" s="637"/>
      <c r="AR84" s="637"/>
      <c r="AS84" s="637"/>
      <c r="AT84" s="637">
        <v>78</v>
      </c>
      <c r="AU84" s="637"/>
      <c r="AV84" s="637"/>
      <c r="AW84" s="637"/>
      <c r="AX84" s="637"/>
      <c r="AY84" s="637"/>
      <c r="AZ84" s="637"/>
      <c r="BA84" s="637"/>
      <c r="BB84" s="637"/>
      <c r="BC84" s="637"/>
      <c r="BD84" s="637"/>
      <c r="BE84" s="637"/>
      <c r="BF84" s="637"/>
      <c r="BG84" s="637"/>
    </row>
    <row r="85" spans="1:59" x14ac:dyDescent="0.45">
      <c r="A85" s="637"/>
      <c r="B85" s="637"/>
      <c r="C85" s="637"/>
      <c r="D85" s="637"/>
      <c r="E85" s="637"/>
      <c r="F85" s="637"/>
      <c r="G85" s="637"/>
      <c r="H85" s="637"/>
      <c r="I85" s="637"/>
      <c r="J85" s="637"/>
      <c r="K85" s="637"/>
      <c r="L85" s="637"/>
      <c r="M85" s="637"/>
      <c r="N85" s="637"/>
      <c r="O85" s="637"/>
      <c r="P85" s="691"/>
      <c r="Q85" s="692"/>
      <c r="R85" s="691"/>
      <c r="S85" s="691"/>
      <c r="T85" s="691"/>
      <c r="U85" s="691"/>
      <c r="V85" s="691"/>
      <c r="W85" s="691"/>
      <c r="X85" s="691"/>
      <c r="Y85" s="691"/>
      <c r="Z85" s="691"/>
      <c r="AA85" s="691"/>
      <c r="AB85" s="637"/>
      <c r="AC85" s="637"/>
      <c r="AD85" s="637"/>
      <c r="AE85" s="637"/>
      <c r="AF85" s="637"/>
      <c r="AG85" s="637"/>
      <c r="AH85" s="637"/>
      <c r="AI85" s="637"/>
      <c r="AJ85" s="637"/>
      <c r="AK85" s="637"/>
      <c r="AL85" s="637"/>
      <c r="AM85" s="637"/>
      <c r="AN85" s="637"/>
      <c r="AO85" s="637"/>
      <c r="AP85" s="637"/>
      <c r="AQ85" s="637"/>
      <c r="AR85" s="637"/>
      <c r="AS85" s="637"/>
      <c r="AT85" s="637">
        <v>79</v>
      </c>
      <c r="AU85" s="637"/>
      <c r="AV85" s="637"/>
      <c r="AW85" s="637"/>
      <c r="AX85" s="637"/>
      <c r="AY85" s="637"/>
      <c r="AZ85" s="637"/>
      <c r="BA85" s="637"/>
      <c r="BB85" s="637"/>
      <c r="BC85" s="637"/>
      <c r="BD85" s="637"/>
      <c r="BE85" s="637"/>
      <c r="BF85" s="637"/>
      <c r="BG85" s="637"/>
    </row>
    <row r="86" spans="1:59" x14ac:dyDescent="0.45">
      <c r="A86" s="637"/>
      <c r="B86" s="637"/>
      <c r="C86" s="637"/>
      <c r="D86" s="637"/>
      <c r="E86" s="637"/>
      <c r="F86" s="637"/>
      <c r="G86" s="637"/>
      <c r="H86" s="637"/>
      <c r="I86" s="637"/>
      <c r="J86" s="637"/>
      <c r="K86" s="637"/>
      <c r="L86" s="637"/>
      <c r="M86" s="637"/>
      <c r="N86" s="637"/>
      <c r="O86" s="637"/>
      <c r="P86" s="691"/>
      <c r="Q86" s="692"/>
      <c r="R86" s="691"/>
      <c r="S86" s="691"/>
      <c r="T86" s="691"/>
      <c r="U86" s="691"/>
      <c r="V86" s="691"/>
      <c r="W86" s="691"/>
      <c r="X86" s="691"/>
      <c r="Y86" s="691"/>
      <c r="Z86" s="691"/>
      <c r="AA86" s="691"/>
      <c r="AB86" s="637"/>
      <c r="AC86" s="637"/>
      <c r="AD86" s="637"/>
      <c r="AE86" s="637"/>
      <c r="AF86" s="637"/>
      <c r="AG86" s="637"/>
      <c r="AH86" s="637"/>
      <c r="AI86" s="637"/>
      <c r="AJ86" s="637"/>
      <c r="AK86" s="637"/>
      <c r="AL86" s="637"/>
      <c r="AM86" s="637"/>
      <c r="AN86" s="637"/>
      <c r="AO86" s="637"/>
      <c r="AP86" s="637"/>
      <c r="AQ86" s="637"/>
      <c r="AR86" s="637"/>
      <c r="AS86" s="637"/>
      <c r="AT86" s="637">
        <v>80</v>
      </c>
      <c r="AU86" s="637"/>
      <c r="AV86" s="637"/>
      <c r="AW86" s="637"/>
      <c r="AX86" s="637"/>
      <c r="AY86" s="637"/>
      <c r="AZ86" s="637"/>
      <c r="BA86" s="637"/>
      <c r="BB86" s="637"/>
      <c r="BC86" s="637"/>
      <c r="BD86" s="637"/>
      <c r="BE86" s="637"/>
      <c r="BF86" s="637"/>
      <c r="BG86" s="637"/>
    </row>
    <row r="87" spans="1:59" x14ac:dyDescent="0.45">
      <c r="A87" s="637"/>
      <c r="B87" s="637"/>
      <c r="C87" s="637"/>
      <c r="D87" s="637"/>
      <c r="E87" s="637"/>
      <c r="F87" s="637"/>
      <c r="G87" s="637"/>
      <c r="H87" s="637"/>
      <c r="I87" s="637"/>
      <c r="J87" s="637"/>
      <c r="K87" s="637"/>
      <c r="L87" s="637"/>
      <c r="M87" s="637"/>
      <c r="N87" s="637"/>
      <c r="O87" s="637"/>
      <c r="P87" s="691"/>
      <c r="Q87" s="692"/>
      <c r="R87" s="691"/>
      <c r="S87" s="691"/>
      <c r="T87" s="691"/>
      <c r="U87" s="691"/>
      <c r="V87" s="691"/>
      <c r="W87" s="691"/>
      <c r="X87" s="691"/>
      <c r="Y87" s="691"/>
      <c r="Z87" s="691"/>
      <c r="AA87" s="691"/>
      <c r="AB87" s="637"/>
      <c r="AC87" s="637"/>
      <c r="AD87" s="637"/>
      <c r="AE87" s="637"/>
      <c r="AF87" s="637"/>
      <c r="AG87" s="637"/>
      <c r="AH87" s="637"/>
      <c r="AI87" s="637"/>
      <c r="AJ87" s="637"/>
      <c r="AK87" s="637"/>
      <c r="AL87" s="637"/>
      <c r="AM87" s="637"/>
      <c r="AN87" s="637"/>
      <c r="AO87" s="637"/>
      <c r="AP87" s="637"/>
      <c r="AQ87" s="637"/>
      <c r="AR87" s="637"/>
      <c r="AS87" s="637"/>
      <c r="AT87" s="637">
        <v>81</v>
      </c>
      <c r="AU87" s="637"/>
      <c r="AV87" s="637"/>
      <c r="AW87" s="637"/>
      <c r="AX87" s="637"/>
      <c r="AY87" s="637"/>
      <c r="AZ87" s="637"/>
      <c r="BA87" s="637"/>
      <c r="BB87" s="637"/>
      <c r="BC87" s="637"/>
      <c r="BD87" s="637"/>
      <c r="BE87" s="637"/>
      <c r="BF87" s="637"/>
      <c r="BG87" s="637"/>
    </row>
    <row r="88" spans="1:59" x14ac:dyDescent="0.45">
      <c r="A88" s="637"/>
      <c r="B88" s="637"/>
      <c r="C88" s="637"/>
      <c r="D88" s="637"/>
      <c r="E88" s="637"/>
      <c r="F88" s="637"/>
      <c r="G88" s="637"/>
      <c r="H88" s="637"/>
      <c r="I88" s="637"/>
      <c r="J88" s="637"/>
      <c r="K88" s="637"/>
      <c r="L88" s="637"/>
      <c r="M88" s="637"/>
      <c r="N88" s="637"/>
      <c r="O88" s="637"/>
      <c r="P88" s="691"/>
      <c r="Q88" s="692"/>
      <c r="R88" s="691"/>
      <c r="S88" s="691"/>
      <c r="T88" s="691"/>
      <c r="U88" s="691"/>
      <c r="V88" s="691"/>
      <c r="W88" s="691"/>
      <c r="X88" s="691"/>
      <c r="Y88" s="691"/>
      <c r="Z88" s="691"/>
      <c r="AA88" s="691"/>
      <c r="AB88" s="637"/>
      <c r="AC88" s="637"/>
      <c r="AD88" s="637"/>
      <c r="AE88" s="637"/>
      <c r="AF88" s="637"/>
      <c r="AG88" s="637"/>
      <c r="AH88" s="637"/>
      <c r="AI88" s="637"/>
      <c r="AJ88" s="637"/>
      <c r="AK88" s="637"/>
      <c r="AL88" s="637"/>
      <c r="AM88" s="637"/>
      <c r="AN88" s="637"/>
      <c r="AO88" s="637"/>
      <c r="AP88" s="637"/>
      <c r="AQ88" s="637"/>
      <c r="AR88" s="637"/>
      <c r="AS88" s="637"/>
      <c r="AT88" s="637">
        <v>82</v>
      </c>
      <c r="AU88" s="637"/>
      <c r="AV88" s="637"/>
      <c r="AW88" s="637"/>
      <c r="AX88" s="637"/>
      <c r="AY88" s="637"/>
      <c r="AZ88" s="637"/>
      <c r="BA88" s="637"/>
      <c r="BB88" s="637"/>
      <c r="BC88" s="637"/>
      <c r="BD88" s="637"/>
      <c r="BE88" s="637"/>
      <c r="BF88" s="637"/>
      <c r="BG88" s="637"/>
    </row>
    <row r="89" spans="1:59" x14ac:dyDescent="0.45">
      <c r="A89" s="637"/>
      <c r="B89" s="637"/>
      <c r="C89" s="637"/>
      <c r="D89" s="637"/>
      <c r="E89" s="637"/>
      <c r="F89" s="637"/>
      <c r="G89" s="637"/>
      <c r="H89" s="637"/>
      <c r="I89" s="637"/>
      <c r="J89" s="637"/>
      <c r="K89" s="637"/>
      <c r="L89" s="637"/>
      <c r="M89" s="637"/>
      <c r="N89" s="637"/>
      <c r="O89" s="637"/>
      <c r="P89" s="691"/>
      <c r="Q89" s="692"/>
      <c r="R89" s="691"/>
      <c r="S89" s="691"/>
      <c r="T89" s="691"/>
      <c r="U89" s="691"/>
      <c r="V89" s="691"/>
      <c r="W89" s="691"/>
      <c r="X89" s="691"/>
      <c r="Y89" s="691"/>
      <c r="Z89" s="691"/>
      <c r="AA89" s="691"/>
      <c r="AB89" s="637"/>
      <c r="AC89" s="637"/>
      <c r="AD89" s="637"/>
      <c r="AE89" s="637"/>
      <c r="AF89" s="637"/>
      <c r="AG89" s="637"/>
      <c r="AH89" s="637"/>
      <c r="AI89" s="637"/>
      <c r="AJ89" s="637"/>
      <c r="AK89" s="637"/>
      <c r="AL89" s="637"/>
      <c r="AM89" s="637"/>
      <c r="AN89" s="637"/>
      <c r="AO89" s="637"/>
      <c r="AP89" s="637"/>
      <c r="AQ89" s="637"/>
      <c r="AR89" s="637"/>
      <c r="AS89" s="637"/>
      <c r="AT89" s="637">
        <v>83</v>
      </c>
      <c r="AU89" s="637"/>
      <c r="AV89" s="637"/>
      <c r="AW89" s="637"/>
      <c r="AX89" s="637"/>
      <c r="AY89" s="637"/>
      <c r="AZ89" s="637"/>
      <c r="BA89" s="637"/>
      <c r="BB89" s="637"/>
      <c r="BC89" s="637"/>
      <c r="BD89" s="637"/>
      <c r="BE89" s="637"/>
      <c r="BF89" s="637"/>
      <c r="BG89" s="637"/>
    </row>
    <row r="90" spans="1:59" x14ac:dyDescent="0.45">
      <c r="A90" s="637"/>
      <c r="B90" s="637"/>
      <c r="C90" s="637"/>
      <c r="D90" s="637"/>
      <c r="E90" s="637"/>
      <c r="F90" s="637"/>
      <c r="G90" s="637"/>
      <c r="H90" s="637"/>
      <c r="I90" s="637"/>
      <c r="J90" s="637"/>
      <c r="K90" s="637"/>
      <c r="L90" s="637"/>
      <c r="M90" s="637"/>
      <c r="N90" s="637"/>
      <c r="O90" s="637"/>
      <c r="P90" s="691"/>
      <c r="Q90" s="692"/>
      <c r="R90" s="691"/>
      <c r="S90" s="691"/>
      <c r="T90" s="691"/>
      <c r="U90" s="691"/>
      <c r="V90" s="691"/>
      <c r="W90" s="691"/>
      <c r="X90" s="691"/>
      <c r="Y90" s="691"/>
      <c r="Z90" s="691"/>
      <c r="AA90" s="691"/>
      <c r="AB90" s="637"/>
      <c r="AC90" s="637"/>
      <c r="AD90" s="637"/>
      <c r="AE90" s="637"/>
      <c r="AF90" s="637"/>
      <c r="AG90" s="637"/>
      <c r="AH90" s="637"/>
      <c r="AI90" s="637"/>
      <c r="AJ90" s="637"/>
      <c r="AK90" s="637"/>
      <c r="AL90" s="637"/>
      <c r="AM90" s="637"/>
      <c r="AN90" s="637"/>
      <c r="AO90" s="637"/>
      <c r="AP90" s="637"/>
      <c r="AQ90" s="637"/>
      <c r="AR90" s="637"/>
      <c r="AS90" s="637"/>
      <c r="AT90" s="637">
        <v>84</v>
      </c>
      <c r="AU90" s="637"/>
      <c r="AV90" s="637"/>
      <c r="AW90" s="637"/>
      <c r="AX90" s="637"/>
      <c r="AY90" s="637"/>
      <c r="AZ90" s="637"/>
      <c r="BA90" s="637"/>
      <c r="BB90" s="637"/>
      <c r="BC90" s="637"/>
      <c r="BD90" s="637"/>
      <c r="BE90" s="637"/>
      <c r="BF90" s="637"/>
      <c r="BG90" s="637"/>
    </row>
    <row r="91" spans="1:59" x14ac:dyDescent="0.45">
      <c r="A91" s="637"/>
      <c r="B91" s="637"/>
      <c r="C91" s="637"/>
      <c r="D91" s="637"/>
      <c r="E91" s="637"/>
      <c r="F91" s="637"/>
      <c r="G91" s="637"/>
      <c r="H91" s="637"/>
      <c r="I91" s="637"/>
      <c r="J91" s="637"/>
      <c r="K91" s="637"/>
      <c r="L91" s="637"/>
      <c r="M91" s="637"/>
      <c r="N91" s="637"/>
      <c r="O91" s="637"/>
      <c r="P91" s="691"/>
      <c r="Q91" s="692"/>
      <c r="R91" s="691"/>
      <c r="S91" s="691"/>
      <c r="T91" s="691"/>
      <c r="U91" s="691"/>
      <c r="V91" s="691"/>
      <c r="W91" s="691"/>
      <c r="X91" s="691"/>
      <c r="Y91" s="691"/>
      <c r="Z91" s="691"/>
      <c r="AA91" s="691"/>
      <c r="AB91" s="637"/>
      <c r="AC91" s="637"/>
      <c r="AD91" s="637"/>
      <c r="AE91" s="637"/>
      <c r="AF91" s="637"/>
      <c r="AG91" s="637"/>
      <c r="AH91" s="637"/>
      <c r="AI91" s="637"/>
      <c r="AJ91" s="637"/>
      <c r="AK91" s="637"/>
      <c r="AL91" s="637"/>
      <c r="AM91" s="637"/>
      <c r="AN91" s="637"/>
      <c r="AO91" s="637"/>
      <c r="AP91" s="637"/>
      <c r="AQ91" s="637"/>
      <c r="AR91" s="637"/>
      <c r="AS91" s="637"/>
      <c r="AT91" s="637">
        <v>85</v>
      </c>
      <c r="AU91" s="637"/>
      <c r="AV91" s="637"/>
      <c r="AW91" s="637"/>
      <c r="AX91" s="637"/>
      <c r="AY91" s="637"/>
      <c r="AZ91" s="637"/>
      <c r="BA91" s="637"/>
      <c r="BB91" s="637"/>
      <c r="BC91" s="637"/>
      <c r="BD91" s="637"/>
      <c r="BE91" s="637"/>
      <c r="BF91" s="637"/>
      <c r="BG91" s="637"/>
    </row>
    <row r="92" spans="1:59" x14ac:dyDescent="0.45">
      <c r="A92" s="637"/>
      <c r="B92" s="637"/>
      <c r="C92" s="637"/>
      <c r="D92" s="637"/>
      <c r="E92" s="637"/>
      <c r="F92" s="637"/>
      <c r="G92" s="637"/>
      <c r="H92" s="637"/>
      <c r="I92" s="637"/>
      <c r="J92" s="637"/>
      <c r="K92" s="637"/>
      <c r="L92" s="637"/>
      <c r="M92" s="637"/>
      <c r="N92" s="637"/>
      <c r="O92" s="637"/>
      <c r="P92" s="691"/>
      <c r="Q92" s="692"/>
      <c r="R92" s="691"/>
      <c r="S92" s="691"/>
      <c r="T92" s="691"/>
      <c r="U92" s="691"/>
      <c r="V92" s="691"/>
      <c r="W92" s="691"/>
      <c r="X92" s="691"/>
      <c r="Y92" s="691"/>
      <c r="Z92" s="691"/>
      <c r="AA92" s="691"/>
      <c r="AB92" s="637"/>
      <c r="AC92" s="637"/>
      <c r="AD92" s="637"/>
      <c r="AE92" s="637"/>
      <c r="AF92" s="637"/>
      <c r="AG92" s="637"/>
      <c r="AH92" s="637"/>
      <c r="AI92" s="637"/>
      <c r="AJ92" s="637"/>
      <c r="AK92" s="637"/>
      <c r="AL92" s="637"/>
      <c r="AM92" s="637"/>
      <c r="AN92" s="637"/>
      <c r="AO92" s="637"/>
      <c r="AP92" s="637"/>
      <c r="AQ92" s="637"/>
      <c r="AR92" s="637"/>
      <c r="AS92" s="637"/>
      <c r="AT92" s="637">
        <v>86</v>
      </c>
      <c r="AU92" s="637"/>
      <c r="AV92" s="637"/>
      <c r="AW92" s="637"/>
      <c r="AX92" s="637"/>
      <c r="AY92" s="637"/>
      <c r="AZ92" s="637"/>
      <c r="BA92" s="637"/>
      <c r="BB92" s="637"/>
      <c r="BC92" s="637"/>
      <c r="BD92" s="637"/>
      <c r="BE92" s="637"/>
      <c r="BF92" s="637"/>
      <c r="BG92" s="637"/>
    </row>
    <row r="93" spans="1:59" x14ac:dyDescent="0.45">
      <c r="A93" s="637"/>
      <c r="B93" s="637"/>
      <c r="C93" s="637"/>
      <c r="D93" s="637"/>
      <c r="E93" s="637"/>
      <c r="F93" s="637"/>
      <c r="G93" s="637"/>
      <c r="H93" s="637"/>
      <c r="I93" s="637"/>
      <c r="J93" s="637"/>
      <c r="K93" s="637"/>
      <c r="L93" s="637"/>
      <c r="M93" s="637"/>
      <c r="N93" s="637"/>
      <c r="O93" s="637"/>
      <c r="P93" s="691"/>
      <c r="Q93" s="692"/>
      <c r="R93" s="691"/>
      <c r="S93" s="691"/>
      <c r="T93" s="691"/>
      <c r="U93" s="691"/>
      <c r="V93" s="691"/>
      <c r="W93" s="691"/>
      <c r="X93" s="691"/>
      <c r="Y93" s="691"/>
      <c r="Z93" s="691"/>
      <c r="AA93" s="691"/>
      <c r="AB93" s="637"/>
      <c r="AC93" s="637"/>
      <c r="AD93" s="637"/>
      <c r="AE93" s="637"/>
      <c r="AF93" s="637"/>
      <c r="AG93" s="637"/>
      <c r="AH93" s="637"/>
      <c r="AI93" s="637"/>
      <c r="AJ93" s="637"/>
      <c r="AK93" s="637"/>
      <c r="AL93" s="637"/>
      <c r="AM93" s="637"/>
      <c r="AN93" s="637"/>
      <c r="AO93" s="637"/>
      <c r="AP93" s="637"/>
      <c r="AQ93" s="637"/>
      <c r="AR93" s="637"/>
      <c r="AS93" s="637"/>
      <c r="AT93" s="637">
        <v>87</v>
      </c>
      <c r="AU93" s="637"/>
      <c r="AV93" s="637"/>
      <c r="AW93" s="637"/>
      <c r="AX93" s="637"/>
      <c r="AY93" s="637"/>
      <c r="AZ93" s="637"/>
      <c r="BA93" s="637"/>
      <c r="BB93" s="637"/>
      <c r="BC93" s="637"/>
      <c r="BD93" s="637"/>
      <c r="BE93" s="637"/>
      <c r="BF93" s="637"/>
      <c r="BG93" s="637"/>
    </row>
    <row r="94" spans="1:59" x14ac:dyDescent="0.45">
      <c r="A94" s="637"/>
      <c r="B94" s="637"/>
      <c r="C94" s="637"/>
      <c r="D94" s="637"/>
      <c r="E94" s="637"/>
      <c r="F94" s="637"/>
      <c r="G94" s="637"/>
      <c r="H94" s="637"/>
      <c r="I94" s="637"/>
      <c r="J94" s="637"/>
      <c r="K94" s="637"/>
      <c r="L94" s="637"/>
      <c r="M94" s="637"/>
      <c r="N94" s="637"/>
      <c r="O94" s="637"/>
      <c r="P94" s="691"/>
      <c r="Q94" s="692"/>
      <c r="R94" s="691"/>
      <c r="S94" s="691"/>
      <c r="T94" s="691"/>
      <c r="U94" s="691"/>
      <c r="V94" s="691"/>
      <c r="W94" s="691"/>
      <c r="X94" s="691"/>
      <c r="Y94" s="691"/>
      <c r="Z94" s="691"/>
      <c r="AA94" s="691"/>
      <c r="AB94" s="637"/>
      <c r="AC94" s="637"/>
      <c r="AD94" s="637"/>
      <c r="AE94" s="637"/>
      <c r="AF94" s="637"/>
      <c r="AG94" s="637"/>
      <c r="AH94" s="637"/>
      <c r="AI94" s="637"/>
      <c r="AJ94" s="637"/>
      <c r="AK94" s="637"/>
      <c r="AL94" s="637"/>
      <c r="AM94" s="637"/>
      <c r="AN94" s="637"/>
      <c r="AO94" s="637"/>
      <c r="AP94" s="637"/>
      <c r="AQ94" s="637"/>
      <c r="AR94" s="637"/>
      <c r="AS94" s="637"/>
      <c r="AT94" s="637">
        <v>88</v>
      </c>
      <c r="AU94" s="637"/>
      <c r="AV94" s="637"/>
      <c r="AW94" s="637"/>
      <c r="AX94" s="637"/>
      <c r="AY94" s="637"/>
      <c r="AZ94" s="637"/>
      <c r="BA94" s="637"/>
      <c r="BB94" s="637"/>
      <c r="BC94" s="637"/>
      <c r="BD94" s="637"/>
      <c r="BE94" s="637"/>
      <c r="BF94" s="637"/>
      <c r="BG94" s="637"/>
    </row>
    <row r="95" spans="1:59" x14ac:dyDescent="0.45">
      <c r="A95" s="637"/>
      <c r="B95" s="637"/>
      <c r="C95" s="637"/>
      <c r="D95" s="637"/>
      <c r="E95" s="637"/>
      <c r="F95" s="637"/>
      <c r="G95" s="637"/>
      <c r="H95" s="637"/>
      <c r="I95" s="637"/>
      <c r="J95" s="637"/>
      <c r="K95" s="637"/>
      <c r="L95" s="637"/>
      <c r="M95" s="637"/>
      <c r="N95" s="637"/>
      <c r="O95" s="637"/>
      <c r="P95" s="691"/>
      <c r="Q95" s="692"/>
      <c r="R95" s="691"/>
      <c r="S95" s="691"/>
      <c r="T95" s="691"/>
      <c r="U95" s="691"/>
      <c r="V95" s="691"/>
      <c r="W95" s="691"/>
      <c r="X95" s="691"/>
      <c r="Y95" s="691"/>
      <c r="Z95" s="691"/>
      <c r="AA95" s="691"/>
      <c r="AB95" s="637"/>
      <c r="AC95" s="637"/>
      <c r="AD95" s="637"/>
      <c r="AE95" s="637"/>
      <c r="AF95" s="637"/>
      <c r="AG95" s="637"/>
      <c r="AH95" s="637"/>
      <c r="AI95" s="637"/>
      <c r="AJ95" s="637"/>
      <c r="AK95" s="637"/>
      <c r="AL95" s="637"/>
      <c r="AM95" s="637"/>
      <c r="AN95" s="637"/>
      <c r="AO95" s="637"/>
      <c r="AP95" s="637"/>
      <c r="AQ95" s="637"/>
      <c r="AR95" s="637"/>
      <c r="AS95" s="637"/>
      <c r="AT95" s="637">
        <v>89</v>
      </c>
      <c r="AU95" s="637"/>
      <c r="AV95" s="637"/>
      <c r="AW95" s="637"/>
      <c r="AX95" s="637"/>
      <c r="AY95" s="637"/>
      <c r="AZ95" s="637"/>
      <c r="BA95" s="637"/>
      <c r="BB95" s="637"/>
      <c r="BC95" s="637"/>
      <c r="BD95" s="637"/>
      <c r="BE95" s="637"/>
      <c r="BF95" s="637"/>
      <c r="BG95" s="637"/>
    </row>
    <row r="96" spans="1:59" x14ac:dyDescent="0.45">
      <c r="A96" s="637"/>
      <c r="B96" s="637"/>
      <c r="C96" s="637"/>
      <c r="D96" s="637"/>
      <c r="E96" s="637"/>
      <c r="F96" s="637"/>
      <c r="G96" s="637"/>
      <c r="H96" s="637"/>
      <c r="I96" s="637"/>
      <c r="J96" s="637"/>
      <c r="K96" s="637"/>
      <c r="L96" s="637"/>
      <c r="M96" s="637"/>
      <c r="N96" s="637"/>
      <c r="O96" s="637"/>
      <c r="P96" s="691"/>
      <c r="Q96" s="692"/>
      <c r="R96" s="691"/>
      <c r="S96" s="691"/>
      <c r="T96" s="691"/>
      <c r="U96" s="691"/>
      <c r="V96" s="691"/>
      <c r="W96" s="691"/>
      <c r="X96" s="691"/>
      <c r="Y96" s="691"/>
      <c r="Z96" s="691"/>
      <c r="AA96" s="691"/>
      <c r="AB96" s="637"/>
      <c r="AC96" s="637"/>
      <c r="AD96" s="637"/>
      <c r="AE96" s="637"/>
      <c r="AF96" s="637"/>
      <c r="AG96" s="637"/>
      <c r="AH96" s="637"/>
      <c r="AI96" s="637"/>
      <c r="AJ96" s="637"/>
      <c r="AK96" s="637"/>
      <c r="AL96" s="637"/>
      <c r="AM96" s="637"/>
      <c r="AN96" s="637"/>
      <c r="AO96" s="637"/>
      <c r="AP96" s="637"/>
      <c r="AQ96" s="637"/>
      <c r="AR96" s="637"/>
      <c r="AS96" s="637"/>
      <c r="AT96" s="637">
        <v>90</v>
      </c>
      <c r="AU96" s="637"/>
      <c r="AV96" s="637"/>
      <c r="AW96" s="637"/>
      <c r="AX96" s="637"/>
      <c r="AY96" s="637"/>
      <c r="AZ96" s="637"/>
      <c r="BA96" s="637"/>
      <c r="BB96" s="637"/>
      <c r="BC96" s="637"/>
      <c r="BD96" s="637"/>
      <c r="BE96" s="637"/>
      <c r="BF96" s="637"/>
      <c r="BG96" s="637"/>
    </row>
    <row r="97" spans="1:59" x14ac:dyDescent="0.45">
      <c r="A97" s="637"/>
      <c r="B97" s="637"/>
      <c r="C97" s="637"/>
      <c r="D97" s="637"/>
      <c r="E97" s="637"/>
      <c r="F97" s="637"/>
      <c r="G97" s="637"/>
      <c r="H97" s="637"/>
      <c r="I97" s="637"/>
      <c r="J97" s="637"/>
      <c r="K97" s="637"/>
      <c r="L97" s="637"/>
      <c r="M97" s="637"/>
      <c r="N97" s="637"/>
      <c r="O97" s="637"/>
      <c r="P97" s="691"/>
      <c r="Q97" s="692"/>
      <c r="R97" s="691"/>
      <c r="S97" s="691"/>
      <c r="T97" s="691"/>
      <c r="U97" s="691"/>
      <c r="V97" s="691"/>
      <c r="W97" s="691"/>
      <c r="X97" s="691"/>
      <c r="Y97" s="691"/>
      <c r="Z97" s="691"/>
      <c r="AA97" s="691"/>
      <c r="AB97" s="637"/>
      <c r="AC97" s="637"/>
      <c r="AD97" s="637"/>
      <c r="AE97" s="637"/>
      <c r="AF97" s="637"/>
      <c r="AG97" s="637"/>
      <c r="AH97" s="637"/>
      <c r="AI97" s="637"/>
      <c r="AJ97" s="637"/>
      <c r="AK97" s="637"/>
      <c r="AL97" s="637"/>
      <c r="AM97" s="637"/>
      <c r="AN97" s="637"/>
      <c r="AO97" s="637"/>
      <c r="AP97" s="637"/>
      <c r="AQ97" s="637"/>
      <c r="AR97" s="637"/>
      <c r="AS97" s="637"/>
      <c r="AT97" s="637">
        <v>91</v>
      </c>
      <c r="AU97" s="637"/>
      <c r="AV97" s="637"/>
      <c r="AW97" s="637"/>
      <c r="AX97" s="637"/>
      <c r="AY97" s="637"/>
      <c r="AZ97" s="637"/>
      <c r="BA97" s="637"/>
      <c r="BB97" s="637"/>
      <c r="BC97" s="637"/>
      <c r="BD97" s="637"/>
      <c r="BE97" s="637"/>
      <c r="BF97" s="637"/>
      <c r="BG97" s="637"/>
    </row>
    <row r="98" spans="1:59" x14ac:dyDescent="0.45">
      <c r="A98" s="637"/>
      <c r="B98" s="637"/>
      <c r="C98" s="637"/>
      <c r="D98" s="637"/>
      <c r="E98" s="637"/>
      <c r="F98" s="637"/>
      <c r="G98" s="637"/>
      <c r="H98" s="637"/>
      <c r="I98" s="637"/>
      <c r="J98" s="637"/>
      <c r="K98" s="637"/>
      <c r="L98" s="637"/>
      <c r="M98" s="637"/>
      <c r="N98" s="637"/>
      <c r="O98" s="637"/>
      <c r="P98" s="691"/>
      <c r="Q98" s="692"/>
      <c r="R98" s="691"/>
      <c r="S98" s="691"/>
      <c r="T98" s="691"/>
      <c r="U98" s="691"/>
      <c r="V98" s="691"/>
      <c r="W98" s="691"/>
      <c r="X98" s="691"/>
      <c r="Y98" s="691"/>
      <c r="Z98" s="691"/>
      <c r="AA98" s="691"/>
      <c r="AB98" s="637"/>
      <c r="AC98" s="637"/>
      <c r="AD98" s="637"/>
      <c r="AE98" s="637"/>
      <c r="AF98" s="637"/>
      <c r="AG98" s="637"/>
      <c r="AH98" s="637"/>
      <c r="AI98" s="637"/>
      <c r="AJ98" s="637"/>
      <c r="AK98" s="637"/>
      <c r="AL98" s="637"/>
      <c r="AM98" s="637"/>
      <c r="AN98" s="637"/>
      <c r="AO98" s="637"/>
      <c r="AP98" s="637"/>
      <c r="AQ98" s="637"/>
      <c r="AR98" s="637"/>
      <c r="AS98" s="637"/>
      <c r="AT98" s="637">
        <v>92</v>
      </c>
      <c r="AU98" s="637"/>
      <c r="AV98" s="637"/>
      <c r="AW98" s="637"/>
      <c r="AX98" s="637"/>
      <c r="AY98" s="637"/>
      <c r="AZ98" s="637"/>
      <c r="BA98" s="637"/>
      <c r="BB98" s="637"/>
      <c r="BC98" s="637"/>
      <c r="BD98" s="637"/>
      <c r="BE98" s="637"/>
      <c r="BF98" s="637"/>
      <c r="BG98" s="637"/>
    </row>
    <row r="99" spans="1:59" x14ac:dyDescent="0.45">
      <c r="A99" s="637"/>
      <c r="B99" s="637"/>
      <c r="C99" s="637"/>
      <c r="D99" s="637"/>
      <c r="E99" s="637"/>
      <c r="F99" s="637"/>
      <c r="G99" s="637"/>
      <c r="H99" s="637"/>
      <c r="I99" s="637"/>
      <c r="J99" s="637"/>
      <c r="K99" s="637"/>
      <c r="L99" s="637"/>
      <c r="M99" s="637"/>
      <c r="N99" s="637"/>
      <c r="O99" s="637"/>
      <c r="P99" s="691"/>
      <c r="Q99" s="692"/>
      <c r="R99" s="691"/>
      <c r="S99" s="691"/>
      <c r="T99" s="691"/>
      <c r="U99" s="691"/>
      <c r="V99" s="691"/>
      <c r="W99" s="691"/>
      <c r="X99" s="691"/>
      <c r="Y99" s="691"/>
      <c r="Z99" s="691"/>
      <c r="AA99" s="691"/>
      <c r="AB99" s="637"/>
      <c r="AC99" s="637"/>
      <c r="AD99" s="637"/>
      <c r="AE99" s="637"/>
      <c r="AF99" s="637"/>
      <c r="AG99" s="637"/>
      <c r="AH99" s="637"/>
      <c r="AI99" s="637"/>
      <c r="AJ99" s="637"/>
      <c r="AK99" s="637"/>
      <c r="AL99" s="637"/>
      <c r="AM99" s="637"/>
      <c r="AN99" s="637"/>
      <c r="AO99" s="637"/>
      <c r="AP99" s="637"/>
      <c r="AQ99" s="637"/>
      <c r="AR99" s="637"/>
      <c r="AS99" s="637"/>
      <c r="AT99" s="637">
        <v>93</v>
      </c>
      <c r="AU99" s="637"/>
      <c r="AV99" s="637"/>
      <c r="AW99" s="637"/>
      <c r="AX99" s="637"/>
      <c r="AY99" s="637"/>
      <c r="AZ99" s="637"/>
      <c r="BA99" s="637"/>
      <c r="BB99" s="637"/>
      <c r="BC99" s="637"/>
      <c r="BD99" s="637"/>
      <c r="BE99" s="637"/>
      <c r="BF99" s="637"/>
      <c r="BG99" s="637"/>
    </row>
    <row r="100" spans="1:59" x14ac:dyDescent="0.45">
      <c r="A100" s="637"/>
      <c r="B100" s="637"/>
      <c r="C100" s="637"/>
      <c r="D100" s="637"/>
      <c r="E100" s="637"/>
      <c r="F100" s="637"/>
      <c r="G100" s="637"/>
      <c r="H100" s="637"/>
      <c r="I100" s="637"/>
      <c r="J100" s="637"/>
      <c r="K100" s="637"/>
      <c r="L100" s="637"/>
      <c r="M100" s="637"/>
      <c r="N100" s="637"/>
      <c r="O100" s="637"/>
      <c r="P100" s="691"/>
      <c r="Q100" s="692"/>
      <c r="R100" s="691"/>
      <c r="S100" s="691"/>
      <c r="T100" s="691"/>
      <c r="U100" s="691"/>
      <c r="V100" s="691"/>
      <c r="W100" s="691"/>
      <c r="X100" s="691"/>
      <c r="Y100" s="691"/>
      <c r="Z100" s="691"/>
      <c r="AA100" s="691"/>
      <c r="AB100" s="637"/>
      <c r="AC100" s="637"/>
      <c r="AD100" s="637"/>
      <c r="AE100" s="637"/>
      <c r="AF100" s="637"/>
      <c r="AG100" s="637"/>
      <c r="AH100" s="637"/>
      <c r="AI100" s="637"/>
      <c r="AJ100" s="637"/>
      <c r="AK100" s="637"/>
      <c r="AL100" s="637"/>
      <c r="AM100" s="637"/>
      <c r="AN100" s="637"/>
      <c r="AO100" s="637"/>
      <c r="AP100" s="637"/>
      <c r="AQ100" s="637"/>
      <c r="AR100" s="637"/>
      <c r="AS100" s="637"/>
      <c r="AT100" s="637">
        <v>94</v>
      </c>
      <c r="AU100" s="637"/>
      <c r="AV100" s="637"/>
      <c r="AW100" s="637"/>
      <c r="AX100" s="637"/>
      <c r="AY100" s="637"/>
      <c r="AZ100" s="637"/>
      <c r="BA100" s="637"/>
      <c r="BB100" s="637"/>
      <c r="BC100" s="637"/>
      <c r="BD100" s="637"/>
      <c r="BE100" s="637"/>
      <c r="BF100" s="637"/>
      <c r="BG100" s="637"/>
    </row>
    <row r="101" spans="1:59" x14ac:dyDescent="0.45">
      <c r="AT101" s="638">
        <v>95</v>
      </c>
    </row>
    <row r="102" spans="1:59" x14ac:dyDescent="0.45">
      <c r="AT102" s="638">
        <v>96</v>
      </c>
    </row>
    <row r="103" spans="1:59" x14ac:dyDescent="0.45">
      <c r="AT103" s="638">
        <v>97</v>
      </c>
    </row>
    <row r="104" spans="1:59" x14ac:dyDescent="0.45">
      <c r="AT104" s="638">
        <v>98</v>
      </c>
    </row>
    <row r="105" spans="1:59" x14ac:dyDescent="0.45">
      <c r="AT105" s="638">
        <v>99</v>
      </c>
    </row>
  </sheetData>
  <sheetProtection selectLockedCells="1"/>
  <mergeCells count="30">
    <mergeCell ref="A27:A28"/>
    <mergeCell ref="E27:J27"/>
    <mergeCell ref="A30:A31"/>
    <mergeCell ref="E30:J30"/>
    <mergeCell ref="A33:A34"/>
    <mergeCell ref="E33:J33"/>
    <mergeCell ref="A18:A19"/>
    <mergeCell ref="E18:J18"/>
    <mergeCell ref="A21:A22"/>
    <mergeCell ref="E21:J21"/>
    <mergeCell ref="A24:A25"/>
    <mergeCell ref="E24:J24"/>
    <mergeCell ref="A9:A10"/>
    <mergeCell ref="E9:J9"/>
    <mergeCell ref="A12:A13"/>
    <mergeCell ref="E12:J12"/>
    <mergeCell ref="A15:A16"/>
    <mergeCell ref="E15:J15"/>
    <mergeCell ref="U5:Y5"/>
    <mergeCell ref="Z5:AD5"/>
    <mergeCell ref="AF5:AI5"/>
    <mergeCell ref="AJ5:AM5"/>
    <mergeCell ref="A6:A7"/>
    <mergeCell ref="E6:J6"/>
    <mergeCell ref="G2:K2"/>
    <mergeCell ref="L2:N2"/>
    <mergeCell ref="G4:J4"/>
    <mergeCell ref="K4:N4"/>
    <mergeCell ref="A5:B5"/>
    <mergeCell ref="P5:T5"/>
  </mergeCells>
  <phoneticPr fontId="3"/>
  <dataValidations count="6">
    <dataValidation type="list" allowBlank="1" showInputMessage="1" showErrorMessage="1" sqref="B7 B31 B34 B13 B16 B28 B19 B22 B25 B10" xr:uid="{B604095D-3507-4014-9D20-22597A4E78EE}">
      <formula1>$AO$7:$AO$9</formula1>
    </dataValidation>
    <dataValidation type="list" imeMode="halfAlpha" allowBlank="1" showInputMessage="1" showErrorMessage="1" sqref="E7" xr:uid="{D9C9EEC6-0B9D-41AE-AE52-A0F48805F7DA}">
      <formula1>$AQ$7:$AQ$15</formula1>
    </dataValidation>
    <dataValidation type="list" allowBlank="1" showInputMessage="1" showErrorMessage="1" sqref="E10 E31 E34 E28 E13 E16 E25 E19 E22" xr:uid="{B9684BEA-4371-4ACF-B290-9CD599A69E8C}">
      <formula1>$AQ$7:$AQ$15</formula1>
    </dataValidation>
    <dataValidation type="list" allowBlank="1" showInputMessage="1" showErrorMessage="1" sqref="G10 G31 G34 G28 G13 G16 G25 G19 G22 G7" xr:uid="{5B0A3BB6-411C-47CA-AA2C-EC2738A1631F}">
      <formula1>$AR$7:$AR$18</formula1>
    </dataValidation>
    <dataValidation type="list" allowBlank="1" showInputMessage="1" showErrorMessage="1" sqref="I10 I31 I34 I28 I13 I16 I25 I19 I22 I7" xr:uid="{A387D96A-47D5-4DBE-BCF3-0C9EADB7DC93}">
      <formula1>$AS$7:$AS$37</formula1>
    </dataValidation>
    <dataValidation type="list" allowBlank="1" showInputMessage="1" showErrorMessage="1" sqref="L7 L34 L10 L31 L13 L16 L19 L22 L25 L28" xr:uid="{4482B05C-B922-4803-921E-B6DD1953722A}">
      <formula1>$AT$7:$AT$105</formula1>
    </dataValidation>
  </dataValidations>
  <pageMargins left="0.7" right="0.7" top="0.75" bottom="0.75" header="0.3" footer="0.3"/>
  <pageSetup paperSize="9" scale="44" orientation="portrait" r:id="rId1"/>
  <colBreaks count="1" manualBreakCount="1">
    <brk id="59"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本紙</vt:lpstr>
      <vt:lpstr>別紙①-1_月額支払い型申込書</vt:lpstr>
      <vt:lpstr>別紙①-2_お客様お買い上げ型申込書</vt:lpstr>
      <vt:lpstr>別紙②_Wi-Fi設定 </vt:lpstr>
      <vt:lpstr>別紙③_移転・契約情報変更・設定変更申込</vt:lpstr>
      <vt:lpstr>解約金計算ツール</vt:lpstr>
      <vt:lpstr>解約金計算ツール!Print_Area</vt:lpstr>
      <vt:lpstr>'別紙①-1_月額支払い型申込書'!Print_Area</vt:lpstr>
      <vt:lpstr>'別紙①-2_お客様お買い上げ型申込書'!Print_Area</vt:lpstr>
      <vt:lpstr>'別紙②_Wi-Fi設定 '!Print_Area</vt:lpstr>
      <vt:lpstr>別紙③_移転・契約情報変更・設定変更申込!Print_Area</vt:lpstr>
      <vt:lpstr>本紙!Print_Area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2379862</dc:creator>
  <cp:lastModifiedBy>2379862</cp:lastModifiedBy>
  <dcterms:created xsi:type="dcterms:W3CDTF">2023-09-12T00:53:02Z</dcterms:created>
  <dcterms:modified xsi:type="dcterms:W3CDTF">2023-09-12T00:54:34Z</dcterms:modified>
</cp:coreProperties>
</file>